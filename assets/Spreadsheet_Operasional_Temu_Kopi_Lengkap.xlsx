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13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MASTER MENU" sheetId="2" state="visible" r:id="rId4"/>
    <sheet name="MASTER BAHAN" sheetId="3" state="visible" r:id="rId5"/>
    <sheet name="RESEP DAN HPP" sheetId="4" state="visible" r:id="rId6"/>
    <sheet name="STOK MASUK" sheetId="5" state="visible" r:id="rId7"/>
    <sheet name="PERGERAKAN STOK" sheetId="6" state="visible" r:id="rId8"/>
    <sheet name="RINGKASAN STOK" sheetId="7" state="visible" r:id="rId9"/>
    <sheet name="TRANSAKSI PENJUALAN" sheetId="8" state="visible" r:id="rId10"/>
    <sheet name="DETAIL TRANSAKSI" sheetId="9" state="visible" r:id="rId11"/>
    <sheet name="SHIFT KASIR" sheetId="10" state="visible" r:id="rId12"/>
    <sheet name="PENGELUARAN" sheetId="11" state="visible" r:id="rId13"/>
    <sheet name="REFUND DAN PEMBATALAN" sheetId="12" state="visible" r:id="rId14"/>
    <sheet name="LAPORAN HARIAN" sheetId="13" state="visible" r:id="rId15"/>
    <sheet name="LAPORAN BULANAN" sheetId="14" state="visible" r:id="rId16"/>
    <sheet name="DASHBOARD OWNER" sheetId="15" state="visible" r:id="rId17"/>
    <sheet name="NOTA &amp; TIKET" sheetId="16" state="visible" r:id="rId18"/>
    <sheet name="FORM SHIFT" sheetId="17" state="visible" r:id="rId19"/>
    <sheet name="FORM REFUND" sheetId="18" state="visible" r:id="rId20"/>
    <sheet name="STOK OPNAME" sheetId="19" state="visible" r:id="rId21"/>
    <sheet name="FORM WASTE" sheetId="20" state="visible" r:id="rId22"/>
    <sheet name="FORM PENERIMAAN" sheetId="21" state="visible" r:id="rId23"/>
    <sheet name="CHECKLIST HARIAN" sheetId="22" state="visible" r:id="rId2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<sst xmlns="http://schemas.openxmlformats.org/spreadsheetml/2006/main" count="1053" uniqueCount="454">
  <si>
    <t xml:space="preserve">TEMU KOPI  /  PANDUAN OPERASIONAL</t>
  </si>
  <si>
    <t xml:space="preserve">MULAI DI SINI</t>
  </si>
  <si>
    <t xml:space="preserve">Data dengan ID berawalan CONTOH- adalah simulasi. Hapus/ganti sebelum transaksi nyata. Semua angka contoh bukan harga resmi.</t>
  </si>
  <si>
    <t xml:space="preserve">URUTAN SETUP</t>
  </si>
  <si>
    <t xml:space="preserve">Isi MASTER MENU dan MASTER BAHAN → RESEP DAN HPP → cek kelengkapan → isi stok awal → mulai transaksi.</t>
  </si>
  <si>
    <t xml:space="preserve">URUTAN HARIAN</t>
  </si>
  <si>
    <t xml:space="preserve">Catat STOK MASUK; PERGERAKAN STOK; TRANSAKSI PENJUALAN dan DETAIL TRANSAKSI; refund berhasil; PENGELUARAN; tutup SHIFT KASIR; tinjau laporan.</t>
  </si>
  <si>
    <t xml:space="preserve">KUNING MUDA</t>
  </si>
  <si>
    <t xml:space="preserve">Kolom input pengguna. Kode/nomor transaksi harus unik. Tanggal dan jam dicatat dalam WIB.</t>
  </si>
  <si>
    <t xml:space="preserve">HIJAU MUDA</t>
  </si>
  <si>
    <t xml:space="preserve">Kolom rumus otomatis. Jangan ketik di atas rumus. Saat impor Google Sheets, periksa kembali validasi dan tabel.</t>
  </si>
  <si>
    <t xml:space="preserve">STATUS MERAH</t>
  </si>
  <si>
    <t xml:space="preserve">Perlu tindakan: Habis, Menipis, HPP belum lengkap, atau selisih kas Kurang. Teks status tetap dapat dibaca tanpa warna.</t>
  </si>
  <si>
    <t xml:space="preserve">MASTER MENU</t>
  </si>
  <si>
    <t xml:space="preserve">Isi ID, nama, kategori, jenis, varian, harga jual, status, tiket dapur, catatan, tanggal. Harga contoh hanya simulasi.</t>
  </si>
  <si>
    <t xml:space="preserve">MASTER BAHAN</t>
  </si>
  <si>
    <t xml:space="preserve">Isi stok awal/minimum, harga beli total untuk jumlah pembelian dalam satuan dasar (gram/ml/pcs); biaya per satuan dihitung.</t>
  </si>
  <si>
    <t xml:space="preserve">RESEP DAN HPP</t>
  </si>
  <si>
    <t xml:space="preserve">Isi ID menu, ID bahan dan jumlah per porsi. Satu baris untuk satu bahan. Biaya, total HPP, laba, margin, status otomatis.</t>
  </si>
  <si>
    <t xml:space="preserve">STOK MASUK / PERGERAKAN</t>
  </si>
  <si>
    <t xml:space="preserve">Isi pembelian dan pemakaian/waste/penyesuaian/retur. Penyesuaian bertanda + atau −; retur ke supplier bertanda positif dan mengurangi stok.</t>
  </si>
  <si>
    <t xml:space="preserve">RINGKASAN STOK</t>
  </si>
  <si>
    <t xml:space="preserve">Stok awal + masuk − pemakaian − waste + penyesuaian − retur. Nilai persediaan hanya estimasi biaya terkini.</t>
  </si>
  <si>
    <t xml:space="preserve">TRANSAKSI / DETAIL</t>
  </si>
  <si>
    <t xml:space="preserve">Isi satu pesanan per baris header, satu item per baris detail. Alokasikan diskon/refund ke item hingga jumlahnya sama dengan header.</t>
  </si>
  <si>
    <t xml:space="preserve">HPP HISTORIS</t>
  </si>
  <si>
    <t xml:space="preserve">Salin nilai HPP acuan di kolom N DETAIL ke kolom K sebagai NILAI (paste values), saat penjualan. HPP K adalah snapshot; jangan revisi transaksi lama.</t>
  </si>
  <si>
    <t xml:space="preserve">SHIFT / PENGELUARAN</t>
  </si>
  <si>
    <t xml:space="preserve">Isi kas awal, fisik, kas masuk/keluar terpisah. Pembelian bahan: Memengaruhi laba=Tidak; biaya baru muncul lewat HPP/waste.</t>
  </si>
  <si>
    <t xml:space="preserve">REFUND</t>
  </si>
  <si>
    <t xml:space="preserve">Hanya status Berhasil yang mengurangi penjualan. Isi jumlah alokasi refund pada item di DETAIL; cek selisih alokasi pada laporan.</t>
  </si>
  <si>
    <t xml:space="preserve">LAPORAN</t>
  </si>
  <si>
    <t xml:space="preserve">Ubah tanggal B3 di LAPORAN HARIAN; ubah tanggal dalam bulan target di LAPORAN BULANAN; Dashboard gunakan awal/akhir periode.</t>
  </si>
  <si>
    <t xml:space="preserve">ISTILAH: OMZET</t>
  </si>
  <si>
    <t xml:space="preserve">Total nilai item sebelum diskon dan refund.</t>
  </si>
  <si>
    <t xml:space="preserve">ISTILAH: HPP</t>
  </si>
  <si>
    <t xml:space="preserve">Biaya bahan yang melekat pada item terjual, memakai snapshot transaksi saat penjualan.</t>
  </si>
  <si>
    <t xml:space="preserve">ISTILAH: LABA KOTOR</t>
  </si>
  <si>
    <t xml:space="preserve">Penjualan bersih dikurangi HPP transaksi.</t>
  </si>
  <si>
    <t xml:space="preserve">ISTILAH: LABA BERSIH</t>
  </si>
  <si>
    <t xml:space="preserve">Estimasi laba kotor dikurangi pengeluaran operasional dan kerugian waste; belum termasuk pajak/penyusutan.</t>
  </si>
  <si>
    <t xml:space="preserve">ISTILAH: STOK MINIMUM</t>
  </si>
  <si>
    <t xml:space="preserve">Batas persediaan yang memicu status Menipis.</t>
  </si>
  <si>
    <t xml:space="preserve">ISTILAH: WASTE</t>
  </si>
  <si>
    <t xml:space="preserve">Bahan rusak/tumpah/kedaluwarsa yang dikeluarkan dari stok; dibebankan terpisah dari HPP penjualan.</t>
  </si>
  <si>
    <t xml:space="preserve">ISTILAH: REFUND</t>
  </si>
  <si>
    <t xml:space="preserve">Dana yang berhasil dikembalikan kepada pelanggan; pengajuan pending/gagal tidak mengurangi penjualan.</t>
  </si>
  <si>
    <t xml:space="preserve">ISTILAH: SELISIH KAS</t>
  </si>
  <si>
    <t xml:space="preserve">Kas fisik dikurangi kas seharusnya: positif Lebih, negatif Kurang.</t>
  </si>
  <si>
    <t xml:space="preserve">KAPASITAS</t>
  </si>
  <si>
    <t xml:space="preserve">Tabel transaksi, detail, stok, shift, pengeluaran, dan refund menyediakan 500 baris. Bila mendekati penuh, arsipkan periode lama atau gunakan aplikasi/database; jangan menjadikan workbook sebagai database tanpa batas.</t>
  </si>
  <si>
    <t xml:space="preserve">KONTROL</t>
  </si>
  <si>
    <t xml:space="preserve">Satu pesanan = satu pembayaran. Pembayaran campuran, piutang, pajak, retur barang, FIFO, dan perlindungan sheet memerlukan keputusan/pengaturan lanjutan. Gunakan PDF panduan untuk dokumen siap cetak.</t>
  </si>
  <si>
    <t xml:space="preserve">NOTA &amp; TIKET</t>
  </si>
  <si>
    <t xml:space="preserve">Pilih nomor pesanan. Nota pelanggan dan tiket dapur membaca transaksi yang sama; tidak perlu input ulang.</t>
  </si>
  <si>
    <t xml:space="preserve">FORM SHIFT</t>
  </si>
  <si>
    <t xml:space="preserve">Pilih ID shift untuk mencetak atau meninjau rekonsiliasi kas.</t>
  </si>
  <si>
    <t xml:space="preserve">FORM REFUND</t>
  </si>
  <si>
    <t xml:space="preserve">Pilih nomor pengajuan refund/pembatalan untuk dokumen persetujuan.</t>
  </si>
  <si>
    <t xml:space="preserve">STOK OPNAME</t>
  </si>
  <si>
    <t xml:space="preserve">Isi stok fisik. Selisih yang disetujui tetap harus dicatat ke PERGERAKAN STOK agar ringkasan stok berubah.</t>
  </si>
  <si>
    <t xml:space="preserve">FORM WASTE</t>
  </si>
  <si>
    <t xml:space="preserve">Pilih nomor pergerakan berjenis Waste. Pastikan status persetujuan sudah sesuai.</t>
  </si>
  <si>
    <t xml:space="preserve">FORM PENERIMAAN</t>
  </si>
  <si>
    <t xml:space="preserve">Pilih nomor transaksi STOK MASUK untuk memeriksa barang dari supplier.</t>
  </si>
  <si>
    <t xml:space="preserve">CHECKLIST HARIAN</t>
  </si>
  <si>
    <t xml:space="preserve">Gunakan satu ID per tanggal dan shift; satu baris mewakili satu item pemeriksaan.</t>
  </si>
  <si>
    <t xml:space="preserve">Isi sel kuning. Semua entri awal CONTOH.</t>
  </si>
  <si>
    <t xml:space="preserve">ISI MANUAL</t>
  </si>
  <si>
    <t xml:space="preserve">HASIL OTOMATIS</t>
  </si>
  <si>
    <t xml:space="preserve">ID CONTOH- = simulasi</t>
  </si>
  <si>
    <t xml:space="preserve">ID menu</t>
  </si>
  <si>
    <t xml:space="preserve">Nama menu</t>
  </si>
  <si>
    <t xml:space="preserve">Kategori</t>
  </si>
  <si>
    <t xml:space="preserve">Jenis</t>
  </si>
  <si>
    <t xml:space="preserve">Varian</t>
  </si>
  <si>
    <t xml:space="preserve">Harga jual</t>
  </si>
  <si>
    <t xml:space="preserve">Status</t>
  </si>
  <si>
    <t xml:space="preserve">Dikirim ke dapur</t>
  </si>
  <si>
    <t xml:space="preserve">Catatan</t>
  </si>
  <si>
    <t xml:space="preserve">Tanggal diperbarui</t>
  </si>
  <si>
    <t xml:space="preserve">CONTOH-M01</t>
  </si>
  <si>
    <t xml:space="preserve">Kopi Susu Gula Aren</t>
  </si>
  <si>
    <t xml:space="preserve">Kopi</t>
  </si>
  <si>
    <t xml:space="preserve">Minuman</t>
  </si>
  <si>
    <t xml:space="preserve">Reguler</t>
  </si>
  <si>
    <t xml:space="preserve">Aktif</t>
  </si>
  <si>
    <t xml:space="preserve">Ya</t>
  </si>
  <si>
    <t xml:space="preserve">CONTOH - ganti sesuai menu final</t>
  </si>
  <si>
    <t xml:space="preserve">CONTOH-M02</t>
  </si>
  <si>
    <t xml:space="preserve">Americano</t>
  </si>
  <si>
    <t xml:space="preserve">Ice</t>
  </si>
  <si>
    <t xml:space="preserve">CONTOH-M03</t>
  </si>
  <si>
    <t xml:space="preserve">Latte</t>
  </si>
  <si>
    <t xml:space="preserve">Hot</t>
  </si>
  <si>
    <t xml:space="preserve">CONTOH-M04</t>
  </si>
  <si>
    <t xml:space="preserve">Matcha Latte</t>
  </si>
  <si>
    <t xml:space="preserve">Non-kopi</t>
  </si>
  <si>
    <t xml:space="preserve">CONTOH-M05</t>
  </si>
  <si>
    <t xml:space="preserve">Teh Lemon</t>
  </si>
  <si>
    <t xml:space="preserve">Teh</t>
  </si>
  <si>
    <t xml:space="preserve">CONTOH-M06</t>
  </si>
  <si>
    <t xml:space="preserve">Croissant Butter</t>
  </si>
  <si>
    <t xml:space="preserve">Pastry</t>
  </si>
  <si>
    <t xml:space="preserve">Makanan</t>
  </si>
  <si>
    <t xml:space="preserve">CONTOH-M07</t>
  </si>
  <si>
    <t xml:space="preserve">Nasi Goreng</t>
  </si>
  <si>
    <t xml:space="preserve">Makanan berat</t>
  </si>
  <si>
    <t xml:space="preserve">CONTOH-M08</t>
  </si>
  <si>
    <t xml:space="preserve">Kentang Goreng</t>
  </si>
  <si>
    <t xml:space="preserve">Camilan</t>
  </si>
  <si>
    <t xml:space="preserve">CONTOH-M09</t>
  </si>
  <si>
    <t xml:space="preserve">Espresso</t>
  </si>
  <si>
    <t xml:space="preserve">Single</t>
  </si>
  <si>
    <t xml:space="preserve">CONTOH-M10</t>
  </si>
  <si>
    <t xml:space="preserve">Roti Bakar</t>
  </si>
  <si>
    <t xml:space="preserve">Harga beli = total tagihan untuk jumlah pembelian dalam satuan dasar; bukan harga per kemasan.</t>
  </si>
  <si>
    <t xml:space="preserve">ID bahan</t>
  </si>
  <si>
    <t xml:space="preserve">Nama bahan</t>
  </si>
  <si>
    <t xml:space="preserve">Kategori bahan</t>
  </si>
  <si>
    <t xml:space="preserve">Satuan dasar</t>
  </si>
  <si>
    <t xml:space="preserve">Stok awal</t>
  </si>
  <si>
    <t xml:space="preserve">Stok minimum</t>
  </si>
  <si>
    <t xml:space="preserve">Harga beli</t>
  </si>
  <si>
    <t xml:space="preserve">Jumlah pembelian</t>
  </si>
  <si>
    <t xml:space="preserve">Biaya per satuan dasar</t>
  </si>
  <si>
    <t xml:space="preserve">Supplier</t>
  </si>
  <si>
    <t xml:space="preserve">Status stok</t>
  </si>
  <si>
    <t xml:space="preserve">CONTOH-B01</t>
  </si>
  <si>
    <t xml:space="preserve">Biji kopi</t>
  </si>
  <si>
    <t xml:space="preserve">gram</t>
  </si>
  <si>
    <t xml:space="preserve">Supplier CONTOH</t>
  </si>
  <si>
    <t xml:space="preserve">CONTOH-B02</t>
  </si>
  <si>
    <t xml:space="preserve">Susu UHT</t>
  </si>
  <si>
    <t xml:space="preserve">Susu</t>
  </si>
  <si>
    <t xml:space="preserve">ml</t>
  </si>
  <si>
    <t xml:space="preserve">CONTOH-B03</t>
  </si>
  <si>
    <t xml:space="preserve">Gula aren</t>
  </si>
  <si>
    <t xml:space="preserve">Pemanis</t>
  </si>
  <si>
    <t xml:space="preserve">CONTOH-B04</t>
  </si>
  <si>
    <t xml:space="preserve">Air mineral</t>
  </si>
  <si>
    <t xml:space="preserve">Lainnya</t>
  </si>
  <si>
    <t xml:space="preserve">CONTOH-B05</t>
  </si>
  <si>
    <t xml:space="preserve">Bubuk matcha</t>
  </si>
  <si>
    <t xml:space="preserve">Bubuk</t>
  </si>
  <si>
    <t xml:space="preserve">CONTOH-B06</t>
  </si>
  <si>
    <t xml:space="preserve">Teh celup</t>
  </si>
  <si>
    <t xml:space="preserve">pcs</t>
  </si>
  <si>
    <t xml:space="preserve">CONTOH-B07</t>
  </si>
  <si>
    <t xml:space="preserve">Lemon</t>
  </si>
  <si>
    <t xml:space="preserve">Buah</t>
  </si>
  <si>
    <t xml:space="preserve">CONTOH-B08</t>
  </si>
  <si>
    <t xml:space="preserve">Croissant beku</t>
  </si>
  <si>
    <t xml:space="preserve">CONTOH-B09</t>
  </si>
  <si>
    <t xml:space="preserve">Beras</t>
  </si>
  <si>
    <t xml:space="preserve">Bahan dapur</t>
  </si>
  <si>
    <t xml:space="preserve">CONTOH-B10</t>
  </si>
  <si>
    <t xml:space="preserve">Telur</t>
  </si>
  <si>
    <t xml:space="preserve">CONTOH-B11</t>
  </si>
  <si>
    <t xml:space="preserve">Kentang beku</t>
  </si>
  <si>
    <t xml:space="preserve">CONTOH-B12</t>
  </si>
  <si>
    <t xml:space="preserve">Roti</t>
  </si>
  <si>
    <t xml:space="preserve">Satu baris per bahan. Total HPP diulang pada baris resep yang sama agar mudah difilter.</t>
  </si>
  <si>
    <t xml:space="preserve">Jumlah / porsi</t>
  </si>
  <si>
    <t xml:space="preserve">Satuan</t>
  </si>
  <si>
    <t xml:space="preserve">Biaya / satuan</t>
  </si>
  <si>
    <t xml:space="preserve">Biaya bahan / porsi</t>
  </si>
  <si>
    <t xml:space="preserve">Total HPP menu</t>
  </si>
  <si>
    <t xml:space="preserve">Laba kotor</t>
  </si>
  <si>
    <t xml:space="preserve">Margin</t>
  </si>
  <si>
    <t xml:space="preserve">Status kelengkapan HPP</t>
  </si>
  <si>
    <t xml:space="preserve">STOK MASUK</t>
  </si>
  <si>
    <t xml:space="preserve">Jumlah memakai satuan dasar, bukan kemasan. Catat pengeluaran pembelian bahan dengan Memengaruhi laba=Tidak.</t>
  </si>
  <si>
    <t xml:space="preserve">Nomor transaksi</t>
  </si>
  <si>
    <t xml:space="preserve">Tanggal dan waktu WIB</t>
  </si>
  <si>
    <t xml:space="preserve">Nomor bukti</t>
  </si>
  <si>
    <t xml:space="preserve">Jumlah</t>
  </si>
  <si>
    <t xml:space="preserve">Total</t>
  </si>
  <si>
    <t xml:space="preserve">Petugas</t>
  </si>
  <si>
    <t xml:space="preserve">Urutan item</t>
  </si>
  <si>
    <t xml:space="preserve">Kunci cetak</t>
  </si>
  <si>
    <t xml:space="preserve">CONTOH-S1</t>
  </si>
  <si>
    <t xml:space="preserve">BUKTI-CONTOH-1</t>
  </si>
  <si>
    <t xml:space="preserve">Petugas CONTOH</t>
  </si>
  <si>
    <t xml:space="preserve">CONTOH - pembelian simulasi</t>
  </si>
  <si>
    <t xml:space="preserve">CONTOH-S2</t>
  </si>
  <si>
    <t xml:space="preserve">BUKTI-CONTOH-2</t>
  </si>
  <si>
    <t xml:space="preserve">CONTOH-S3</t>
  </si>
  <si>
    <t xml:space="preserve">BUKTI-CONTOH-3</t>
  </si>
  <si>
    <t xml:space="preserve">CONTOH-S4</t>
  </si>
  <si>
    <t xml:space="preserve">BUKTI-CONTOH-4</t>
  </si>
  <si>
    <t xml:space="preserve">CONTOH-S5</t>
  </si>
  <si>
    <t xml:space="preserve">BUKTI-CONTOH-5</t>
  </si>
  <si>
    <t xml:space="preserve">CONTOH-S6</t>
  </si>
  <si>
    <t xml:space="preserve">BUKTI-CONTOH-6</t>
  </si>
  <si>
    <t xml:space="preserve">CONTOH-S7</t>
  </si>
  <si>
    <t xml:space="preserve">BUKTI-CONTOH-7</t>
  </si>
  <si>
    <t xml:space="preserve">CONTOH-S8</t>
  </si>
  <si>
    <t xml:space="preserve">BUKTI-CONTOH-8</t>
  </si>
  <si>
    <t xml:space="preserve">CONTOH-S9</t>
  </si>
  <si>
    <t xml:space="preserve">BUKTI-CONTOH-9</t>
  </si>
  <si>
    <t xml:space="preserve">CONTOH-S10</t>
  </si>
  <si>
    <t xml:space="preserve">BUKTI-CONTOH-10</t>
  </si>
  <si>
    <t xml:space="preserve">PERGERAKAN STOK</t>
  </si>
  <si>
    <t xml:space="preserve">Jumlah positif untuk pemakaian/waste/retur; Penyesuaian bisa negatif atau positif. Isi snapshot biaya ketika waste disetujui.</t>
  </si>
  <si>
    <t xml:space="preserve">Nomor pergerakan</t>
  </si>
  <si>
    <t xml:space="preserve">Alasan</t>
  </si>
  <si>
    <t xml:space="preserve">Nomor pesanan terkait</t>
  </si>
  <si>
    <t xml:space="preserve">Status persetujuan</t>
  </si>
  <si>
    <t xml:space="preserve">Biaya / unit snapshot</t>
  </si>
  <si>
    <t xml:space="preserve">Kerugian waste</t>
  </si>
  <si>
    <t xml:space="preserve">CONTOH-P1</t>
  </si>
  <si>
    <t xml:space="preserve">Pemakaian</t>
  </si>
  <si>
    <t xml:space="preserve">CONTOH - terpakai</t>
  </si>
  <si>
    <t xml:space="preserve">CONTOH-O01</t>
  </si>
  <si>
    <t xml:space="preserve">Disetujui</t>
  </si>
  <si>
    <t xml:space="preserve">CONTOH-P2</t>
  </si>
  <si>
    <t xml:space="preserve">Waste</t>
  </si>
  <si>
    <t xml:space="preserve">CONTOH - tumpah</t>
  </si>
  <si>
    <t xml:space="preserve">CONTOH-P3</t>
  </si>
  <si>
    <t xml:space="preserve">CONTOH-O03</t>
  </si>
  <si>
    <t xml:space="preserve">CONTOH-P4</t>
  </si>
  <si>
    <t xml:space="preserve">CONTOH-O04</t>
  </si>
  <si>
    <t xml:space="preserve">CONTOH-P5</t>
  </si>
  <si>
    <t xml:space="preserve">CONTOH-O05</t>
  </si>
  <si>
    <t xml:space="preserve">CONTOH-P6</t>
  </si>
  <si>
    <t xml:space="preserve">CONTOH-O06</t>
  </si>
  <si>
    <t xml:space="preserve">CONTOH-P7</t>
  </si>
  <si>
    <t xml:space="preserve">CONTOH-O07</t>
  </si>
  <si>
    <t xml:space="preserve">CONTOH-P8</t>
  </si>
  <si>
    <t xml:space="preserve">CONTOH-O08</t>
  </si>
  <si>
    <t xml:space="preserve">CONTOH-P9</t>
  </si>
  <si>
    <t xml:space="preserve">CONTOH-O09</t>
  </si>
  <si>
    <t xml:space="preserve">CONTOH-P10</t>
  </si>
  <si>
    <t xml:space="preserve">CONTOH-O10</t>
  </si>
  <si>
    <t xml:space="preserve">Ringkasan untuk semua ID pada MASTER BAHAN; nilai persediaan memakai biaya satuan saat ini.</t>
  </si>
  <si>
    <t xml:space="preserve">Stok masuk</t>
  </si>
  <si>
    <t xml:space="preserve">Penyesuaian ±</t>
  </si>
  <si>
    <t xml:space="preserve">Stok akhir</t>
  </si>
  <si>
    <t xml:space="preserve">Nilai persediaan</t>
  </si>
  <si>
    <t xml:space="preserve">Retur</t>
  </si>
  <si>
    <t xml:space="preserve">TRANSAKSI PENJUALAN</t>
  </si>
  <si>
    <t xml:space="preserve">Satu baris per pesanan; subtotal dari detail, refund hanya yang Berhasil. Cek alokasi harus OK.</t>
  </si>
  <si>
    <t xml:space="preserve">Nomor pesanan</t>
  </si>
  <si>
    <t xml:space="preserve">Tanggal WIB</t>
  </si>
  <si>
    <t xml:space="preserve">Waktu WIB</t>
  </si>
  <si>
    <t xml:space="preserve">Shift</t>
  </si>
  <si>
    <t xml:space="preserve">Kasir</t>
  </si>
  <si>
    <t xml:space="preserve">Jenis pesanan</t>
  </si>
  <si>
    <t xml:space="preserve">Meja / pelanggan</t>
  </si>
  <si>
    <t xml:space="preserve">Subtotal</t>
  </si>
  <si>
    <t xml:space="preserve">Diskon</t>
  </si>
  <si>
    <t xml:space="preserve">Refund berhasil</t>
  </si>
  <si>
    <t xml:space="preserve">Penjualan bersih</t>
  </si>
  <si>
    <t xml:space="preserve">Metode pembayaran</t>
  </si>
  <si>
    <t xml:space="preserve">Status pembayaran</t>
  </si>
  <si>
    <t xml:space="preserve">Status pesanan</t>
  </si>
  <si>
    <t xml:space="preserve">Cek alokasi</t>
  </si>
  <si>
    <t xml:space="preserve">Pagi</t>
  </si>
  <si>
    <t xml:space="preserve">Kasir CONTOH</t>
  </si>
  <si>
    <t xml:space="preserve">Takeaway</t>
  </si>
  <si>
    <t xml:space="preserve">Pelanggan CONTOH</t>
  </si>
  <si>
    <t xml:space="preserve">Tunai</t>
  </si>
  <si>
    <t xml:space="preserve">Lunas</t>
  </si>
  <si>
    <t xml:space="preserve">Selesai</t>
  </si>
  <si>
    <t xml:space="preserve">CONTOH-O02</t>
  </si>
  <si>
    <t xml:space="preserve">Dine-in</t>
  </si>
  <si>
    <t xml:space="preserve">Meja 2</t>
  </si>
  <si>
    <t xml:space="preserve">QRIS</t>
  </si>
  <si>
    <t xml:space="preserve">Meja 3</t>
  </si>
  <si>
    <t xml:space="preserve">Debit</t>
  </si>
  <si>
    <t xml:space="preserve">Meja 5</t>
  </si>
  <si>
    <t xml:space="preserve">Meja 6</t>
  </si>
  <si>
    <t xml:space="preserve">Meja 8</t>
  </si>
  <si>
    <t xml:space="preserve">Meja 9</t>
  </si>
  <si>
    <t xml:space="preserve">DETAIL TRANSAKSI</t>
  </si>
  <si>
    <t xml:space="preserve">KUNING K = snapshot HPP saat transaksi; copy nilai dari N, paste values. Jangan ubah K transaksi lampau.</t>
  </si>
  <si>
    <t xml:space="preserve">Harga satuan</t>
  </si>
  <si>
    <t xml:space="preserve">Subtotal item</t>
  </si>
  <si>
    <t xml:space="preserve">Alokasi diskon</t>
  </si>
  <si>
    <t xml:space="preserve">Alokasi refund</t>
  </si>
  <si>
    <t xml:space="preserve">Penjualan bersih item</t>
  </si>
  <si>
    <t xml:space="preserve">HPP per item (snapshot)</t>
  </si>
  <si>
    <t xml:space="preserve">Total HPP</t>
  </si>
  <si>
    <t xml:space="preserve">HPP acuan saat input</t>
  </si>
  <si>
    <t xml:space="preserve">Catatan item</t>
  </si>
  <si>
    <t xml:space="preserve">Tanggal pesanan WIB</t>
  </si>
  <si>
    <t xml:space="preserve">Status bayar</t>
  </si>
  <si>
    <t xml:space="preserve">CONTOH - biaya snapshot ilustratif</t>
  </si>
  <si>
    <t xml:space="preserve">SHIFT KASIR</t>
  </si>
  <si>
    <t xml:space="preserve">Kas seharusnya = awal + tunai bersih + masuk − keluar; satu shift per kasir/tanggal dan semua tunai dicocokkan.</t>
  </si>
  <si>
    <t xml:space="preserve">ID shift</t>
  </si>
  <si>
    <t xml:space="preserve">Nama kasir</t>
  </si>
  <si>
    <t xml:space="preserve">Waktu buka</t>
  </si>
  <si>
    <t xml:space="preserve">Waktu tutup</t>
  </si>
  <si>
    <t xml:space="preserve">Kas awal</t>
  </si>
  <si>
    <t xml:space="preserve">Penjualan tunai bersih</t>
  </si>
  <si>
    <t xml:space="preserve">Kas masuk</t>
  </si>
  <si>
    <t xml:space="preserve">Kas keluar</t>
  </si>
  <si>
    <t xml:space="preserve">Kas seharusnya</t>
  </si>
  <si>
    <t xml:space="preserve">Kas fisik</t>
  </si>
  <si>
    <t xml:space="preserve">Selisih</t>
  </si>
  <si>
    <t xml:space="preserve">Persetujuan Owner</t>
  </si>
  <si>
    <t xml:space="preserve">CONTOH-SH01</t>
  </si>
  <si>
    <t xml:space="preserve">CONTOH - kas keluar untuk tisu</t>
  </si>
  <si>
    <t xml:space="preserve">Menunggu</t>
  </si>
  <si>
    <t xml:space="preserve">PENGELUARAN</t>
  </si>
  <si>
    <t xml:space="preserve">Pembelian bahan sebagai kas keluar, Memengaruhi laba = Tidak; jangan dihitung dua kali bersama HPP.</t>
  </si>
  <si>
    <t xml:space="preserve">Nomor pengeluaran</t>
  </si>
  <si>
    <t xml:space="preserve">Deskripsi</t>
  </si>
  <si>
    <t xml:space="preserve">Nominal</t>
  </si>
  <si>
    <t xml:space="preserve">Bukti</t>
  </si>
  <si>
    <t xml:space="preserve">Memengaruhi laba</t>
  </si>
  <si>
    <t xml:space="preserve">CONTOH-E01</t>
  </si>
  <si>
    <t xml:space="preserve">Bahan baku</t>
  </si>
  <si>
    <t xml:space="preserve">CONTOH - beli bahan</t>
  </si>
  <si>
    <t xml:space="preserve">Transfer</t>
  </si>
  <si>
    <t xml:space="preserve">BUKTI-CONTOH</t>
  </si>
  <si>
    <t xml:space="preserve">Tidak</t>
  </si>
  <si>
    <t xml:space="preserve">Masuk stok/HPP</t>
  </si>
  <si>
    <t xml:space="preserve">CONTOH-E02</t>
  </si>
  <si>
    <t xml:space="preserve">Operasional</t>
  </si>
  <si>
    <t xml:space="preserve">CONTOH - tisu</t>
  </si>
  <si>
    <t xml:space="preserve">Biaya operasional</t>
  </si>
  <si>
    <t xml:space="preserve">REFUND DAN PEMBATALAN</t>
  </si>
  <si>
    <t xml:space="preserve">Status Berhasil baru mengurangi penjualan. Alokasi di DETAIL harus sama dengan nilai refund berhasil.</t>
  </si>
  <si>
    <t xml:space="preserve">Nomor pengajuan</t>
  </si>
  <si>
    <t xml:space="preserve">Pemohon</t>
  </si>
  <si>
    <t xml:space="preserve">Penyetuju</t>
  </si>
  <si>
    <t xml:space="preserve">Waktu penyelesaian WIB</t>
  </si>
  <si>
    <t xml:space="preserve">Metode pengembalian dana</t>
  </si>
  <si>
    <t xml:space="preserve">CONTOH-R01</t>
  </si>
  <si>
    <t xml:space="preserve">Refund sebagian</t>
  </si>
  <si>
    <t xml:space="preserve">CONTOH - pesanan kurang sesuai</t>
  </si>
  <si>
    <t xml:space="preserve">Owner CONTOH</t>
  </si>
  <si>
    <t xml:space="preserve">Berhasil</t>
  </si>
  <si>
    <t xml:space="preserve">CONTOH-R02</t>
  </si>
  <si>
    <t xml:space="preserve">Refund penuh</t>
  </si>
  <si>
    <t xml:space="preserve">CONTOH - simulasi pending</t>
  </si>
  <si>
    <t xml:space="preserve">LAPORAN HARIAN</t>
  </si>
  <si>
    <t xml:space="preserve">Pilih tanggal di B3. Hasil CONTOH bukan laporan usaha sebenarnya.</t>
  </si>
  <si>
    <t xml:space="preserve">Tanggal laporan WIB</t>
  </si>
  <si>
    <t xml:space="preserve">Omzet kotor</t>
  </si>
  <si>
    <t xml:space="preserve">Jumlah transaksi</t>
  </si>
  <si>
    <t xml:space="preserve">Jumlah item terjual</t>
  </si>
  <si>
    <t xml:space="preserve">HPP transaksi</t>
  </si>
  <si>
    <t xml:space="preserve">Pengeluaran operasional</t>
  </si>
  <si>
    <t xml:space="preserve">Kerugian bahan (waste)</t>
  </si>
  <si>
    <t xml:space="preserve">Estimasi laba bersih</t>
  </si>
  <si>
    <t xml:space="preserve">Selisih kas</t>
  </si>
  <si>
    <t xml:space="preserve">Menu terlaris</t>
  </si>
  <si>
    <t xml:space="preserve">Bahan menipis / habis</t>
  </si>
  <si>
    <t xml:space="preserve">Kejadian waste</t>
  </si>
  <si>
    <t xml:space="preserve">Cek alokasi transaksi</t>
  </si>
  <si>
    <t xml:space="preserve">Cek HPP snapshot</t>
  </si>
  <si>
    <t xml:space="preserve">Menu (CONTOH)</t>
  </si>
  <si>
    <t xml:space="preserve">Item terjual</t>
  </si>
  <si>
    <t xml:space="preserve">Metode</t>
  </si>
  <si>
    <t xml:space="preserve">Kredit</t>
  </si>
  <si>
    <t xml:space="preserve">E-wallet</t>
  </si>
  <si>
    <t xml:space="preserve">LAPORAN BULANAN</t>
  </si>
  <si>
    <t xml:space="preserve">Isi tanggal apa pun pada bulan target di B3. Rincian 31 hari mengikuti bulan terpilih.</t>
  </si>
  <si>
    <t xml:space="preserve">Bulan laporan</t>
  </si>
  <si>
    <t xml:space="preserve">Omzet bulanan</t>
  </si>
  <si>
    <t xml:space="preserve">Refund</t>
  </si>
  <si>
    <t xml:space="preserve">HPP</t>
  </si>
  <si>
    <t xml:space="preserve">Margin estimasi</t>
  </si>
  <si>
    <t xml:space="preserve">Stok menipis/habis saat ini</t>
  </si>
  <si>
    <t xml:space="preserve">Menu terbaik</t>
  </si>
  <si>
    <t xml:space="preserve">Menu terendah</t>
  </si>
  <si>
    <t xml:space="preserve">Tanggal</t>
  </si>
  <si>
    <t xml:space="preserve">Omzet</t>
  </si>
  <si>
    <t xml:space="preserve">Bersih</t>
  </si>
  <si>
    <t xml:space="preserve">Biaya + waste</t>
  </si>
  <si>
    <t xml:space="preserve">Laba estimasi</t>
  </si>
  <si>
    <t xml:space="preserve">Menu</t>
  </si>
  <si>
    <t xml:space="preserve">Porsi bulan</t>
  </si>
  <si>
    <t xml:space="preserve">DASHBOARD OWNER</t>
  </si>
  <si>
    <t xml:space="preserve">Pilih tanggal awal B3 dan akhir D3. KPI dan grafik mengikuti periode yang dipilih.</t>
  </si>
  <si>
    <t xml:space="preserve">Awal WIB</t>
  </si>
  <si>
    <t xml:space="preserve">Akhir WIB</t>
  </si>
  <si>
    <t xml:space="preserve">Transaksi</t>
  </si>
  <si>
    <t xml:space="preserve">Stok menipis/habis</t>
  </si>
  <si>
    <t xml:space="preserve">Shift Kurang</t>
  </si>
  <si>
    <t xml:space="preserve">Metode bayar</t>
  </si>
  <si>
    <t xml:space="preserve">Terjual</t>
  </si>
  <si>
    <t xml:space="preserve">Pantauan stok</t>
  </si>
  <si>
    <t xml:space="preserve">Pilih nomor pesanan pada B3; nota dan tiket dapur memakai ID yang sama.</t>
  </si>
  <si>
    <t xml:space="preserve">NOTA PELANGGAN / 80 MM</t>
  </si>
  <si>
    <t xml:space="preserve">TIKET DAPUR / 80 MM</t>
  </si>
  <si>
    <t xml:space="preserve">No. pesanan</t>
  </si>
  <si>
    <t xml:space="preserve">Jenis / meja</t>
  </si>
  <si>
    <t xml:space="preserve">Qty</t>
  </si>
  <si>
    <t xml:space="preserve">Item</t>
  </si>
  <si>
    <t xml:space="preserve">TOTAL</t>
  </si>
  <si>
    <t xml:space="preserve">Pembayaran</t>
  </si>
  <si>
    <t xml:space="preserve">Pilih ID shift untuk menampilkan rekonsiliasi kas yang siap diperiksa.</t>
  </si>
  <si>
    <t xml:space="preserve">REKONSILIASI SHIFT</t>
  </si>
  <si>
    <t xml:space="preserve">Penjualan tunai</t>
  </si>
  <si>
    <t xml:space="preserve">KASIR</t>
  </si>
  <si>
    <t xml:space="preserve">PIC / OWNER</t>
  </si>
  <si>
    <t xml:space="preserve">Pilih nomor pengajuan untuk menampilkan dokumen refund atau pembatalan.</t>
  </si>
  <si>
    <t xml:space="preserve">RINCIAN REFUND / PEMBATALAN</t>
  </si>
  <si>
    <t xml:space="preserve">Waktu selesai</t>
  </si>
  <si>
    <t xml:space="preserve">Metode pengembalian</t>
  </si>
  <si>
    <t xml:space="preserve">DIAJUKAN KASIR</t>
  </si>
  <si>
    <t xml:space="preserve">DISETUJUI PIC / OWNER</t>
  </si>
  <si>
    <t xml:space="preserve">Isi stok fisik; selisih dihitung otomatis. Posting koreksi yang disetujui ke PERGERAKAN STOK.</t>
  </si>
  <si>
    <t xml:space="preserve">ID opname</t>
  </si>
  <si>
    <t xml:space="preserve">Tanggal/Waktu WIB</t>
  </si>
  <si>
    <t xml:space="preserve">Stok sistem</t>
  </si>
  <si>
    <t xml:space="preserve">Stok fisik</t>
  </si>
  <si>
    <t xml:space="preserve">Pilih nomor pergerakan berjenis Waste untuk menampilkan dokumen kerusakan.</t>
  </si>
  <si>
    <t xml:space="preserve">RINCIAN WASTE / KERUSAKAN</t>
  </si>
  <si>
    <t xml:space="preserve">Tanggal/Waktu</t>
  </si>
  <si>
    <t xml:space="preserve">Pesanan terkait</t>
  </si>
  <si>
    <t xml:space="preserve">Biaya per unit</t>
  </si>
  <si>
    <t xml:space="preserve">DICATAT OLEH</t>
  </si>
  <si>
    <t xml:space="preserve">DISETUJUI PIC</t>
  </si>
  <si>
    <t xml:space="preserve">Pilih nomor transaksi stok masuk untuk memeriksa penerimaan supplier.</t>
  </si>
  <si>
    <t xml:space="preserve">PENERIMAAN SUPPLIER</t>
  </si>
  <si>
    <t xml:space="preserve">No</t>
  </si>
  <si>
    <t xml:space="preserve">Harga</t>
  </si>
  <si>
    <t xml:space="preserve">PENERIMA BARANG</t>
  </si>
  <si>
    <t xml:space="preserve">SUPPLIER / PIC</t>
  </si>
  <si>
    <t xml:space="preserve">Satu baris untuk satu pemeriksaan. Gunakan ID yang sama untuk seluruh item pada tanggal/shift yang sama.</t>
  </si>
  <si>
    <t xml:space="preserve">ID checklist</t>
  </si>
  <si>
    <t xml:space="preserve">Fase</t>
  </si>
  <si>
    <t xml:space="preserve">Item pemeriksaan</t>
  </si>
  <si>
    <t xml:space="preserve">PIC</t>
  </si>
  <si>
    <t xml:space="preserve">CONTOH-CHK01</t>
  </si>
  <si>
    <t xml:space="preserve">Buka</t>
  </si>
  <si>
    <t xml:space="preserve">Area bar dan kasir bersih</t>
  </si>
  <si>
    <t xml:space="preserve">Belum</t>
  </si>
  <si>
    <t xml:space="preserve">Mesin kopi dan grinder siap</t>
  </si>
  <si>
    <t xml:space="preserve">Stok utama tersedia</t>
  </si>
  <si>
    <t xml:space="preserve">Kas awal sudah dihitung</t>
  </si>
  <si>
    <t xml:space="preserve">QRIS / EDC berfungsi</t>
  </si>
  <si>
    <t xml:space="preserve">Printer nota dan dapur siap</t>
  </si>
  <si>
    <t xml:space="preserve">Suhu chiller sesuai</t>
  </si>
  <si>
    <t xml:space="preserve">Menu habis sudah ditandai</t>
  </si>
  <si>
    <t xml:space="preserve">Lampu, musik, dan Wi-Fi siap</t>
  </si>
  <si>
    <t xml:space="preserve">Briefing shift selesai</t>
  </si>
  <si>
    <t xml:space="preserve">Tutup</t>
  </si>
  <si>
    <t xml:space="preserve">Pesanan terakhir selesai</t>
  </si>
  <si>
    <t xml:space="preserve">Mesin dibersihkan</t>
  </si>
  <si>
    <t xml:space="preserve">Bahan disimpan dan diberi label</t>
  </si>
  <si>
    <t xml:space="preserve">Waste sudah dicatat</t>
  </si>
  <si>
    <t xml:space="preserve">Stok kritis diperiksa</t>
  </si>
  <si>
    <t xml:space="preserve">Kas fisik direkonsiliasi</t>
  </si>
  <si>
    <t xml:space="preserve">Pembayaran non-tunai cocok</t>
  </si>
  <si>
    <t xml:space="preserve">Peralatan listrik dimatikan</t>
  </si>
  <si>
    <t xml:space="preserve">Pintu dan area terkunci</t>
  </si>
  <si>
    <t xml:space="preserve">Laporan shift dikirim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</si>
</sst>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&quot;Rp &quot;#,##0;[RED]&quot;(Rp &quot;#,##0\);&quot;Rp &quot;0"/>
    <numFmt numFmtId="171" formatCode="dd\ mmm\ yyyy"/>
    <numFmt numFmtId="172" formatCode="&quot;Rp &quot;#,##0.0000;[RED]&quot;(Rp &quot;#,##0.0000\);&quot;Rp &quot;0.0000"/>
    <numFmt numFmtId="173" formatCode="0.0%"/>
    <numFmt numFmtId="174" formatCode="dd\ mmm\ yyyy\ hh:mm"/>
    <numFmt numFmtId="175" formatCode="hh:mm"/>
    <numFmt numFmtId="176" formatCode="mmmm\ yyyy"/>
    <numFmt numFmtId="177" formatCode="dd\ mmm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1"/>
      <name val="Calibri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2E2520"/>
      <name val="Arial"/>
      <family val="0"/>
      <charset val="1"/>
    </font>
    <font>
      <b val="true"/>
      <sz val="10"/>
      <color rgb="FF2E2520"/>
      <name val="Arial"/>
      <family val="2"/>
      <charset val="1"/>
    </font>
    <font>
      <sz val="10"/>
      <color rgb="FF2E2520"/>
      <name val="Arial"/>
      <family val="2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B65D3C"/>
      <name val="Arial"/>
      <family val="0"/>
      <charset val="1"/>
    </font>
    <font>
      <b val="true"/>
      <sz val="9"/>
      <color rgb="FF2E2520"/>
      <name val="Arial"/>
      <family val="0"/>
      <charset val="1"/>
    </font>
    <font>
      <b val="true"/>
      <sz val="9"/>
      <color rgb="FF617664"/>
      <name val="Arial"/>
      <family val="0"/>
      <charset val="1"/>
    </font>
    <font>
      <b val="true"/>
      <sz val="9"/>
      <color rgb="FFB65D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B65D3C"/>
      <name val="Arial"/>
      <family val="0"/>
      <charset val="1"/>
    </font>
    <font>
      <b val="true"/>
      <sz val="11"/>
      <color rgb="FF2E25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FFFFFF"/>
      <name val="Arial"/>
      <family val="2"/>
      <charset val="1"/>
    </font>
    <font>
      <i val="true"/>
      <sz val="9"/>
      <color rgb="FFB65D3C"/>
      <name val="Arial"/>
      <family val="2"/>
      <charset val="1"/>
    </font>
    <font>
      <b val="true"/>
      <sz val="9"/>
      <color rgb="FF2E252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color rgb="FF2E2520"/>
      <name val="Arial"/>
      <family val="2"/>
      <charset val="1"/>
    </font>
    <font>
      <b val="true"/>
      <sz val="11"/>
      <color rgb="FF2E252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2E2520"/>
        <bgColor rgb="FF333300"/>
      </patternFill>
    </fill>
    <fill>
      <patternFill patternType="solid">
        <fgColor rgb="FFF7F3EB"/>
        <bgColor rgb="FFF4F1EC"/>
      </patternFill>
    </fill>
    <fill>
      <patternFill patternType="solid">
        <fgColor rgb="FFE7DFD2"/>
        <bgColor rgb="FFD9D9D9"/>
      </patternFill>
    </fill>
    <fill>
      <patternFill patternType="solid">
        <fgColor rgb="FFD5B58D"/>
        <bgColor rgb="FFCCCCCC"/>
      </patternFill>
    </fill>
    <fill>
      <patternFill patternType="solid">
        <fgColor rgb="FFFFFFFF"/>
        <bgColor rgb="FFF7F3EB"/>
      </patternFill>
    </fill>
    <fill>
      <patternFill patternType="solid">
        <fgColor rgb="FFFFF4DB"/>
        <bgColor rgb="FFFFF4D6"/>
      </patternFill>
    </fill>
    <fill>
      <patternFill patternType="solid">
        <fgColor rgb="FFEDF2EC"/>
        <bgColor rgb="FFEEF3EF"/>
      </patternFill>
    </fill>
    <fill>
      <patternFill patternType="solid">
        <fgColor rgb="FFB65D3C"/>
        <bgColor rgb="FFB4433C"/>
      </patternFill>
    </fill>
    <fill>
      <patternFill patternType="solid">
        <fgColor rgb="FFF4F1EC"/>
        <bgColor rgb="FFF7F3EB"/>
      </patternFill>
    </fill>
    <fill>
      <patternFill patternType="solid">
        <fgColor rgb="FFFFF4D6"/>
        <bgColor rgb="FFFFF4DB"/>
      </patternFill>
    </fill>
    <fill>
      <patternFill patternType="solid">
        <fgColor rgb="FFEEF3EF"/>
        <bgColor rgb="FFEDF2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7DFD2"/>
      </left>
      <right style="thin">
        <color rgb="FFE7DFD2"/>
      </right>
      <top style="thin">
        <color rgb="FFE7DFD2"/>
      </top>
      <bottom style="thin">
        <color rgb="FFE7DFD2"/>
      </bottom>
      <diagonal/>
    </border>
    <border diagonalUp="false" diagonalDown="false">
      <left style="thin">
        <color rgb="FFD5B58D"/>
      </left>
      <right style="thin">
        <color rgb="FFD5B58D"/>
      </right>
      <top style="thin">
        <color rgb="FFD5B58D"/>
      </top>
      <bottom style="thin">
        <color rgb="FFD5B58D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8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8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" fillId="8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8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8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8" fillId="8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4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8" fillId="4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9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8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9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8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" fillId="8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8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6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8" fillId="4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9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3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3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1" borderId="2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9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12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6" fillId="12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2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26" fillId="12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3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7" fillId="12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1" borderId="2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9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6" fillId="12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6" fillId="12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2" borderId="0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2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1" borderId="2" xfId="24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48">
    <dxf>
      <fill>
        <patternFill patternType="solid">
          <fgColor rgb="FFB65D3C"/>
          <bgColor rgb="FF000000"/>
        </patternFill>
      </fill>
    </dxf>
    <dxf>
      <fill>
        <patternFill patternType="solid">
          <fgColor rgb="FFFFF4DB"/>
          <bgColor rgb="FF000000"/>
        </patternFill>
      </fill>
    </dxf>
    <dxf>
      <fill>
        <patternFill patternType="solid">
          <fgColor rgb="FF2E252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ill>
        <patternFill patternType="solid">
          <fgColor rgb="FFEDF2EC"/>
          <bgColor rgb="FF000000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ill>
        <patternFill patternType="solid">
          <bgColor rgb="FF000000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ill>
        <patternFill patternType="solid">
          <fgColor rgb="FFFCE6E2"/>
          <bgColor rgb="FF000000"/>
        </patternFill>
      </fill>
    </dxf>
    <dxf>
      <fill>
        <patternFill patternType="solid">
          <fgColor rgb="FFB4433C"/>
          <bgColor rgb="FF000000"/>
        </patternFill>
      </fill>
    </dxf>
    <dxf>
      <font>
        <b val="1"/>
        <color rgb="FFB4433C"/>
      </font>
      <fill>
        <patternFill>
          <bgColor rgb="FFFCE6E2"/>
        </patternFill>
      </fill>
    </dxf>
    <dxf>
      <font>
        <b val="1"/>
        <color rgb="FFB4433C"/>
      </font>
      <fill>
        <patternFill>
          <bgColor rgb="FFFCE6E2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EEF3EF"/>
          <bgColor rgb="FF000000"/>
        </patternFill>
      </fill>
    </dxf>
    <dxf>
      <font>
        <color rgb="FF000000"/>
      </font>
      <border diagonalUp="false" diagonalDown="false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</border>
    </dxf>
    <dxf>
      <border diagonalUp="false" diagonalDown="false">
        <left style="thin">
          <color theme="4"/>
        </left>
        <right/>
        <top/>
        <bottom/>
        <diagonal/>
      </border>
    </dxf>
    <dxf>
      <border diagonalUp="false" diagonalDown="false">
        <left style="thin">
          <color theme="4"/>
        </left>
        <right/>
        <top/>
        <bottom/>
        <diagonal/>
      </border>
    </dxf>
    <dxf>
      <border diagonalUp="false" diagonalDown="false">
        <left/>
        <right/>
        <top style="thin">
          <color theme="4"/>
        </top>
        <bottom/>
        <diagonal/>
      </border>
    </dxf>
    <dxf>
      <border diagonalUp="false" diagonalDown="false">
        <left/>
        <right/>
        <top style="thin">
          <color theme="4"/>
        </top>
        <bottom/>
        <diagonal/>
      </border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2">
    <tableStyle count="9" name="TableStyleLight9">
      <tableStyleElement dxfId="32" type="wholeTable"/>
      <tableStyleElement dxfId="33" type="firstColumnStripe"/>
      <tableStyleElement dxfId="34" type="secondColumnStripe"/>
      <tableStyleElement dxfId="35" type="firstRowStripe"/>
      <tableStyleElement dxfId="36" type="secondRowStripe"/>
      <tableStyleElement dxfId="37" type="lastColumn"/>
      <tableStyleElement dxfId="38" type="firstColumn"/>
      <tableStyleElement dxfId="39" type="headerRow"/>
      <tableStyleElement dxfId="40" type="totalRow"/>
    </tableStyle>
    <tableStyle count="7" name="TableStyleMedium2">
      <tableStyleElement dxfId="41" type="wholeTable"/>
      <tableStyleElement dxfId="42" type="firstColumnStripe"/>
      <tableStyleElement dxfId="43" type="firstRowStripe"/>
      <tableStyleElement dxfId="44" type="lastColumn"/>
      <tableStyleElement dxfId="45" type="firstColumn"/>
      <tableStyleElement dxfId="46" type="headerRow"/>
      <tableStyleElement dxfId="47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B4433C"/>
      <rgbColor rgb="FFFFF4D6"/>
      <rgbColor rgb="FFEEF3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EC"/>
      <rgbColor rgb="FFF4F1EC"/>
      <rgbColor rgb="FFFFF4DB"/>
      <rgbColor rgb="FFFCE6E2"/>
      <rgbColor rgb="FFD5B58D"/>
      <rgbColor rgb="FFF7F3EB"/>
      <rgbColor rgb="FFE7DFD2"/>
      <rgbColor rgb="FF3366FF"/>
      <rgbColor rgb="FF46B1E1"/>
      <rgbColor rgb="FF99CC00"/>
      <rgbColor rgb="FFFFCC00"/>
      <rgbColor rgb="FFFF9900"/>
      <rgbColor rgb="FFFF6600"/>
      <rgbColor rgb="FF617664"/>
      <rgbColor rgb="FF969696"/>
      <rgbColor rgb="FF003366"/>
      <rgbColor rgb="FF339966"/>
      <rgbColor rgb="FF003300"/>
      <rgbColor rgb="FF333300"/>
      <rgbColor rgb="FF993300"/>
      <rgbColor rgb="FFB65D3C"/>
      <rgbColor rgb="FF333399"/>
      <rgbColor rgb="FF2E25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Penjualan harian (Rp)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"Penjualan bersih"</c:f>
              <c:strCache>
                <c:ptCount val="1"/>
                <c:pt idx="0">
                  <c:v>Penjualan bersih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OWNER'!$A$18:$A$48</c:f>
              <c:strCache>
                <c:ptCount val="31"/>
                <c:pt idx="0">
                  <c:v>01 Oct</c:v>
                </c:pt>
                <c:pt idx="1">
                  <c:v>02 Oct</c:v>
                </c:pt>
                <c:pt idx="2">
                  <c:v>03 Oct</c:v>
                </c:pt>
                <c:pt idx="3">
                  <c:v>04 Oct</c:v>
                </c:pt>
                <c:pt idx="4">
                  <c:v>05 Oct</c:v>
                </c:pt>
                <c:pt idx="5">
                  <c:v>06 Oct</c:v>
                </c:pt>
                <c:pt idx="6">
                  <c:v>07 Oct</c:v>
                </c:pt>
                <c:pt idx="7">
                  <c:v>08 Oct</c:v>
                </c:pt>
                <c:pt idx="8">
                  <c:v>09 Oct</c:v>
                </c:pt>
                <c:pt idx="9">
                  <c:v>10 Oct</c:v>
                </c:pt>
                <c:pt idx="10">
                  <c:v>11 Oct</c:v>
                </c:pt>
                <c:pt idx="11">
                  <c:v>12 Oct</c:v>
                </c:pt>
                <c:pt idx="12">
                  <c:v>13 Oct</c:v>
                </c:pt>
                <c:pt idx="13">
                  <c:v>14 Oct</c:v>
                </c:pt>
                <c:pt idx="14">
                  <c:v>15 Oct</c:v>
                </c:pt>
                <c:pt idx="15">
                  <c:v>16 Oct</c:v>
                </c:pt>
                <c:pt idx="16">
                  <c:v>17 Oct</c:v>
                </c:pt>
                <c:pt idx="17">
                  <c:v>18 Oct</c:v>
                </c:pt>
                <c:pt idx="18">
                  <c:v>19 Oct</c:v>
                </c:pt>
                <c:pt idx="19">
                  <c:v>20 Oct</c:v>
                </c:pt>
                <c:pt idx="20">
                  <c:v>21 Oct</c:v>
                </c:pt>
                <c:pt idx="21">
                  <c:v>22 Oct</c:v>
                </c:pt>
                <c:pt idx="22">
                  <c:v>23 Oct</c:v>
                </c:pt>
                <c:pt idx="23">
                  <c:v>24 Oct</c:v>
                </c:pt>
                <c:pt idx="24">
                  <c:v>25 Oct</c:v>
                </c:pt>
                <c:pt idx="25">
                  <c:v>26 Oct</c:v>
                </c:pt>
                <c:pt idx="26">
                  <c:v>27 Oct</c:v>
                </c:pt>
                <c:pt idx="27">
                  <c:v>28 Oct</c:v>
                </c:pt>
                <c:pt idx="28">
                  <c:v>29 Oct</c:v>
                </c:pt>
                <c:pt idx="29">
                  <c:v>30 Oct</c:v>
                </c:pt>
                <c:pt idx="30">
                  <c:v/>
                </c:pt>
              </c:strCache>
            </c:strRef>
          </c:cat>
          <c:val>
            <c:numRef>
              <c:f>'DASHBOARD OWNER'!$B$18:$B$48</c:f>
              <c:numCache>
                <c:formatCode>"Rp "#,##0;[RED]"(Rp "#,##0\);"Rp "0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272000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441851"/>
        <c:axId val="46869082"/>
      </c:lineChart>
      <c:catAx>
        <c:axId val="7844185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6869082"/>
        <c:crosses val="autoZero"/>
        <c:auto val="1"/>
        <c:lblAlgn val="ctr"/>
        <c:lblOffset val="100"/>
        <c:noMultiLvlLbl val="0"/>
      </c:catAx>
      <c:valAx>
        <c:axId val="4686908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8441851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Tren laba estimasi (Rp)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"Laba estimasi"</c:f>
              <c:strCache>
                <c:ptCount val="1"/>
                <c:pt idx="0">
                  <c:v>Laba estimasi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OWNER'!$G$18:$G$48</c:f>
              <c:strCach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0</c:v>
                </c:pt>
              </c:strCache>
            </c:strRef>
          </c:cat>
          <c:val>
            <c:numRef>
              <c:f>'DASHBOARD OWNER'!$H$18:$H$48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210030</c:v>
                </c:pt>
                <c:pt idx="30">
                  <c:v>0</c:v>
                </c:pt>
              </c:numCache>
            </c:numRef>
          </c:val>
        </c:ser>
        <c:gapWidth val="150"/>
        <c:overlap val="0"/>
        <c:axId val="519640"/>
        <c:axId val="32513651"/>
      </c:barChart>
      <c:catAx>
        <c:axId val="51964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2513651"/>
        <c:crosses val="autoZero"/>
        <c:auto val="1"/>
        <c:lblAlgn val="ctr"/>
        <c:lblOffset val="100"/>
        <c:noMultiLvlLbl val="0"/>
      </c:catAx>
      <c:valAx>
        <c:axId val="3251365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19640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Metode pembayaran (Rp)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"Bersih"</c:f>
              <c:strCache>
                <c:ptCount val="1"/>
                <c:pt idx="0">
                  <c:v>Bersih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OWNER'!$E$18:$E$23</c:f>
              <c:strCache>
                <c:ptCount val="6"/>
                <c:pt idx="0">
                  <c:v>Tunai</c:v>
                </c:pt>
                <c:pt idx="1">
                  <c:v>QRIS</c:v>
                </c:pt>
                <c:pt idx="2">
                  <c:v>Debit</c:v>
                </c:pt>
                <c:pt idx="3">
                  <c:v>Kredit</c:v>
                </c:pt>
                <c:pt idx="4">
                  <c:v>Transfer</c:v>
                </c:pt>
                <c:pt idx="5">
                  <c:v>E-wallet</c:v>
                </c:pt>
              </c:strCache>
            </c:strRef>
          </c:cat>
          <c:val>
            <c:numRef>
              <c:f>'DASHBOARD OWNER'!$F$18:$F$23</c:f>
              <c:numCache>
                <c:formatCode>"Rp "#,##0;[RED]"(Rp "#,##0\);"Rp "0</c:formatCode>
                <c:ptCount val="6"/>
                <c:pt idx="0">
                  <c:v>122000</c:v>
                </c:pt>
                <c:pt idx="1">
                  <c:v>73000</c:v>
                </c:pt>
                <c:pt idx="2">
                  <c:v>77000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12027702"/>
        <c:axId val="26214986"/>
      </c:barChart>
      <c:catAx>
        <c:axId val="1202770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6214986"/>
        <c:crosses val="autoZero"/>
        <c:auto val="1"/>
        <c:lblAlgn val="ctr"/>
        <c:lblOffset val="100"/>
        <c:noMultiLvlLbl val="0"/>
      </c:catAx>
      <c:valAx>
        <c:axId val="2621498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2027702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0</xdr:rowOff>
    </xdr:from>
    <xdr:to>
      <xdr:col>5</xdr:col>
      <xdr:colOff>264240</xdr:colOff>
      <xdr:row>2</xdr:row>
      <xdr:rowOff>202320</xdr:rowOff>
    </xdr:to>
    <xdr:pic>
      <xdr:nvPicPr>
        <xdr:cNvPr id="1" name="/xl/media/image1.png"/>
        <xdr:cNvPicPr/>
      </xdr:nvPicPr>
      <xdr:blipFill>
        <a:blip r:embed="rId1"/>
        <a:stretch/>
      </xdr:blipFill>
      <xdr:spPr>
        <a:xfrm>
          <a:off x="11513880" y="0"/>
          <a:ext cx="875520" cy="875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15</xdr:col>
      <xdr:colOff>610560</xdr:colOff>
      <xdr:row>16</xdr:row>
      <xdr:rowOff>379800</xdr:rowOff>
    </xdr:to>
    <xdr:graphicFrame>
      <xdr:nvGraphicFramePr>
        <xdr:cNvPr id="2" name="Chart"/>
        <xdr:cNvGraphicFramePr/>
      </xdr:nvGraphicFramePr>
      <xdr:xfrm>
        <a:off x="13251240" y="812880"/>
        <a:ext cx="4890960" cy="476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15</xdr:col>
      <xdr:colOff>610560</xdr:colOff>
      <xdr:row>29</xdr:row>
      <xdr:rowOff>189360</xdr:rowOff>
    </xdr:to>
    <xdr:graphicFrame>
      <xdr:nvGraphicFramePr>
        <xdr:cNvPr id="3" name="Chart"/>
        <xdr:cNvGraphicFramePr/>
      </xdr:nvGraphicFramePr>
      <xdr:xfrm>
        <a:off x="13251240" y="5575320"/>
        <a:ext cx="4890960" cy="266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30</xdr:row>
      <xdr:rowOff>0</xdr:rowOff>
    </xdr:from>
    <xdr:to>
      <xdr:col>15</xdr:col>
      <xdr:colOff>610560</xdr:colOff>
      <xdr:row>42</xdr:row>
      <xdr:rowOff>189360</xdr:rowOff>
    </xdr:to>
    <xdr:graphicFrame>
      <xdr:nvGraphicFramePr>
        <xdr:cNvPr id="4" name="Chart"/>
        <xdr:cNvGraphicFramePr/>
      </xdr:nvGraphicFramePr>
      <xdr:xfrm>
        <a:off x="13251240" y="8242200"/>
        <a:ext cx="4890960" cy="247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856440</xdr:colOff>
      <xdr:row>3</xdr:row>
      <xdr:rowOff>43560</xdr:rowOff>
    </xdr:to>
    <xdr:pic>
      <xdr:nvPicPr>
        <xdr:cNvPr id="5" name="/xl/media/image1.png"/>
        <xdr:cNvPicPr/>
      </xdr:nvPicPr>
      <xdr:blipFill>
        <a:blip r:embed="rId4"/>
        <a:stretch/>
      </xdr:blipFill>
      <xdr:spPr>
        <a:xfrm>
          <a:off x="10572840" y="0"/>
          <a:ext cx="856440" cy="856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_CHECKLISTHARIAN" displayName="T_CHECKLISTHARIAN" ref="A4:I204" headerRowCount="1" totalsRowCount="0" totalsRowShown="0">
  <tableColumns count="9">
    <tableColumn id="1" name="ID checklist"/>
    <tableColumn id="2" name="Tanggal WIB"/>
    <tableColumn id="3" name="Shift"/>
    <tableColumn id="4" name="Fase"/>
    <tableColumn id="5" name="Item pemeriksaan"/>
    <tableColumn id="6" name="Status"/>
    <tableColumn id="7" name="Catatan"/>
    <tableColumn id="8" name="Petugas"/>
    <tableColumn id="9" name="PI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TRANSAKSI" displayName="T_DETAILTRANSAKSI" ref="A4:Q504" headerRowCount="1" totalsRowCount="0" totalsRowShown="0">
  <autoFilter ref="A4:Q504"/>
  <tableColumns count="17">
    <tableColumn id="1" name="Nomor pesanan"/>
    <tableColumn id="2" name="ID menu"/>
    <tableColumn id="3" name="Nama menu"/>
    <tableColumn id="4" name="Varian"/>
    <tableColumn id="5" name="Jumlah"/>
    <tableColumn id="6" name="Harga satuan"/>
    <tableColumn id="7" name="Subtotal item"/>
    <tableColumn id="8" name="Alokasi diskon"/>
    <tableColumn id="9" name="Alokasi refund"/>
    <tableColumn id="10" name="Penjualan bersih item"/>
    <tableColumn id="11" name="HPP per item (snapshot)"/>
    <tableColumn id="12" name="Total HPP"/>
    <tableColumn id="13" name="Laba kotor"/>
    <tableColumn id="14" name="HPP acuan saat input"/>
    <tableColumn id="15" name="Catatan item"/>
    <tableColumn id="16" name="Tanggal pesanan WIB"/>
    <tableColumn id="17" name="Status baya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MASTERBAHAN" displayName="T_MASTERBAHAN" ref="A4:L64" headerRowCount="1" totalsRowCount="0" totalsRowShown="0">
  <autoFilter ref="A4:L64"/>
  <tableColumns count="12">
    <tableColumn id="1" name="ID bahan"/>
    <tableColumn id="2" name="Nama bahan"/>
    <tableColumn id="3" name="Kategori bahan"/>
    <tableColumn id="4" name="Satuan dasar"/>
    <tableColumn id="5" name="Stok awal"/>
    <tableColumn id="6" name="Stok minimum"/>
    <tableColumn id="7" name="Harga beli"/>
    <tableColumn id="8" name="Jumlah pembelian"/>
    <tableColumn id="9" name="Biaya per satuan dasar"/>
    <tableColumn id="10" name="Supplier"/>
    <tableColumn id="11" name="Status stok"/>
    <tableColumn id="12" name="Tanggal diperbarui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MASTERMENU" displayName="T_MASTERMENU" ref="A4:J64" headerRowCount="1" totalsRowCount="0" totalsRowShown="0">
  <autoFilter ref="A4:J64"/>
  <tableColumns count="10">
    <tableColumn id="1" name="ID menu"/>
    <tableColumn id="2" name="Nama menu"/>
    <tableColumn id="3" name="Kategori"/>
    <tableColumn id="4" name="Jenis"/>
    <tableColumn id="5" name="Varian"/>
    <tableColumn id="6" name="Harga jual"/>
    <tableColumn id="7" name="Status"/>
    <tableColumn id="8" name="Dikirim ke dapur"/>
    <tableColumn id="9" name="Catatan"/>
    <tableColumn id="10" name="Tanggal diperbarui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PENGELUARAN" displayName="T_PENGELUARAN" ref="A4:J504" headerRowCount="1" totalsRowCount="0" totalsRowShown="0">
  <autoFilter ref="A4:J504"/>
  <tableColumns count="10">
    <tableColumn id="1" name="Nomor pengeluaran"/>
    <tableColumn id="2" name="Tanggal WIB"/>
    <tableColumn id="3" name="Kategori"/>
    <tableColumn id="4" name="Deskripsi"/>
    <tableColumn id="5" name="Nominal"/>
    <tableColumn id="6" name="Metode pembayaran"/>
    <tableColumn id="7" name="Bukti"/>
    <tableColumn id="8" name="Petugas"/>
    <tableColumn id="9" name="Memengaruhi laba"/>
    <tableColumn id="10" name="Catata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PERGERAKANSTOK" displayName="T_PERGERAKANSTOK" ref="A4:M504" headerRowCount="1" totalsRowCount="0" totalsRowShown="0">
  <autoFilter ref="A4:M504"/>
  <tableColumns count="13">
    <tableColumn id="1" name="Nomor pergerakan"/>
    <tableColumn id="2" name="Tanggal dan waktu WIB"/>
    <tableColumn id="3" name="ID bahan"/>
    <tableColumn id="4" name="Nama bahan"/>
    <tableColumn id="5" name="Jenis"/>
    <tableColumn id="6" name="Jumlah"/>
    <tableColumn id="7" name="Satuan"/>
    <tableColumn id="8" name="Alasan"/>
    <tableColumn id="9" name="Nomor pesanan terkait"/>
    <tableColumn id="10" name="Petugas"/>
    <tableColumn id="11" name="Status persetujuan"/>
    <tableColumn id="12" name="Biaya / unit snapshot"/>
    <tableColumn id="13" name="Kerugian was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REFUNDDANPEMBATALAN" displayName="T_REFUNDDANPEMBATALAN" ref="A4:K504" headerRowCount="1" totalsRowCount="0" totalsRowShown="0">
  <autoFilter ref="A4:K504"/>
  <tableColumns count="11">
    <tableColumn id="1" name="Nomor pengajuan"/>
    <tableColumn id="2" name="Nomor pesanan"/>
    <tableColumn id="3" name="Tanggal WIB"/>
    <tableColumn id="4" name="Jenis"/>
    <tableColumn id="5" name="Nominal"/>
    <tableColumn id="6" name="Alasan"/>
    <tableColumn id="7" name="Pemohon"/>
    <tableColumn id="8" name="Penyetuju"/>
    <tableColumn id="9" name="Status"/>
    <tableColumn id="10" name="Waktu penyelesaian WIB"/>
    <tableColumn id="11" name="Metode pengembalian dan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RESEPDANHPP" displayName="T_RESEPDANHPP" ref="A4:N64" headerRowCount="1" totalsRowCount="0" totalsRowShown="0">
  <autoFilter ref="A4:N64"/>
  <tableColumns count="14">
    <tableColumn id="1" name="ID menu"/>
    <tableColumn id="2" name="Nama menu"/>
    <tableColumn id="3" name="Varian"/>
    <tableColumn id="4" name="ID bahan"/>
    <tableColumn id="5" name="Nama bahan"/>
    <tableColumn id="6" name="Jumlah / porsi"/>
    <tableColumn id="7" name="Satuan"/>
    <tableColumn id="8" name="Biaya / satuan"/>
    <tableColumn id="9" name="Biaya bahan / porsi"/>
    <tableColumn id="10" name="Total HPP menu"/>
    <tableColumn id="11" name="Harga jual"/>
    <tableColumn id="12" name="Laba kotor"/>
    <tableColumn id="13" name="Margin"/>
    <tableColumn id="14" name="Status kelengkapan HPP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_RINGKASANSTOK" displayName="T_RINGKASANSTOK" ref="A4:L64" headerRowCount="1" totalsRowCount="0" totalsRowShown="0">
  <autoFilter ref="A4:L64"/>
  <tableColumns count="12">
    <tableColumn id="1" name="ID bahan"/>
    <tableColumn id="2" name="Nama bahan"/>
    <tableColumn id="3" name="Stok awal"/>
    <tableColumn id="4" name="Stok masuk"/>
    <tableColumn id="5" name="Pemakaian"/>
    <tableColumn id="6" name="Waste"/>
    <tableColumn id="7" name="Penyesuaian ±"/>
    <tableColumn id="8" name="Stok akhir"/>
    <tableColumn id="9" name="Stok minimum"/>
    <tableColumn id="10" name="Status"/>
    <tableColumn id="11" name="Nilai persediaan"/>
    <tableColumn id="12" name="Retur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_SHIFTKASIR" displayName="T_SHIFTKASIR" ref="A4:O504" headerRowCount="1" totalsRowCount="0" totalsRowShown="0">
  <autoFilter ref="A4:O504"/>
  <tableColumns count="15">
    <tableColumn id="1" name="ID shift"/>
    <tableColumn id="2" name="Tanggal WIB"/>
    <tableColumn id="3" name="Nama kasir"/>
    <tableColumn id="4" name="Waktu buka"/>
    <tableColumn id="5" name="Waktu tutup"/>
    <tableColumn id="6" name="Kas awal"/>
    <tableColumn id="7" name="Penjualan tunai bersih"/>
    <tableColumn id="8" name="Kas masuk"/>
    <tableColumn id="9" name="Kas keluar"/>
    <tableColumn id="10" name="Kas seharusnya"/>
    <tableColumn id="11" name="Kas fisik"/>
    <tableColumn id="12" name="Selisih"/>
    <tableColumn id="13" name="Status"/>
    <tableColumn id="14" name="Catatan"/>
    <tableColumn id="15" name="Persetujuan Owner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_STOKMASUK" displayName="T_STOKMASUK" ref="A4:L504" headerRowCount="1" totalsRowCount="0" totalsRowShown="0">
  <autoFilter ref="A4:L504"/>
  <tableColumns count="12">
    <tableColumn id="1" name="Nomor transaksi"/>
    <tableColumn id="2" name="Tanggal dan waktu WIB"/>
    <tableColumn id="3" name="Supplier"/>
    <tableColumn id="4" name="Nomor bukti"/>
    <tableColumn id="5" name="ID bahan"/>
    <tableColumn id="6" name="Nama bahan"/>
    <tableColumn id="7" name="Jumlah"/>
    <tableColumn id="8" name="Satuan"/>
    <tableColumn id="9" name="Harga beli"/>
    <tableColumn id="10" name="Total"/>
    <tableColumn id="11" name="Petugas"/>
    <tableColumn id="12" name="Catata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_STOKOPNAME" displayName="T_STOKOPNAME" ref="A4:L104" headerRowCount="1" totalsRowCount="0" totalsRowShown="0">
  <tableColumns count="12">
    <tableColumn id="1" name="ID opname"/>
    <tableColumn id="2" name="Tanggal/Waktu WIB"/>
    <tableColumn id="3" name="ID bahan"/>
    <tableColumn id="4" name="Nama bahan"/>
    <tableColumn id="5" name="Satuan"/>
    <tableColumn id="6" name="Stok sistem"/>
    <tableColumn id="7" name="Stok fisik"/>
    <tableColumn id="8" name="Selisih"/>
    <tableColumn id="9" name="Alasan"/>
    <tableColumn id="10" name="Petugas"/>
    <tableColumn id="11" name="Penyetuju"/>
    <tableColumn id="12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TRANSAKSIPENJUALAN" displayName="T_TRANSAKSIPENJUALAN" ref="A4:O504" headerRowCount="1" totalsRowCount="0" totalsRowShown="0">
  <autoFilter ref="A4:O504"/>
  <tableColumns count="15">
    <tableColumn id="1" name="Nomor pesanan"/>
    <tableColumn id="2" name="Tanggal WIB"/>
    <tableColumn id="3" name="Waktu WIB"/>
    <tableColumn id="4" name="Shift"/>
    <tableColumn id="5" name="Kasir"/>
    <tableColumn id="6" name="Jenis pesanan"/>
    <tableColumn id="7" name="Meja / pelanggan"/>
    <tableColumn id="8" name="Subtotal"/>
    <tableColumn id="9" name="Diskon"/>
    <tableColumn id="10" name="Refund berhasil"/>
    <tableColumn id="11" name="Penjualan bersih"/>
    <tableColumn id="12" name="Metode pembayaran"/>
    <tableColumn id="13" name="Status pembayaran"/>
    <tableColumn id="14" name="Status pesanan"/>
    <tableColumn id="15" name="Cek alokas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6"/>
  </cols>
  <sheetData>
    <row r="1" customFormat="false" ht="38" hidden="false" customHeight="true" outlineLevel="0" collapsed="false">
      <c r="A1" s="1" t="s">
        <v>0</v>
      </c>
      <c r="B1" s="1"/>
      <c r="C1" s="1"/>
      <c r="D1" s="1"/>
      <c r="E1" s="2"/>
      <c r="F1" s="2"/>
    </row>
    <row r="2" customFormat="false" ht="15" hidden="false" customHeight="false" outlineLevel="0" collapsed="false">
      <c r="E2" s="3"/>
      <c r="F2" s="3"/>
    </row>
    <row r="3" customFormat="false" ht="29" hidden="false" customHeight="true" outlineLevel="0" collapsed="false">
      <c r="A3" s="4" t="s">
        <v>1</v>
      </c>
      <c r="B3" s="5" t="s">
        <v>2</v>
      </c>
      <c r="E3" s="3"/>
      <c r="F3" s="3"/>
    </row>
    <row r="4" customFormat="false" ht="29" hidden="false" customHeight="true" outlineLevel="0" collapsed="false">
      <c r="A4" s="4" t="s">
        <v>3</v>
      </c>
      <c r="B4" s="5" t="s">
        <v>4</v>
      </c>
      <c r="E4" s="3"/>
      <c r="F4" s="3"/>
    </row>
    <row r="5" customFormat="false" ht="29" hidden="false" customHeight="true" outlineLevel="0" collapsed="false">
      <c r="A5" s="4" t="s">
        <v>5</v>
      </c>
      <c r="B5" s="5" t="s">
        <v>6</v>
      </c>
    </row>
    <row r="6" customFormat="false" ht="29" hidden="false" customHeight="true" outlineLevel="0" collapsed="false">
      <c r="A6" s="4" t="s">
        <v>7</v>
      </c>
      <c r="B6" s="5" t="s">
        <v>8</v>
      </c>
    </row>
    <row r="7" customFormat="false" ht="29" hidden="false" customHeight="true" outlineLevel="0" collapsed="false">
      <c r="A7" s="4" t="s">
        <v>9</v>
      </c>
      <c r="B7" s="5" t="s">
        <v>10</v>
      </c>
    </row>
    <row r="8" customFormat="false" ht="29" hidden="false" customHeight="true" outlineLevel="0" collapsed="false">
      <c r="A8" s="4" t="s">
        <v>11</v>
      </c>
      <c r="B8" s="5" t="s">
        <v>12</v>
      </c>
    </row>
    <row r="9" customFormat="false" ht="29" hidden="false" customHeight="true" outlineLevel="0" collapsed="false">
      <c r="A9" s="4" t="s">
        <v>13</v>
      </c>
      <c r="B9" s="5" t="s">
        <v>14</v>
      </c>
    </row>
    <row r="10" customFormat="false" ht="29" hidden="false" customHeight="true" outlineLevel="0" collapsed="false">
      <c r="A10" s="4" t="s">
        <v>15</v>
      </c>
      <c r="B10" s="5" t="s">
        <v>16</v>
      </c>
    </row>
    <row r="11" customFormat="false" ht="29" hidden="false" customHeight="true" outlineLevel="0" collapsed="false">
      <c r="A11" s="4" t="s">
        <v>17</v>
      </c>
      <c r="B11" s="5" t="s">
        <v>18</v>
      </c>
    </row>
    <row r="12" customFormat="false" ht="29" hidden="false" customHeight="true" outlineLevel="0" collapsed="false">
      <c r="A12" s="4" t="s">
        <v>19</v>
      </c>
      <c r="B12" s="5" t="s">
        <v>20</v>
      </c>
    </row>
    <row r="13" customFormat="false" ht="29" hidden="false" customHeight="true" outlineLevel="0" collapsed="false">
      <c r="A13" s="4" t="s">
        <v>21</v>
      </c>
      <c r="B13" s="5" t="s">
        <v>22</v>
      </c>
    </row>
    <row r="14" customFormat="false" ht="29" hidden="false" customHeight="true" outlineLevel="0" collapsed="false">
      <c r="A14" s="4" t="s">
        <v>23</v>
      </c>
      <c r="B14" s="5" t="s">
        <v>24</v>
      </c>
    </row>
    <row r="15" customFormat="false" ht="29" hidden="false" customHeight="true" outlineLevel="0" collapsed="false">
      <c r="A15" s="4" t="s">
        <v>25</v>
      </c>
      <c r="B15" s="5" t="s">
        <v>26</v>
      </c>
    </row>
    <row r="16" customFormat="false" ht="29" hidden="false" customHeight="true" outlineLevel="0" collapsed="false">
      <c r="A16" s="4" t="s">
        <v>27</v>
      </c>
      <c r="B16" s="5" t="s">
        <v>28</v>
      </c>
    </row>
    <row r="17" customFormat="false" ht="29" hidden="false" customHeight="true" outlineLevel="0" collapsed="false">
      <c r="A17" s="4" t="s">
        <v>29</v>
      </c>
      <c r="B17" s="5" t="s">
        <v>30</v>
      </c>
    </row>
    <row r="18" customFormat="false" ht="29" hidden="false" customHeight="true" outlineLevel="0" collapsed="false">
      <c r="A18" s="4" t="s">
        <v>31</v>
      </c>
      <c r="B18" s="5" t="s">
        <v>32</v>
      </c>
    </row>
    <row r="19" customFormat="false" ht="29" hidden="false" customHeight="true" outlineLevel="0" collapsed="false">
      <c r="A19" s="4" t="s">
        <v>33</v>
      </c>
      <c r="B19" s="5" t="s">
        <v>34</v>
      </c>
    </row>
    <row r="20" customFormat="false" ht="29" hidden="false" customHeight="true" outlineLevel="0" collapsed="false">
      <c r="A20" s="4" t="s">
        <v>35</v>
      </c>
      <c r="B20" s="5" t="s">
        <v>36</v>
      </c>
    </row>
    <row r="21" customFormat="false" ht="29" hidden="false" customHeight="true" outlineLevel="0" collapsed="false">
      <c r="A21" s="4" t="s">
        <v>37</v>
      </c>
      <c r="B21" s="5" t="s">
        <v>38</v>
      </c>
    </row>
    <row r="22" customFormat="false" ht="29" hidden="false" customHeight="true" outlineLevel="0" collapsed="false">
      <c r="A22" s="4" t="s">
        <v>39</v>
      </c>
      <c r="B22" s="5" t="s">
        <v>40</v>
      </c>
    </row>
    <row r="23" customFormat="false" ht="29" hidden="false" customHeight="true" outlineLevel="0" collapsed="false">
      <c r="A23" s="4" t="s">
        <v>41</v>
      </c>
      <c r="B23" s="5" t="s">
        <v>42</v>
      </c>
    </row>
    <row r="24" customFormat="false" ht="29" hidden="false" customHeight="true" outlineLevel="0" collapsed="false">
      <c r="A24" s="4" t="s">
        <v>43</v>
      </c>
      <c r="B24" s="5" t="s">
        <v>44</v>
      </c>
    </row>
    <row r="25" customFormat="false" ht="29" hidden="false" customHeight="true" outlineLevel="0" collapsed="false">
      <c r="A25" s="4" t="s">
        <v>45</v>
      </c>
      <c r="B25" s="5" t="s">
        <v>46</v>
      </c>
    </row>
    <row r="26" customFormat="false" ht="29" hidden="false" customHeight="true" outlineLevel="0" collapsed="false">
      <c r="A26" s="4" t="s">
        <v>47</v>
      </c>
      <c r="B26" s="5" t="s">
        <v>48</v>
      </c>
    </row>
    <row r="27" customFormat="false" ht="29" hidden="false" customHeight="true" outlineLevel="0" collapsed="false">
      <c r="A27" s="4" t="s">
        <v>49</v>
      </c>
      <c r="B27" s="5" t="s">
        <v>50</v>
      </c>
    </row>
    <row r="28" customFormat="false" ht="29" hidden="false" customHeight="true" outlineLevel="0" collapsed="false">
      <c r="A28" s="4" t="s">
        <v>51</v>
      </c>
      <c r="B28" s="5" t="s">
        <v>52</v>
      </c>
    </row>
    <row r="29" customFormat="false" ht="15" hidden="false" customHeight="false" outlineLevel="0" collapsed="false">
      <c r="A29" s="6" t="s">
        <v>53</v>
      </c>
      <c r="B29" s="7" t="s">
        <v>54</v>
      </c>
    </row>
    <row r="30" customFormat="false" ht="15" hidden="false" customHeight="false" outlineLevel="0" collapsed="false">
      <c r="A30" s="6" t="s">
        <v>55</v>
      </c>
      <c r="B30" s="7" t="s">
        <v>56</v>
      </c>
    </row>
    <row r="31" customFormat="false" ht="15" hidden="false" customHeight="false" outlineLevel="0" collapsed="false">
      <c r="A31" s="6" t="s">
        <v>57</v>
      </c>
      <c r="B31" s="7" t="s">
        <v>58</v>
      </c>
    </row>
    <row r="32" customFormat="false" ht="15" hidden="false" customHeight="false" outlineLevel="0" collapsed="false">
      <c r="A32" s="6" t="s">
        <v>59</v>
      </c>
      <c r="B32" s="7" t="s">
        <v>60</v>
      </c>
    </row>
    <row r="33" customFormat="false" ht="15" hidden="false" customHeight="false" outlineLevel="0" collapsed="false">
      <c r="A33" s="6" t="s">
        <v>61</v>
      </c>
      <c r="B33" s="7" t="s">
        <v>62</v>
      </c>
    </row>
    <row r="34" customFormat="false" ht="15" hidden="false" customHeight="false" outlineLevel="0" collapsed="false">
      <c r="A34" s="6" t="s">
        <v>63</v>
      </c>
      <c r="B34" s="7" t="s">
        <v>64</v>
      </c>
    </row>
    <row r="35" customFormat="false" ht="15" hidden="false" customHeight="false" outlineLevel="0" collapsed="false">
      <c r="A35" s="6" t="s">
        <v>65</v>
      </c>
      <c r="B35" s="7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9" min="9" style="0" width="42"/>
    <col collapsed="false" customWidth="true" hidden="false" outlineLevel="0" max="10" min="10" style="0" width="23"/>
  </cols>
  <sheetData>
    <row r="1" customFormat="false" ht="38" hidden="false" customHeight="true" outlineLevel="0" collapsed="false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29" hidden="false" customHeight="true" outlineLevel="0" collapsed="false">
      <c r="A2" s="9" t="s">
        <v>67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71</v>
      </c>
      <c r="B4" s="13" t="s">
        <v>72</v>
      </c>
      <c r="C4" s="13" t="s">
        <v>73</v>
      </c>
      <c r="D4" s="13" t="s">
        <v>74</v>
      </c>
      <c r="E4" s="13" t="s">
        <v>75</v>
      </c>
      <c r="F4" s="13" t="s">
        <v>76</v>
      </c>
      <c r="G4" s="13" t="s">
        <v>77</v>
      </c>
      <c r="H4" s="13" t="s">
        <v>78</v>
      </c>
      <c r="I4" s="13" t="s">
        <v>79</v>
      </c>
      <c r="J4" s="13" t="s">
        <v>80</v>
      </c>
    </row>
    <row r="5" customFormat="false" ht="27" hidden="false" customHeight="true" outlineLevel="0" collapsed="false">
      <c r="A5" s="14" t="s">
        <v>81</v>
      </c>
      <c r="B5" s="14" t="s">
        <v>82</v>
      </c>
      <c r="C5" s="14" t="s">
        <v>83</v>
      </c>
      <c r="D5" s="14" t="s">
        <v>84</v>
      </c>
      <c r="E5" s="14" t="s">
        <v>85</v>
      </c>
      <c r="F5" s="15" t="n">
        <v>28000</v>
      </c>
      <c r="G5" s="14" t="s">
        <v>86</v>
      </c>
      <c r="H5" s="14" t="s">
        <v>87</v>
      </c>
      <c r="I5" s="14" t="s">
        <v>88</v>
      </c>
      <c r="J5" s="16" t="n">
        <v>46325</v>
      </c>
    </row>
    <row r="6" customFormat="false" ht="27" hidden="false" customHeight="true" outlineLevel="0" collapsed="false">
      <c r="A6" s="14" t="s">
        <v>89</v>
      </c>
      <c r="B6" s="14" t="s">
        <v>90</v>
      </c>
      <c r="C6" s="14" t="s">
        <v>83</v>
      </c>
      <c r="D6" s="14" t="s">
        <v>84</v>
      </c>
      <c r="E6" s="14" t="s">
        <v>91</v>
      </c>
      <c r="F6" s="15" t="n">
        <v>25000</v>
      </c>
      <c r="G6" s="14" t="s">
        <v>86</v>
      </c>
      <c r="H6" s="14" t="s">
        <v>87</v>
      </c>
      <c r="I6" s="14" t="s">
        <v>88</v>
      </c>
      <c r="J6" s="16" t="n">
        <v>46325</v>
      </c>
    </row>
    <row r="7" customFormat="false" ht="27" hidden="false" customHeight="true" outlineLevel="0" collapsed="false">
      <c r="A7" s="14" t="s">
        <v>92</v>
      </c>
      <c r="B7" s="14" t="s">
        <v>93</v>
      </c>
      <c r="C7" s="14" t="s">
        <v>83</v>
      </c>
      <c r="D7" s="14" t="s">
        <v>84</v>
      </c>
      <c r="E7" s="14" t="s">
        <v>94</v>
      </c>
      <c r="F7" s="15" t="n">
        <v>32000</v>
      </c>
      <c r="G7" s="14" t="s">
        <v>86</v>
      </c>
      <c r="H7" s="14" t="s">
        <v>87</v>
      </c>
      <c r="I7" s="14" t="s">
        <v>88</v>
      </c>
      <c r="J7" s="16" t="n">
        <v>46325</v>
      </c>
    </row>
    <row r="8" customFormat="false" ht="27" hidden="false" customHeight="true" outlineLevel="0" collapsed="false">
      <c r="A8" s="14" t="s">
        <v>95</v>
      </c>
      <c r="B8" s="14" t="s">
        <v>96</v>
      </c>
      <c r="C8" s="14" t="s">
        <v>97</v>
      </c>
      <c r="D8" s="14" t="s">
        <v>84</v>
      </c>
      <c r="E8" s="14" t="s">
        <v>91</v>
      </c>
      <c r="F8" s="15" t="n">
        <v>33000</v>
      </c>
      <c r="G8" s="14" t="s">
        <v>86</v>
      </c>
      <c r="H8" s="14" t="s">
        <v>87</v>
      </c>
      <c r="I8" s="14" t="s">
        <v>88</v>
      </c>
      <c r="J8" s="16" t="n">
        <v>46325</v>
      </c>
    </row>
    <row r="9" customFormat="false" ht="27" hidden="false" customHeight="true" outlineLevel="0" collapsed="false">
      <c r="A9" s="14" t="s">
        <v>98</v>
      </c>
      <c r="B9" s="14" t="s">
        <v>99</v>
      </c>
      <c r="C9" s="14" t="s">
        <v>100</v>
      </c>
      <c r="D9" s="14" t="s">
        <v>84</v>
      </c>
      <c r="E9" s="14" t="s">
        <v>91</v>
      </c>
      <c r="F9" s="15" t="n">
        <v>22000</v>
      </c>
      <c r="G9" s="14" t="s">
        <v>86</v>
      </c>
      <c r="H9" s="14" t="s">
        <v>87</v>
      </c>
      <c r="I9" s="14" t="s">
        <v>88</v>
      </c>
      <c r="J9" s="16" t="n">
        <v>46325</v>
      </c>
    </row>
    <row r="10" customFormat="false" ht="27" hidden="false" customHeight="true" outlineLevel="0" collapsed="false">
      <c r="A10" s="14" t="s">
        <v>101</v>
      </c>
      <c r="B10" s="14" t="s">
        <v>102</v>
      </c>
      <c r="C10" s="14" t="s">
        <v>103</v>
      </c>
      <c r="D10" s="14" t="s">
        <v>104</v>
      </c>
      <c r="E10" s="14" t="s">
        <v>85</v>
      </c>
      <c r="F10" s="15" t="n">
        <v>27000</v>
      </c>
      <c r="G10" s="14" t="s">
        <v>86</v>
      </c>
      <c r="H10" s="14" t="s">
        <v>87</v>
      </c>
      <c r="I10" s="14" t="s">
        <v>88</v>
      </c>
      <c r="J10" s="16" t="n">
        <v>46325</v>
      </c>
    </row>
    <row r="11" customFormat="false" ht="27" hidden="false" customHeight="true" outlineLevel="0" collapsed="false">
      <c r="A11" s="14" t="s">
        <v>105</v>
      </c>
      <c r="B11" s="14" t="s">
        <v>106</v>
      </c>
      <c r="C11" s="14" t="s">
        <v>107</v>
      </c>
      <c r="D11" s="14" t="s">
        <v>104</v>
      </c>
      <c r="E11" s="14" t="s">
        <v>85</v>
      </c>
      <c r="F11" s="15" t="n">
        <v>42000</v>
      </c>
      <c r="G11" s="14" t="s">
        <v>86</v>
      </c>
      <c r="H11" s="14" t="s">
        <v>87</v>
      </c>
      <c r="I11" s="14" t="s">
        <v>88</v>
      </c>
      <c r="J11" s="16" t="n">
        <v>46325</v>
      </c>
    </row>
    <row r="12" customFormat="false" ht="27" hidden="false" customHeight="true" outlineLevel="0" collapsed="false">
      <c r="A12" s="14" t="s">
        <v>108</v>
      </c>
      <c r="B12" s="14" t="s">
        <v>109</v>
      </c>
      <c r="C12" s="14" t="s">
        <v>110</v>
      </c>
      <c r="D12" s="14" t="s">
        <v>104</v>
      </c>
      <c r="E12" s="14" t="s">
        <v>85</v>
      </c>
      <c r="F12" s="15" t="n">
        <v>26000</v>
      </c>
      <c r="G12" s="14" t="s">
        <v>86</v>
      </c>
      <c r="H12" s="14" t="s">
        <v>87</v>
      </c>
      <c r="I12" s="14" t="s">
        <v>88</v>
      </c>
      <c r="J12" s="16" t="n">
        <v>46325</v>
      </c>
    </row>
    <row r="13" customFormat="false" ht="27" hidden="false" customHeight="true" outlineLevel="0" collapsed="false">
      <c r="A13" s="14" t="s">
        <v>111</v>
      </c>
      <c r="B13" s="14" t="s">
        <v>112</v>
      </c>
      <c r="C13" s="14" t="s">
        <v>83</v>
      </c>
      <c r="D13" s="14" t="s">
        <v>84</v>
      </c>
      <c r="E13" s="14" t="s">
        <v>113</v>
      </c>
      <c r="F13" s="15" t="n">
        <v>20000</v>
      </c>
      <c r="G13" s="14" t="s">
        <v>86</v>
      </c>
      <c r="H13" s="14" t="s">
        <v>87</v>
      </c>
      <c r="I13" s="14" t="s">
        <v>88</v>
      </c>
      <c r="J13" s="16" t="n">
        <v>46325</v>
      </c>
    </row>
    <row r="14" customFormat="false" ht="27" hidden="false" customHeight="true" outlineLevel="0" collapsed="false">
      <c r="A14" s="14" t="s">
        <v>114</v>
      </c>
      <c r="B14" s="14" t="s">
        <v>115</v>
      </c>
      <c r="C14" s="14" t="s">
        <v>110</v>
      </c>
      <c r="D14" s="14" t="s">
        <v>104</v>
      </c>
      <c r="E14" s="14" t="s">
        <v>85</v>
      </c>
      <c r="F14" s="15" t="n">
        <v>24000</v>
      </c>
      <c r="G14" s="14" t="s">
        <v>86</v>
      </c>
      <c r="H14" s="14" t="s">
        <v>87</v>
      </c>
      <c r="I14" s="14" t="s">
        <v>88</v>
      </c>
      <c r="J14" s="16" t="n">
        <v>46325</v>
      </c>
    </row>
    <row r="15" customFormat="false" ht="27" hidden="false" customHeight="true" outlineLevel="0" collapsed="false">
      <c r="A15" s="14"/>
      <c r="B15" s="14"/>
      <c r="C15" s="14"/>
      <c r="D15" s="14"/>
      <c r="E15" s="14"/>
      <c r="F15" s="15"/>
      <c r="G15" s="14"/>
      <c r="H15" s="14"/>
      <c r="I15" s="14"/>
      <c r="J15" s="16"/>
    </row>
    <row r="16" customFormat="false" ht="27" hidden="false" customHeight="true" outlineLevel="0" collapsed="false">
      <c r="A16" s="14"/>
      <c r="B16" s="14"/>
      <c r="C16" s="14"/>
      <c r="D16" s="14"/>
      <c r="E16" s="14"/>
      <c r="F16" s="15"/>
      <c r="G16" s="14"/>
      <c r="H16" s="14"/>
      <c r="I16" s="14"/>
      <c r="J16" s="16"/>
    </row>
    <row r="17" customFormat="false" ht="27" hidden="false" customHeight="true" outlineLevel="0" collapsed="false">
      <c r="A17" s="14"/>
      <c r="B17" s="14"/>
      <c r="C17" s="14"/>
      <c r="D17" s="14"/>
      <c r="E17" s="14"/>
      <c r="F17" s="15"/>
      <c r="G17" s="14"/>
      <c r="H17" s="14"/>
      <c r="I17" s="14"/>
      <c r="J17" s="16"/>
    </row>
    <row r="18" customFormat="false" ht="27" hidden="false" customHeight="true" outlineLevel="0" collapsed="false">
      <c r="A18" s="14"/>
      <c r="B18" s="14"/>
      <c r="C18" s="14"/>
      <c r="D18" s="14"/>
      <c r="E18" s="14"/>
      <c r="F18" s="15"/>
      <c r="G18" s="14"/>
      <c r="H18" s="14"/>
      <c r="I18" s="14"/>
      <c r="J18" s="16"/>
    </row>
    <row r="19" customFormat="false" ht="27" hidden="false" customHeight="true" outlineLevel="0" collapsed="false">
      <c r="A19" s="14"/>
      <c r="B19" s="14"/>
      <c r="C19" s="14"/>
      <c r="D19" s="14"/>
      <c r="E19" s="14"/>
      <c r="F19" s="15"/>
      <c r="G19" s="14"/>
      <c r="H19" s="14"/>
      <c r="I19" s="14"/>
      <c r="J19" s="16"/>
    </row>
    <row r="20" customFormat="false" ht="27" hidden="false" customHeight="true" outlineLevel="0" collapsed="false">
      <c r="A20" s="14"/>
      <c r="B20" s="14"/>
      <c r="C20" s="14"/>
      <c r="D20" s="14"/>
      <c r="E20" s="14"/>
      <c r="F20" s="15"/>
      <c r="G20" s="14"/>
      <c r="H20" s="14"/>
      <c r="I20" s="14"/>
      <c r="J20" s="16"/>
    </row>
    <row r="21" customFormat="false" ht="27" hidden="false" customHeight="true" outlineLevel="0" collapsed="false">
      <c r="A21" s="14"/>
      <c r="B21" s="14"/>
      <c r="C21" s="14"/>
      <c r="D21" s="14"/>
      <c r="E21" s="14"/>
      <c r="F21" s="15"/>
      <c r="G21" s="14"/>
      <c r="H21" s="14"/>
      <c r="I21" s="14"/>
      <c r="J21" s="16"/>
    </row>
    <row r="22" customFormat="false" ht="27" hidden="false" customHeight="true" outlineLevel="0" collapsed="false">
      <c r="A22" s="14"/>
      <c r="B22" s="14"/>
      <c r="C22" s="14"/>
      <c r="D22" s="14"/>
      <c r="E22" s="14"/>
      <c r="F22" s="15"/>
      <c r="G22" s="14"/>
      <c r="H22" s="14"/>
      <c r="I22" s="14"/>
      <c r="J22" s="16"/>
    </row>
    <row r="23" customFormat="false" ht="27" hidden="false" customHeight="true" outlineLevel="0" collapsed="false">
      <c r="A23" s="14"/>
      <c r="B23" s="14"/>
      <c r="C23" s="14"/>
      <c r="D23" s="14"/>
      <c r="E23" s="14"/>
      <c r="F23" s="15"/>
      <c r="G23" s="14"/>
      <c r="H23" s="14"/>
      <c r="I23" s="14"/>
      <c r="J23" s="16"/>
    </row>
    <row r="24" customFormat="false" ht="27" hidden="false" customHeight="true" outlineLevel="0" collapsed="false">
      <c r="A24" s="14"/>
      <c r="B24" s="14"/>
      <c r="C24" s="14"/>
      <c r="D24" s="14"/>
      <c r="E24" s="14"/>
      <c r="F24" s="15"/>
      <c r="G24" s="14"/>
      <c r="H24" s="14"/>
      <c r="I24" s="14"/>
      <c r="J24" s="16"/>
    </row>
    <row r="25" customFormat="false" ht="27" hidden="false" customHeight="true" outlineLevel="0" collapsed="false">
      <c r="A25" s="14"/>
      <c r="B25" s="14"/>
      <c r="C25" s="14"/>
      <c r="D25" s="14"/>
      <c r="E25" s="14"/>
      <c r="F25" s="15"/>
      <c r="G25" s="14"/>
      <c r="H25" s="14"/>
      <c r="I25" s="14"/>
      <c r="J25" s="16"/>
    </row>
    <row r="26" customFormat="false" ht="27" hidden="false" customHeight="true" outlineLevel="0" collapsed="false">
      <c r="A26" s="14"/>
      <c r="B26" s="14"/>
      <c r="C26" s="14"/>
      <c r="D26" s="14"/>
      <c r="E26" s="14"/>
      <c r="F26" s="15"/>
      <c r="G26" s="14"/>
      <c r="H26" s="14"/>
      <c r="I26" s="14"/>
      <c r="J26" s="16"/>
    </row>
    <row r="27" customFormat="false" ht="27" hidden="false" customHeight="true" outlineLevel="0" collapsed="false">
      <c r="A27" s="14"/>
      <c r="B27" s="14"/>
      <c r="C27" s="14"/>
      <c r="D27" s="14"/>
      <c r="E27" s="14"/>
      <c r="F27" s="15"/>
      <c r="G27" s="14"/>
      <c r="H27" s="14"/>
      <c r="I27" s="14"/>
      <c r="J27" s="16"/>
    </row>
    <row r="28" customFormat="false" ht="27" hidden="false" customHeight="true" outlineLevel="0" collapsed="false">
      <c r="A28" s="14"/>
      <c r="B28" s="14"/>
      <c r="C28" s="14"/>
      <c r="D28" s="14"/>
      <c r="E28" s="14"/>
      <c r="F28" s="15"/>
      <c r="G28" s="14"/>
      <c r="H28" s="14"/>
      <c r="I28" s="14"/>
      <c r="J28" s="16"/>
    </row>
    <row r="29" customFormat="false" ht="27" hidden="false" customHeight="true" outlineLevel="0" collapsed="false">
      <c r="A29" s="14"/>
      <c r="B29" s="14"/>
      <c r="C29" s="14"/>
      <c r="D29" s="14"/>
      <c r="E29" s="14"/>
      <c r="F29" s="15"/>
      <c r="G29" s="14"/>
      <c r="H29" s="14"/>
      <c r="I29" s="14"/>
      <c r="J29" s="16"/>
    </row>
    <row r="30" customFormat="false" ht="27" hidden="false" customHeight="true" outlineLevel="0" collapsed="false">
      <c r="A30" s="14"/>
      <c r="B30" s="14"/>
      <c r="C30" s="14"/>
      <c r="D30" s="14"/>
      <c r="E30" s="14"/>
      <c r="F30" s="15"/>
      <c r="G30" s="14"/>
      <c r="H30" s="14"/>
      <c r="I30" s="14"/>
      <c r="J30" s="16"/>
    </row>
    <row r="31" customFormat="false" ht="27" hidden="false" customHeight="true" outlineLevel="0" collapsed="false">
      <c r="A31" s="14"/>
      <c r="B31" s="14"/>
      <c r="C31" s="14"/>
      <c r="D31" s="14"/>
      <c r="E31" s="14"/>
      <c r="F31" s="15"/>
      <c r="G31" s="14"/>
      <c r="H31" s="14"/>
      <c r="I31" s="14"/>
      <c r="J31" s="16"/>
    </row>
    <row r="32" customFormat="false" ht="27" hidden="false" customHeight="true" outlineLevel="0" collapsed="false">
      <c r="A32" s="14"/>
      <c r="B32" s="14"/>
      <c r="C32" s="14"/>
      <c r="D32" s="14"/>
      <c r="E32" s="14"/>
      <c r="F32" s="15"/>
      <c r="G32" s="14"/>
      <c r="H32" s="14"/>
      <c r="I32" s="14"/>
      <c r="J32" s="16"/>
    </row>
    <row r="33" customFormat="false" ht="27" hidden="false" customHeight="true" outlineLevel="0" collapsed="false">
      <c r="A33" s="14"/>
      <c r="B33" s="14"/>
      <c r="C33" s="14"/>
      <c r="D33" s="14"/>
      <c r="E33" s="14"/>
      <c r="F33" s="15"/>
      <c r="G33" s="14"/>
      <c r="H33" s="14"/>
      <c r="I33" s="14"/>
      <c r="J33" s="16"/>
    </row>
    <row r="34" customFormat="false" ht="27" hidden="false" customHeight="true" outlineLevel="0" collapsed="false">
      <c r="A34" s="14"/>
      <c r="B34" s="14"/>
      <c r="C34" s="14"/>
      <c r="D34" s="14"/>
      <c r="E34" s="14"/>
      <c r="F34" s="15"/>
      <c r="G34" s="14"/>
      <c r="H34" s="14"/>
      <c r="I34" s="14"/>
      <c r="J34" s="16"/>
    </row>
    <row r="35" customFormat="false" ht="27" hidden="false" customHeight="true" outlineLevel="0" collapsed="false">
      <c r="A35" s="14"/>
      <c r="B35" s="14"/>
      <c r="C35" s="14"/>
      <c r="D35" s="14"/>
      <c r="E35" s="14"/>
      <c r="F35" s="15"/>
      <c r="G35" s="14"/>
      <c r="H35" s="14"/>
      <c r="I35" s="14"/>
      <c r="J35" s="16"/>
    </row>
    <row r="36" customFormat="false" ht="27" hidden="false" customHeight="true" outlineLevel="0" collapsed="false">
      <c r="A36" s="14"/>
      <c r="B36" s="14"/>
      <c r="C36" s="14"/>
      <c r="D36" s="14"/>
      <c r="E36" s="14"/>
      <c r="F36" s="15"/>
      <c r="G36" s="14"/>
      <c r="H36" s="14"/>
      <c r="I36" s="14"/>
      <c r="J36" s="16"/>
    </row>
    <row r="37" customFormat="false" ht="27" hidden="false" customHeight="true" outlineLevel="0" collapsed="false">
      <c r="A37" s="14"/>
      <c r="B37" s="14"/>
      <c r="C37" s="14"/>
      <c r="D37" s="14"/>
      <c r="E37" s="14"/>
      <c r="F37" s="15"/>
      <c r="G37" s="14"/>
      <c r="H37" s="14"/>
      <c r="I37" s="14"/>
      <c r="J37" s="16"/>
    </row>
    <row r="38" customFormat="false" ht="27" hidden="false" customHeight="true" outlineLevel="0" collapsed="false">
      <c r="A38" s="14"/>
      <c r="B38" s="14"/>
      <c r="C38" s="14"/>
      <c r="D38" s="14"/>
      <c r="E38" s="14"/>
      <c r="F38" s="15"/>
      <c r="G38" s="14"/>
      <c r="H38" s="14"/>
      <c r="I38" s="14"/>
      <c r="J38" s="16"/>
    </row>
    <row r="39" customFormat="false" ht="27" hidden="false" customHeight="true" outlineLevel="0" collapsed="false">
      <c r="A39" s="14"/>
      <c r="B39" s="14"/>
      <c r="C39" s="14"/>
      <c r="D39" s="14"/>
      <c r="E39" s="14"/>
      <c r="F39" s="15"/>
      <c r="G39" s="14"/>
      <c r="H39" s="14"/>
      <c r="I39" s="14"/>
      <c r="J39" s="16"/>
    </row>
    <row r="40" customFormat="false" ht="27" hidden="false" customHeight="true" outlineLevel="0" collapsed="false">
      <c r="A40" s="14"/>
      <c r="B40" s="14"/>
      <c r="C40" s="14"/>
      <c r="D40" s="14"/>
      <c r="E40" s="14"/>
      <c r="F40" s="15"/>
      <c r="G40" s="14"/>
      <c r="H40" s="14"/>
      <c r="I40" s="14"/>
      <c r="J40" s="16"/>
    </row>
    <row r="41" customFormat="false" ht="27" hidden="false" customHeight="true" outlineLevel="0" collapsed="false">
      <c r="A41" s="14"/>
      <c r="B41" s="14"/>
      <c r="C41" s="14"/>
      <c r="D41" s="14"/>
      <c r="E41" s="14"/>
      <c r="F41" s="15"/>
      <c r="G41" s="14"/>
      <c r="H41" s="14"/>
      <c r="I41" s="14"/>
      <c r="J41" s="16"/>
    </row>
    <row r="42" customFormat="false" ht="27" hidden="false" customHeight="true" outlineLevel="0" collapsed="false">
      <c r="A42" s="14"/>
      <c r="B42" s="14"/>
      <c r="C42" s="14"/>
      <c r="D42" s="14"/>
      <c r="E42" s="14"/>
      <c r="F42" s="15"/>
      <c r="G42" s="14"/>
      <c r="H42" s="14"/>
      <c r="I42" s="14"/>
      <c r="J42" s="16"/>
    </row>
    <row r="43" customFormat="false" ht="27" hidden="false" customHeight="true" outlineLevel="0" collapsed="false">
      <c r="A43" s="14"/>
      <c r="B43" s="14"/>
      <c r="C43" s="14"/>
      <c r="D43" s="14"/>
      <c r="E43" s="14"/>
      <c r="F43" s="15"/>
      <c r="G43" s="14"/>
      <c r="H43" s="14"/>
      <c r="I43" s="14"/>
      <c r="J43" s="16"/>
    </row>
    <row r="44" customFormat="false" ht="27" hidden="false" customHeight="true" outlineLevel="0" collapsed="false">
      <c r="A44" s="14"/>
      <c r="B44" s="14"/>
      <c r="C44" s="14"/>
      <c r="D44" s="14"/>
      <c r="E44" s="14"/>
      <c r="F44" s="15"/>
      <c r="G44" s="14"/>
      <c r="H44" s="14"/>
      <c r="I44" s="14"/>
      <c r="J44" s="16"/>
    </row>
    <row r="45" customFormat="false" ht="27" hidden="false" customHeight="true" outlineLevel="0" collapsed="false">
      <c r="A45" s="14"/>
      <c r="B45" s="14"/>
      <c r="C45" s="14"/>
      <c r="D45" s="14"/>
      <c r="E45" s="14"/>
      <c r="F45" s="15"/>
      <c r="G45" s="14"/>
      <c r="H45" s="14"/>
      <c r="I45" s="14"/>
      <c r="J45" s="16"/>
    </row>
    <row r="46" customFormat="false" ht="27" hidden="false" customHeight="true" outlineLevel="0" collapsed="false">
      <c r="A46" s="14"/>
      <c r="B46" s="14"/>
      <c r="C46" s="14"/>
      <c r="D46" s="14"/>
      <c r="E46" s="14"/>
      <c r="F46" s="15"/>
      <c r="G46" s="14"/>
      <c r="H46" s="14"/>
      <c r="I46" s="14"/>
      <c r="J46" s="16"/>
    </row>
    <row r="47" customFormat="false" ht="27" hidden="false" customHeight="true" outlineLevel="0" collapsed="false">
      <c r="A47" s="14"/>
      <c r="B47" s="14"/>
      <c r="C47" s="14"/>
      <c r="D47" s="14"/>
      <c r="E47" s="14"/>
      <c r="F47" s="15"/>
      <c r="G47" s="14"/>
      <c r="H47" s="14"/>
      <c r="I47" s="14"/>
      <c r="J47" s="16"/>
    </row>
    <row r="48" customFormat="false" ht="27" hidden="false" customHeight="true" outlineLevel="0" collapsed="false">
      <c r="A48" s="14"/>
      <c r="B48" s="14"/>
      <c r="C48" s="14"/>
      <c r="D48" s="14"/>
      <c r="E48" s="14"/>
      <c r="F48" s="15"/>
      <c r="G48" s="14"/>
      <c r="H48" s="14"/>
      <c r="I48" s="14"/>
      <c r="J48" s="16"/>
    </row>
    <row r="49" customFormat="false" ht="27" hidden="false" customHeight="true" outlineLevel="0" collapsed="false">
      <c r="A49" s="14"/>
      <c r="B49" s="14"/>
      <c r="C49" s="14"/>
      <c r="D49" s="14"/>
      <c r="E49" s="14"/>
      <c r="F49" s="15"/>
      <c r="G49" s="14"/>
      <c r="H49" s="14"/>
      <c r="I49" s="14"/>
      <c r="J49" s="16"/>
    </row>
    <row r="50" customFormat="false" ht="27" hidden="false" customHeight="true" outlineLevel="0" collapsed="false">
      <c r="A50" s="14"/>
      <c r="B50" s="14"/>
      <c r="C50" s="14"/>
      <c r="D50" s="14"/>
      <c r="E50" s="14"/>
      <c r="F50" s="15"/>
      <c r="G50" s="14"/>
      <c r="H50" s="14"/>
      <c r="I50" s="14"/>
      <c r="J50" s="16"/>
    </row>
    <row r="51" customFormat="false" ht="27" hidden="false" customHeight="true" outlineLevel="0" collapsed="false">
      <c r="A51" s="14"/>
      <c r="B51" s="14"/>
      <c r="C51" s="14"/>
      <c r="D51" s="14"/>
      <c r="E51" s="14"/>
      <c r="F51" s="15"/>
      <c r="G51" s="14"/>
      <c r="H51" s="14"/>
      <c r="I51" s="14"/>
      <c r="J51" s="16"/>
    </row>
    <row r="52" customFormat="false" ht="27" hidden="false" customHeight="true" outlineLevel="0" collapsed="false">
      <c r="A52" s="14"/>
      <c r="B52" s="14"/>
      <c r="C52" s="14"/>
      <c r="D52" s="14"/>
      <c r="E52" s="14"/>
      <c r="F52" s="15"/>
      <c r="G52" s="14"/>
      <c r="H52" s="14"/>
      <c r="I52" s="14"/>
      <c r="J52" s="16"/>
    </row>
    <row r="53" customFormat="false" ht="27" hidden="false" customHeight="true" outlineLevel="0" collapsed="false">
      <c r="A53" s="14"/>
      <c r="B53" s="14"/>
      <c r="C53" s="14"/>
      <c r="D53" s="14"/>
      <c r="E53" s="14"/>
      <c r="F53" s="15"/>
      <c r="G53" s="14"/>
      <c r="H53" s="14"/>
      <c r="I53" s="14"/>
      <c r="J53" s="16"/>
    </row>
    <row r="54" customFormat="false" ht="27" hidden="false" customHeight="true" outlineLevel="0" collapsed="false">
      <c r="A54" s="14"/>
      <c r="B54" s="14"/>
      <c r="C54" s="14"/>
      <c r="D54" s="14"/>
      <c r="E54" s="14"/>
      <c r="F54" s="15"/>
      <c r="G54" s="14"/>
      <c r="H54" s="14"/>
      <c r="I54" s="14"/>
      <c r="J54" s="16"/>
    </row>
    <row r="55" customFormat="false" ht="27" hidden="false" customHeight="true" outlineLevel="0" collapsed="false">
      <c r="A55" s="14"/>
      <c r="B55" s="14"/>
      <c r="C55" s="14"/>
      <c r="D55" s="14"/>
      <c r="E55" s="14"/>
      <c r="F55" s="15"/>
      <c r="G55" s="14"/>
      <c r="H55" s="14"/>
      <c r="I55" s="14"/>
      <c r="J55" s="16"/>
    </row>
    <row r="56" customFormat="false" ht="27" hidden="false" customHeight="true" outlineLevel="0" collapsed="false">
      <c r="A56" s="14"/>
      <c r="B56" s="14"/>
      <c r="C56" s="14"/>
      <c r="D56" s="14"/>
      <c r="E56" s="14"/>
      <c r="F56" s="15"/>
      <c r="G56" s="14"/>
      <c r="H56" s="14"/>
      <c r="I56" s="14"/>
      <c r="J56" s="16"/>
    </row>
    <row r="57" customFormat="false" ht="27" hidden="false" customHeight="true" outlineLevel="0" collapsed="false">
      <c r="A57" s="14"/>
      <c r="B57" s="14"/>
      <c r="C57" s="14"/>
      <c r="D57" s="14"/>
      <c r="E57" s="14"/>
      <c r="F57" s="15"/>
      <c r="G57" s="14"/>
      <c r="H57" s="14"/>
      <c r="I57" s="14"/>
      <c r="J57" s="16"/>
    </row>
    <row r="58" customFormat="false" ht="27" hidden="false" customHeight="true" outlineLevel="0" collapsed="false">
      <c r="A58" s="14"/>
      <c r="B58" s="14"/>
      <c r="C58" s="14"/>
      <c r="D58" s="14"/>
      <c r="E58" s="14"/>
      <c r="F58" s="15"/>
      <c r="G58" s="14"/>
      <c r="H58" s="14"/>
      <c r="I58" s="14"/>
      <c r="J58" s="16"/>
    </row>
    <row r="59" customFormat="false" ht="27" hidden="false" customHeight="true" outlineLevel="0" collapsed="false">
      <c r="A59" s="14"/>
      <c r="B59" s="14"/>
      <c r="C59" s="14"/>
      <c r="D59" s="14"/>
      <c r="E59" s="14"/>
      <c r="F59" s="15"/>
      <c r="G59" s="14"/>
      <c r="H59" s="14"/>
      <c r="I59" s="14"/>
      <c r="J59" s="16"/>
    </row>
    <row r="60" customFormat="false" ht="27" hidden="false" customHeight="true" outlineLevel="0" collapsed="false">
      <c r="A60" s="14"/>
      <c r="B60" s="14"/>
      <c r="C60" s="14"/>
      <c r="D60" s="14"/>
      <c r="E60" s="14"/>
      <c r="F60" s="15"/>
      <c r="G60" s="14"/>
      <c r="H60" s="14"/>
      <c r="I60" s="14"/>
      <c r="J60" s="16"/>
    </row>
    <row r="61" customFormat="false" ht="27" hidden="false" customHeight="true" outlineLevel="0" collapsed="false">
      <c r="A61" s="14"/>
      <c r="B61" s="14"/>
      <c r="C61" s="14"/>
      <c r="D61" s="14"/>
      <c r="E61" s="14"/>
      <c r="F61" s="15"/>
      <c r="G61" s="14"/>
      <c r="H61" s="14"/>
      <c r="I61" s="14"/>
      <c r="J61" s="16"/>
    </row>
    <row r="62" customFormat="false" ht="27" hidden="false" customHeight="true" outlineLevel="0" collapsed="false">
      <c r="A62" s="14"/>
      <c r="B62" s="14"/>
      <c r="C62" s="14"/>
      <c r="D62" s="14"/>
      <c r="E62" s="14"/>
      <c r="F62" s="15"/>
      <c r="G62" s="14"/>
      <c r="H62" s="14"/>
      <c r="I62" s="14"/>
      <c r="J62" s="16"/>
    </row>
    <row r="63" customFormat="false" ht="27" hidden="false" customHeight="true" outlineLevel="0" collapsed="false">
      <c r="A63" s="14"/>
      <c r="B63" s="14"/>
      <c r="C63" s="14"/>
      <c r="D63" s="14"/>
      <c r="E63" s="14"/>
      <c r="F63" s="15"/>
      <c r="G63" s="14"/>
      <c r="H63" s="14"/>
      <c r="I63" s="14"/>
      <c r="J63" s="16"/>
    </row>
    <row r="64" customFormat="false" ht="27" hidden="false" customHeight="true" outlineLevel="0" collapsed="false">
      <c r="A64" s="14"/>
      <c r="B64" s="14"/>
      <c r="C64" s="14"/>
      <c r="D64" s="14"/>
      <c r="E64" s="14"/>
      <c r="F64" s="15"/>
      <c r="G64" s="14"/>
      <c r="H64" s="14"/>
      <c r="I64" s="14"/>
      <c r="J64" s="16"/>
    </row>
  </sheetData>
  <conditionalFormatting sqref="A5:A64">
    <cfRule type="expression" priority="2" aboveAverage="0" equalAverage="0" bottom="0" percent="0" rank="0" text="" dxfId="4">
      <formula>AND(A5&lt;&gt;"",COUNTIF($A$5:$A$64,A5)&gt;1)</formula>
    </cfRule>
  </conditionalFormatting>
  <conditionalFormatting sqref="G5:G64">
    <cfRule type="containsText" priority="3" operator="containsText" aboveAverage="0" equalAverage="0" bottom="0" percent="0" rank="0" text="Habis" dxfId="5">
      <formula>NOT(ISERROR(SEARCH("Habis",G5)))</formula>
    </cfRule>
  </conditionalFormatting>
  <dataValidations count="4">
    <dataValidation allowBlank="false" errorStyle="stop" operator="between" showDropDown="false" showErrorMessage="false" showInputMessage="false" sqref="C5:C64" type="list">
      <formula1>"Kopi,Non-kopi,Teh,Pastry,Makanan berat,Camilan,Lainnya"</formula1>
      <formula2>0</formula2>
    </dataValidation>
    <dataValidation allowBlank="false" errorStyle="stop" operator="between" showDropDown="false" showErrorMessage="false" showInputMessage="false" sqref="D5:D64" type="list">
      <formula1>"Makanan,Minuman"</formula1>
      <formula2>0</formula2>
    </dataValidation>
    <dataValidation allowBlank="false" errorStyle="stop" operator="between" showDropDown="false" showErrorMessage="false" showInputMessage="false" sqref="G5:G64" type="list">
      <formula1>"Aktif,Habis,Disembunyikan"</formula1>
      <formula2>0</formula2>
    </dataValidation>
    <dataValidation allowBlank="false" errorStyle="stop" operator="between" showDropDown="false" showErrorMessage="false" showInputMessage="false" sqref="H5:H64" type="list">
      <formula1>"Ya,Tidak"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0"/>
    <col collapsed="false" customWidth="true" hidden="false" outlineLevel="0" max="3" min="3" style="0" width="19"/>
    <col collapsed="false" customWidth="true" hidden="false" outlineLevel="0" max="6" min="4" style="0" width="18"/>
    <col collapsed="false" customWidth="true" hidden="false" outlineLevel="0" max="8" min="7" style="0" width="21"/>
    <col collapsed="false" customWidth="true" hidden="false" outlineLevel="0" max="9" min="9" style="0" width="27"/>
    <col collapsed="false" customWidth="true" hidden="false" outlineLevel="0" max="10" min="10" style="0" width="30"/>
    <col collapsed="false" customWidth="true" hidden="false" outlineLevel="0" max="11" min="11" style="0" width="18"/>
    <col collapsed="false" customWidth="true" hidden="false" outlineLevel="0" max="12" min="12" style="0" width="23"/>
  </cols>
  <sheetData>
    <row r="1" customFormat="false" ht="38" hidden="false" customHeight="true" outlineLevel="0" collapsed="false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29" hidden="false" customHeight="true" outlineLevel="0" collapsed="false">
      <c r="A2" s="9" t="s">
        <v>116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117</v>
      </c>
      <c r="B4" s="13" t="s">
        <v>118</v>
      </c>
      <c r="C4" s="13" t="s">
        <v>119</v>
      </c>
      <c r="D4" s="13" t="s">
        <v>120</v>
      </c>
      <c r="E4" s="13" t="s">
        <v>121</v>
      </c>
      <c r="F4" s="13" t="s">
        <v>122</v>
      </c>
      <c r="G4" s="13" t="s">
        <v>123</v>
      </c>
      <c r="H4" s="13" t="s">
        <v>124</v>
      </c>
      <c r="I4" s="13" t="s">
        <v>125</v>
      </c>
      <c r="J4" s="13" t="s">
        <v>126</v>
      </c>
      <c r="K4" s="13" t="s">
        <v>127</v>
      </c>
      <c r="L4" s="13" t="s">
        <v>80</v>
      </c>
    </row>
    <row r="5" customFormat="false" ht="27" hidden="false" customHeight="true" outlineLevel="0" collapsed="false">
      <c r="A5" s="14" t="s">
        <v>128</v>
      </c>
      <c r="B5" s="14" t="s">
        <v>129</v>
      </c>
      <c r="C5" s="14" t="s">
        <v>83</v>
      </c>
      <c r="D5" s="14" t="s">
        <v>130</v>
      </c>
      <c r="E5" s="14" t="n">
        <v>3000</v>
      </c>
      <c r="F5" s="14" t="n">
        <v>500</v>
      </c>
      <c r="G5" s="15" t="n">
        <v>150000</v>
      </c>
      <c r="H5" s="14" t="n">
        <v>1000</v>
      </c>
      <c r="I5" s="17" t="n">
        <f aca="false">IF(A5="","",IF(OR(NOT(ISNUMBER(G5)),NOT(ISNUMBER(H5)),H5&lt;=0),"BELUM LENGKAP",ROUND(G5/H5,4)))</f>
        <v>150</v>
      </c>
      <c r="J5" s="14" t="s">
        <v>131</v>
      </c>
      <c r="K5" s="18" t="str">
        <f aca="false">IF(A5="","",IF(COUNTIFS('RINGKASAN STOK'!$A$5:$A$504,A5)=0,"BELUM LENGKAP",INDEX('RINGKASAN STOK'!$J$5:$J$504,MATCH(A5,'RINGKASAN STOK'!$A$5:$A$504,0))))</f>
        <v>Aman</v>
      </c>
      <c r="L5" s="16" t="n">
        <v>46325</v>
      </c>
    </row>
    <row r="6" customFormat="false" ht="27" hidden="false" customHeight="true" outlineLevel="0" collapsed="false">
      <c r="A6" s="14" t="s">
        <v>132</v>
      </c>
      <c r="B6" s="14" t="s">
        <v>133</v>
      </c>
      <c r="C6" s="14" t="s">
        <v>134</v>
      </c>
      <c r="D6" s="14" t="s">
        <v>135</v>
      </c>
      <c r="E6" s="14" t="n">
        <v>8000</v>
      </c>
      <c r="F6" s="14" t="n">
        <v>2000</v>
      </c>
      <c r="G6" s="15" t="n">
        <v>24000</v>
      </c>
      <c r="H6" s="14" t="n">
        <v>1000</v>
      </c>
      <c r="I6" s="17" t="n">
        <f aca="false">IF(A6="","",IF(OR(NOT(ISNUMBER(G6)),NOT(ISNUMBER(H6)),H6&lt;=0),"BELUM LENGKAP",ROUND(G6/H6,4)))</f>
        <v>24</v>
      </c>
      <c r="J6" s="14" t="s">
        <v>131</v>
      </c>
      <c r="K6" s="18" t="str">
        <f aca="false">IF(A6="","",IF(COUNTIFS('RINGKASAN STOK'!$A$5:$A$504,A6)=0,"BELUM LENGKAP",INDEX('RINGKASAN STOK'!$J$5:$J$504,MATCH(A6,'RINGKASAN STOK'!$A$5:$A$504,0))))</f>
        <v>Aman</v>
      </c>
      <c r="L6" s="16" t="n">
        <v>46325</v>
      </c>
    </row>
    <row r="7" customFormat="false" ht="27" hidden="false" customHeight="true" outlineLevel="0" collapsed="false">
      <c r="A7" s="14" t="s">
        <v>136</v>
      </c>
      <c r="B7" s="14" t="s">
        <v>137</v>
      </c>
      <c r="C7" s="14" t="s">
        <v>138</v>
      </c>
      <c r="D7" s="14" t="s">
        <v>135</v>
      </c>
      <c r="E7" s="14" t="n">
        <v>2000</v>
      </c>
      <c r="F7" s="14" t="n">
        <v>500</v>
      </c>
      <c r="G7" s="15" t="n">
        <v>40000</v>
      </c>
      <c r="H7" s="14" t="n">
        <v>1000</v>
      </c>
      <c r="I7" s="17" t="n">
        <f aca="false">IF(A7="","",IF(OR(NOT(ISNUMBER(G7)),NOT(ISNUMBER(H7)),H7&lt;=0),"BELUM LENGKAP",ROUND(G7/H7,4)))</f>
        <v>40</v>
      </c>
      <c r="J7" s="14" t="s">
        <v>131</v>
      </c>
      <c r="K7" s="18" t="str">
        <f aca="false">IF(A7="","",IF(COUNTIFS('RINGKASAN STOK'!$A$5:$A$504,A7)=0,"BELUM LENGKAP",INDEX('RINGKASAN STOK'!$J$5:$J$504,MATCH(A7,'RINGKASAN STOK'!$A$5:$A$504,0))))</f>
        <v>Aman</v>
      </c>
      <c r="L7" s="16" t="n">
        <v>46325</v>
      </c>
    </row>
    <row r="8" customFormat="false" ht="27" hidden="false" customHeight="true" outlineLevel="0" collapsed="false">
      <c r="A8" s="14" t="s">
        <v>139</v>
      </c>
      <c r="B8" s="14" t="s">
        <v>140</v>
      </c>
      <c r="C8" s="14" t="s">
        <v>141</v>
      </c>
      <c r="D8" s="14" t="s">
        <v>135</v>
      </c>
      <c r="E8" s="14" t="n">
        <v>20000</v>
      </c>
      <c r="F8" s="14" t="n">
        <v>3000</v>
      </c>
      <c r="G8" s="15" t="n">
        <v>8000</v>
      </c>
      <c r="H8" s="14" t="n">
        <v>10000</v>
      </c>
      <c r="I8" s="17" t="n">
        <f aca="false">IF(A8="","",IF(OR(NOT(ISNUMBER(G8)),NOT(ISNUMBER(H8)),H8&lt;=0),"BELUM LENGKAP",ROUND(G8/H8,4)))</f>
        <v>0.8</v>
      </c>
      <c r="J8" s="14" t="s">
        <v>131</v>
      </c>
      <c r="K8" s="18" t="str">
        <f aca="false">IF(A8="","",IF(COUNTIFS('RINGKASAN STOK'!$A$5:$A$504,A8)=0,"BELUM LENGKAP",INDEX('RINGKASAN STOK'!$J$5:$J$504,MATCH(A8,'RINGKASAN STOK'!$A$5:$A$504,0))))</f>
        <v>Aman</v>
      </c>
      <c r="L8" s="16" t="n">
        <v>46325</v>
      </c>
    </row>
    <row r="9" customFormat="false" ht="27" hidden="false" customHeight="true" outlineLevel="0" collapsed="false">
      <c r="A9" s="14" t="s">
        <v>142</v>
      </c>
      <c r="B9" s="14" t="s">
        <v>143</v>
      </c>
      <c r="C9" s="14" t="s">
        <v>144</v>
      </c>
      <c r="D9" s="14" t="s">
        <v>130</v>
      </c>
      <c r="E9" s="14" t="n">
        <v>500</v>
      </c>
      <c r="F9" s="14" t="n">
        <v>100</v>
      </c>
      <c r="G9" s="15" t="n">
        <v>220000</v>
      </c>
      <c r="H9" s="14" t="n">
        <v>1000</v>
      </c>
      <c r="I9" s="17" t="n">
        <f aca="false">IF(A9="","",IF(OR(NOT(ISNUMBER(G9)),NOT(ISNUMBER(H9)),H9&lt;=0),"BELUM LENGKAP",ROUND(G9/H9,4)))</f>
        <v>220</v>
      </c>
      <c r="J9" s="14" t="s">
        <v>131</v>
      </c>
      <c r="K9" s="18" t="str">
        <f aca="false">IF(A9="","",IF(COUNTIFS('RINGKASAN STOK'!$A$5:$A$504,A9)=0,"BELUM LENGKAP",INDEX('RINGKASAN STOK'!$J$5:$J$504,MATCH(A9,'RINGKASAN STOK'!$A$5:$A$504,0))))</f>
        <v>Aman</v>
      </c>
      <c r="L9" s="16" t="n">
        <v>46325</v>
      </c>
    </row>
    <row r="10" customFormat="false" ht="27" hidden="false" customHeight="true" outlineLevel="0" collapsed="false">
      <c r="A10" s="14" t="s">
        <v>145</v>
      </c>
      <c r="B10" s="14" t="s">
        <v>146</v>
      </c>
      <c r="C10" s="14" t="s">
        <v>100</v>
      </c>
      <c r="D10" s="14" t="s">
        <v>147</v>
      </c>
      <c r="E10" s="14" t="n">
        <v>120</v>
      </c>
      <c r="F10" s="14" t="n">
        <v>20</v>
      </c>
      <c r="G10" s="15" t="n">
        <v>40000</v>
      </c>
      <c r="H10" s="14" t="n">
        <v>100</v>
      </c>
      <c r="I10" s="17" t="n">
        <f aca="false">IF(A10="","",IF(OR(NOT(ISNUMBER(G10)),NOT(ISNUMBER(H10)),H10&lt;=0),"BELUM LENGKAP",ROUND(G10/H10,4)))</f>
        <v>400</v>
      </c>
      <c r="J10" s="14" t="s">
        <v>131</v>
      </c>
      <c r="K10" s="18" t="str">
        <f aca="false">IF(A10="","",IF(COUNTIFS('RINGKASAN STOK'!$A$5:$A$504,A10)=0,"BELUM LENGKAP",INDEX('RINGKASAN STOK'!$J$5:$J$504,MATCH(A10,'RINGKASAN STOK'!$A$5:$A$504,0))))</f>
        <v>Aman</v>
      </c>
      <c r="L10" s="16" t="n">
        <v>46325</v>
      </c>
    </row>
    <row r="11" customFormat="false" ht="27" hidden="false" customHeight="true" outlineLevel="0" collapsed="false">
      <c r="A11" s="14" t="s">
        <v>148</v>
      </c>
      <c r="B11" s="14" t="s">
        <v>149</v>
      </c>
      <c r="C11" s="14" t="s">
        <v>150</v>
      </c>
      <c r="D11" s="14" t="s">
        <v>130</v>
      </c>
      <c r="E11" s="14" t="n">
        <v>1500</v>
      </c>
      <c r="F11" s="14" t="n">
        <v>200</v>
      </c>
      <c r="G11" s="15" t="n">
        <v>30000</v>
      </c>
      <c r="H11" s="14" t="n">
        <v>1000</v>
      </c>
      <c r="I11" s="17" t="n">
        <f aca="false">IF(A11="","",IF(OR(NOT(ISNUMBER(G11)),NOT(ISNUMBER(H11)),H11&lt;=0),"BELUM LENGKAP",ROUND(G11/H11,4)))</f>
        <v>30</v>
      </c>
      <c r="J11" s="14" t="s">
        <v>131</v>
      </c>
      <c r="K11" s="18" t="str">
        <f aca="false">IF(A11="","",IF(COUNTIFS('RINGKASAN STOK'!$A$5:$A$504,A11)=0,"BELUM LENGKAP",INDEX('RINGKASAN STOK'!$J$5:$J$504,MATCH(A11,'RINGKASAN STOK'!$A$5:$A$504,0))))</f>
        <v>Aman</v>
      </c>
      <c r="L11" s="16" t="n">
        <v>46325</v>
      </c>
    </row>
    <row r="12" customFormat="false" ht="27" hidden="false" customHeight="true" outlineLevel="0" collapsed="false">
      <c r="A12" s="14" t="s">
        <v>151</v>
      </c>
      <c r="B12" s="14" t="s">
        <v>152</v>
      </c>
      <c r="C12" s="14" t="s">
        <v>103</v>
      </c>
      <c r="D12" s="14" t="s">
        <v>147</v>
      </c>
      <c r="E12" s="14" t="n">
        <v>30</v>
      </c>
      <c r="F12" s="14" t="n">
        <v>8</v>
      </c>
      <c r="G12" s="15" t="n">
        <v>150000</v>
      </c>
      <c r="H12" s="14" t="n">
        <v>20</v>
      </c>
      <c r="I12" s="17" t="n">
        <f aca="false">IF(A12="","",IF(OR(NOT(ISNUMBER(G12)),NOT(ISNUMBER(H12)),H12&lt;=0),"BELUM LENGKAP",ROUND(G12/H12,4)))</f>
        <v>7500</v>
      </c>
      <c r="J12" s="14" t="s">
        <v>131</v>
      </c>
      <c r="K12" s="18" t="str">
        <f aca="false">IF(A12="","",IF(COUNTIFS('RINGKASAN STOK'!$A$5:$A$504,A12)=0,"BELUM LENGKAP",INDEX('RINGKASAN STOK'!$J$5:$J$504,MATCH(A12,'RINGKASAN STOK'!$A$5:$A$504,0))))</f>
        <v>Aman</v>
      </c>
      <c r="L12" s="16" t="n">
        <v>46325</v>
      </c>
    </row>
    <row r="13" customFormat="false" ht="27" hidden="false" customHeight="true" outlineLevel="0" collapsed="false">
      <c r="A13" s="14" t="s">
        <v>153</v>
      </c>
      <c r="B13" s="14" t="s">
        <v>154</v>
      </c>
      <c r="C13" s="14" t="s">
        <v>155</v>
      </c>
      <c r="D13" s="14" t="s">
        <v>130</v>
      </c>
      <c r="E13" s="14" t="n">
        <v>5000</v>
      </c>
      <c r="F13" s="14" t="n">
        <v>1000</v>
      </c>
      <c r="G13" s="15" t="n">
        <v>17000</v>
      </c>
      <c r="H13" s="14" t="n">
        <v>1000</v>
      </c>
      <c r="I13" s="17" t="n">
        <f aca="false">IF(A13="","",IF(OR(NOT(ISNUMBER(G13)),NOT(ISNUMBER(H13)),H13&lt;=0),"BELUM LENGKAP",ROUND(G13/H13,4)))</f>
        <v>17</v>
      </c>
      <c r="J13" s="14" t="s">
        <v>131</v>
      </c>
      <c r="K13" s="18" t="str">
        <f aca="false">IF(A13="","",IF(COUNTIFS('RINGKASAN STOK'!$A$5:$A$504,A13)=0,"BELUM LENGKAP",INDEX('RINGKASAN STOK'!$J$5:$J$504,MATCH(A13,'RINGKASAN STOK'!$A$5:$A$504,0))))</f>
        <v>Aman</v>
      </c>
      <c r="L13" s="16" t="n">
        <v>46325</v>
      </c>
    </row>
    <row r="14" customFormat="false" ht="27" hidden="false" customHeight="true" outlineLevel="0" collapsed="false">
      <c r="A14" s="14" t="s">
        <v>156</v>
      </c>
      <c r="B14" s="14" t="s">
        <v>157</v>
      </c>
      <c r="C14" s="14" t="s">
        <v>155</v>
      </c>
      <c r="D14" s="14" t="s">
        <v>147</v>
      </c>
      <c r="E14" s="14" t="n">
        <v>80</v>
      </c>
      <c r="F14" s="14" t="n">
        <v>15</v>
      </c>
      <c r="G14" s="15" t="n">
        <v>30000</v>
      </c>
      <c r="H14" s="14" t="n">
        <v>30</v>
      </c>
      <c r="I14" s="17" t="n">
        <f aca="false">IF(A14="","",IF(OR(NOT(ISNUMBER(G14)),NOT(ISNUMBER(H14)),H14&lt;=0),"BELUM LENGKAP",ROUND(G14/H14,4)))</f>
        <v>1000</v>
      </c>
      <c r="J14" s="14" t="s">
        <v>131</v>
      </c>
      <c r="K14" s="18" t="str">
        <f aca="false">IF(A14="","",IF(COUNTIFS('RINGKASAN STOK'!$A$5:$A$504,A14)=0,"BELUM LENGKAP",INDEX('RINGKASAN STOK'!$J$5:$J$504,MATCH(A14,'RINGKASAN STOK'!$A$5:$A$504,0))))</f>
        <v>Aman</v>
      </c>
      <c r="L14" s="16" t="n">
        <v>46325</v>
      </c>
    </row>
    <row r="15" customFormat="false" ht="27" hidden="false" customHeight="true" outlineLevel="0" collapsed="false">
      <c r="A15" s="14" t="s">
        <v>158</v>
      </c>
      <c r="B15" s="14" t="s">
        <v>159</v>
      </c>
      <c r="C15" s="14" t="s">
        <v>155</v>
      </c>
      <c r="D15" s="14" t="s">
        <v>130</v>
      </c>
      <c r="E15" s="14" t="n">
        <v>3000</v>
      </c>
      <c r="F15" s="14" t="n">
        <v>500</v>
      </c>
      <c r="G15" s="15" t="n">
        <v>50000</v>
      </c>
      <c r="H15" s="14" t="n">
        <v>1000</v>
      </c>
      <c r="I15" s="17" t="n">
        <f aca="false">IF(A15="","",IF(OR(NOT(ISNUMBER(G15)),NOT(ISNUMBER(H15)),H15&lt;=0),"BELUM LENGKAP",ROUND(G15/H15,4)))</f>
        <v>50</v>
      </c>
      <c r="J15" s="14" t="s">
        <v>131</v>
      </c>
      <c r="K15" s="18" t="str">
        <f aca="false">IF(A15="","",IF(COUNTIFS('RINGKASAN STOK'!$A$5:$A$504,A15)=0,"BELUM LENGKAP",INDEX('RINGKASAN STOK'!$J$5:$J$504,MATCH(A15,'RINGKASAN STOK'!$A$5:$A$504,0))))</f>
        <v>Aman</v>
      </c>
      <c r="L15" s="16" t="n">
        <v>46325</v>
      </c>
    </row>
    <row r="16" customFormat="false" ht="27" hidden="false" customHeight="true" outlineLevel="0" collapsed="false">
      <c r="A16" s="14" t="s">
        <v>160</v>
      </c>
      <c r="B16" s="14" t="s">
        <v>161</v>
      </c>
      <c r="C16" s="14" t="s">
        <v>155</v>
      </c>
      <c r="D16" s="14" t="s">
        <v>147</v>
      </c>
      <c r="E16" s="14" t="n">
        <v>35</v>
      </c>
      <c r="F16" s="14" t="n">
        <v>10</v>
      </c>
      <c r="G16" s="15" t="n">
        <v>50000</v>
      </c>
      <c r="H16" s="14" t="n">
        <v>20</v>
      </c>
      <c r="I16" s="17" t="n">
        <f aca="false">IF(A16="","",IF(OR(NOT(ISNUMBER(G16)),NOT(ISNUMBER(H16)),H16&lt;=0),"BELUM LENGKAP",ROUND(G16/H16,4)))</f>
        <v>2500</v>
      </c>
      <c r="J16" s="14" t="s">
        <v>131</v>
      </c>
      <c r="K16" s="18" t="str">
        <f aca="false">IF(A16="","",IF(COUNTIFS('RINGKASAN STOK'!$A$5:$A$504,A16)=0,"BELUM LENGKAP",INDEX('RINGKASAN STOK'!$J$5:$J$504,MATCH(A16,'RINGKASAN STOK'!$A$5:$A$504,0))))</f>
        <v>Aman</v>
      </c>
      <c r="L16" s="16" t="n">
        <v>46325</v>
      </c>
    </row>
    <row r="17" customFormat="false" ht="27" hidden="false" customHeight="true" outlineLevel="0" collapsed="false">
      <c r="A17" s="14"/>
      <c r="B17" s="14"/>
      <c r="C17" s="14"/>
      <c r="D17" s="14"/>
      <c r="E17" s="14"/>
      <c r="F17" s="14"/>
      <c r="G17" s="15"/>
      <c r="H17" s="14"/>
      <c r="I17" s="17" t="str">
        <f aca="false">IF(A17="","",IF(OR(NOT(ISNUMBER(G17)),NOT(ISNUMBER(H17)),H17&lt;=0),"BELUM LENGKAP",ROUND(G17/H17,4)))</f>
        <v/>
      </c>
      <c r="J17" s="14"/>
      <c r="K17" s="18" t="str">
        <f aca="false">IF(A17="","",IF(COUNTIFS('RINGKASAN STOK'!$A$5:$A$504,A17)=0,"BELUM LENGKAP",INDEX('RINGKASAN STOK'!$J$5:$J$504,MATCH(A17,'RINGKASAN STOK'!$A$5:$A$504,0))))</f>
        <v/>
      </c>
      <c r="L17" s="16"/>
    </row>
    <row r="18" customFormat="false" ht="27" hidden="false" customHeight="true" outlineLevel="0" collapsed="false">
      <c r="A18" s="14"/>
      <c r="B18" s="14"/>
      <c r="C18" s="14"/>
      <c r="D18" s="14"/>
      <c r="E18" s="14"/>
      <c r="F18" s="14"/>
      <c r="G18" s="15"/>
      <c r="H18" s="14"/>
      <c r="I18" s="17" t="str">
        <f aca="false">IF(A18="","",IF(OR(NOT(ISNUMBER(G18)),NOT(ISNUMBER(H18)),H18&lt;=0),"BELUM LENGKAP",ROUND(G18/H18,4)))</f>
        <v/>
      </c>
      <c r="J18" s="14"/>
      <c r="K18" s="18" t="str">
        <f aca="false">IF(A18="","",IF(COUNTIFS('RINGKASAN STOK'!$A$5:$A$504,A18)=0,"BELUM LENGKAP",INDEX('RINGKASAN STOK'!$J$5:$J$504,MATCH(A18,'RINGKASAN STOK'!$A$5:$A$504,0))))</f>
        <v/>
      </c>
      <c r="L18" s="16"/>
    </row>
    <row r="19" customFormat="false" ht="27" hidden="false" customHeight="true" outlineLevel="0" collapsed="false">
      <c r="A19" s="14"/>
      <c r="B19" s="14"/>
      <c r="C19" s="14"/>
      <c r="D19" s="14"/>
      <c r="E19" s="14"/>
      <c r="F19" s="14"/>
      <c r="G19" s="15"/>
      <c r="H19" s="14"/>
      <c r="I19" s="17" t="str">
        <f aca="false">IF(A19="","",IF(OR(NOT(ISNUMBER(G19)),NOT(ISNUMBER(H19)),H19&lt;=0),"BELUM LENGKAP",ROUND(G19/H19,4)))</f>
        <v/>
      </c>
      <c r="J19" s="14"/>
      <c r="K19" s="18" t="str">
        <f aca="false">IF(A19="","",IF(COUNTIFS('RINGKASAN STOK'!$A$5:$A$504,A19)=0,"BELUM LENGKAP",INDEX('RINGKASAN STOK'!$J$5:$J$504,MATCH(A19,'RINGKASAN STOK'!$A$5:$A$504,0))))</f>
        <v/>
      </c>
      <c r="L19" s="16"/>
    </row>
    <row r="20" customFormat="false" ht="27" hidden="false" customHeight="true" outlineLevel="0" collapsed="false">
      <c r="A20" s="14"/>
      <c r="B20" s="14"/>
      <c r="C20" s="14"/>
      <c r="D20" s="14"/>
      <c r="E20" s="14"/>
      <c r="F20" s="14"/>
      <c r="G20" s="15"/>
      <c r="H20" s="14"/>
      <c r="I20" s="17" t="str">
        <f aca="false">IF(A20="","",IF(OR(NOT(ISNUMBER(G20)),NOT(ISNUMBER(H20)),H20&lt;=0),"BELUM LENGKAP",ROUND(G20/H20,4)))</f>
        <v/>
      </c>
      <c r="J20" s="14"/>
      <c r="K20" s="18" t="str">
        <f aca="false">IF(A20="","",IF(COUNTIFS('RINGKASAN STOK'!$A$5:$A$504,A20)=0,"BELUM LENGKAP",INDEX('RINGKASAN STOK'!$J$5:$J$504,MATCH(A20,'RINGKASAN STOK'!$A$5:$A$504,0))))</f>
        <v/>
      </c>
      <c r="L20" s="16"/>
    </row>
    <row r="21" customFormat="false" ht="27" hidden="false" customHeight="true" outlineLevel="0" collapsed="false">
      <c r="A21" s="14"/>
      <c r="B21" s="14"/>
      <c r="C21" s="14"/>
      <c r="D21" s="14"/>
      <c r="E21" s="14"/>
      <c r="F21" s="14"/>
      <c r="G21" s="15"/>
      <c r="H21" s="14"/>
      <c r="I21" s="17" t="str">
        <f aca="false">IF(A21="","",IF(OR(NOT(ISNUMBER(G21)),NOT(ISNUMBER(H21)),H21&lt;=0),"BELUM LENGKAP",ROUND(G21/H21,4)))</f>
        <v/>
      </c>
      <c r="J21" s="14"/>
      <c r="K21" s="18" t="str">
        <f aca="false">IF(A21="","",IF(COUNTIFS('RINGKASAN STOK'!$A$5:$A$504,A21)=0,"BELUM LENGKAP",INDEX('RINGKASAN STOK'!$J$5:$J$504,MATCH(A21,'RINGKASAN STOK'!$A$5:$A$504,0))))</f>
        <v/>
      </c>
      <c r="L21" s="16"/>
    </row>
    <row r="22" customFormat="false" ht="27" hidden="false" customHeight="true" outlineLevel="0" collapsed="false">
      <c r="A22" s="14"/>
      <c r="B22" s="14"/>
      <c r="C22" s="14"/>
      <c r="D22" s="14"/>
      <c r="E22" s="14"/>
      <c r="F22" s="14"/>
      <c r="G22" s="15"/>
      <c r="H22" s="14"/>
      <c r="I22" s="17" t="str">
        <f aca="false">IF(A22="","",IF(OR(NOT(ISNUMBER(G22)),NOT(ISNUMBER(H22)),H22&lt;=0),"BELUM LENGKAP",ROUND(G22/H22,4)))</f>
        <v/>
      </c>
      <c r="J22" s="14"/>
      <c r="K22" s="18" t="str">
        <f aca="false">IF(A22="","",IF(COUNTIFS('RINGKASAN STOK'!$A$5:$A$504,A22)=0,"BELUM LENGKAP",INDEX('RINGKASAN STOK'!$J$5:$J$504,MATCH(A22,'RINGKASAN STOK'!$A$5:$A$504,0))))</f>
        <v/>
      </c>
      <c r="L22" s="16"/>
    </row>
    <row r="23" customFormat="false" ht="27" hidden="false" customHeight="true" outlineLevel="0" collapsed="false">
      <c r="A23" s="14"/>
      <c r="B23" s="14"/>
      <c r="C23" s="14"/>
      <c r="D23" s="14"/>
      <c r="E23" s="14"/>
      <c r="F23" s="14"/>
      <c r="G23" s="15"/>
      <c r="H23" s="14"/>
      <c r="I23" s="17" t="str">
        <f aca="false">IF(A23="","",IF(OR(NOT(ISNUMBER(G23)),NOT(ISNUMBER(H23)),H23&lt;=0),"BELUM LENGKAP",ROUND(G23/H23,4)))</f>
        <v/>
      </c>
      <c r="J23" s="14"/>
      <c r="K23" s="18" t="str">
        <f aca="false">IF(A23="","",IF(COUNTIFS('RINGKASAN STOK'!$A$5:$A$504,A23)=0,"BELUM LENGKAP",INDEX('RINGKASAN STOK'!$J$5:$J$504,MATCH(A23,'RINGKASAN STOK'!$A$5:$A$504,0))))</f>
        <v/>
      </c>
      <c r="L23" s="16"/>
    </row>
    <row r="24" customFormat="false" ht="27" hidden="false" customHeight="true" outlineLevel="0" collapsed="false">
      <c r="A24" s="14"/>
      <c r="B24" s="14"/>
      <c r="C24" s="14"/>
      <c r="D24" s="14"/>
      <c r="E24" s="14"/>
      <c r="F24" s="14"/>
      <c r="G24" s="15"/>
      <c r="H24" s="14"/>
      <c r="I24" s="17" t="str">
        <f aca="false">IF(A24="","",IF(OR(NOT(ISNUMBER(G24)),NOT(ISNUMBER(H24)),H24&lt;=0),"BELUM LENGKAP",ROUND(G24/H24,4)))</f>
        <v/>
      </c>
      <c r="J24" s="14"/>
      <c r="K24" s="18" t="str">
        <f aca="false">IF(A24="","",IF(COUNTIFS('RINGKASAN STOK'!$A$5:$A$504,A24)=0,"BELUM LENGKAP",INDEX('RINGKASAN STOK'!$J$5:$J$504,MATCH(A24,'RINGKASAN STOK'!$A$5:$A$504,0))))</f>
        <v/>
      </c>
      <c r="L24" s="16"/>
    </row>
    <row r="25" customFormat="false" ht="27" hidden="false" customHeight="true" outlineLevel="0" collapsed="false">
      <c r="A25" s="14"/>
      <c r="B25" s="14"/>
      <c r="C25" s="14"/>
      <c r="D25" s="14"/>
      <c r="E25" s="14"/>
      <c r="F25" s="14"/>
      <c r="G25" s="15"/>
      <c r="H25" s="14"/>
      <c r="I25" s="17" t="str">
        <f aca="false">IF(A25="","",IF(OR(NOT(ISNUMBER(G25)),NOT(ISNUMBER(H25)),H25&lt;=0),"BELUM LENGKAP",ROUND(G25/H25,4)))</f>
        <v/>
      </c>
      <c r="J25" s="14"/>
      <c r="K25" s="18" t="str">
        <f aca="false">IF(A25="","",IF(COUNTIFS('RINGKASAN STOK'!$A$5:$A$504,A25)=0,"BELUM LENGKAP",INDEX('RINGKASAN STOK'!$J$5:$J$504,MATCH(A25,'RINGKASAN STOK'!$A$5:$A$504,0))))</f>
        <v/>
      </c>
      <c r="L25" s="16"/>
    </row>
    <row r="26" customFormat="false" ht="27" hidden="false" customHeight="true" outlineLevel="0" collapsed="false">
      <c r="A26" s="14"/>
      <c r="B26" s="14"/>
      <c r="C26" s="14"/>
      <c r="D26" s="14"/>
      <c r="E26" s="14"/>
      <c r="F26" s="14"/>
      <c r="G26" s="15"/>
      <c r="H26" s="14"/>
      <c r="I26" s="17" t="str">
        <f aca="false">IF(A26="","",IF(OR(NOT(ISNUMBER(G26)),NOT(ISNUMBER(H26)),H26&lt;=0),"BELUM LENGKAP",ROUND(G26/H26,4)))</f>
        <v/>
      </c>
      <c r="J26" s="14"/>
      <c r="K26" s="18" t="str">
        <f aca="false">IF(A26="","",IF(COUNTIFS('RINGKASAN STOK'!$A$5:$A$504,A26)=0,"BELUM LENGKAP",INDEX('RINGKASAN STOK'!$J$5:$J$504,MATCH(A26,'RINGKASAN STOK'!$A$5:$A$504,0))))</f>
        <v/>
      </c>
      <c r="L26" s="16"/>
    </row>
    <row r="27" customFormat="false" ht="27" hidden="false" customHeight="true" outlineLevel="0" collapsed="false">
      <c r="A27" s="14"/>
      <c r="B27" s="14"/>
      <c r="C27" s="14"/>
      <c r="D27" s="14"/>
      <c r="E27" s="14"/>
      <c r="F27" s="14"/>
      <c r="G27" s="15"/>
      <c r="H27" s="14"/>
      <c r="I27" s="17" t="str">
        <f aca="false">IF(A27="","",IF(OR(NOT(ISNUMBER(G27)),NOT(ISNUMBER(H27)),H27&lt;=0),"BELUM LENGKAP",ROUND(G27/H27,4)))</f>
        <v/>
      </c>
      <c r="J27" s="14"/>
      <c r="K27" s="18" t="str">
        <f aca="false">IF(A27="","",IF(COUNTIFS('RINGKASAN STOK'!$A$5:$A$504,A27)=0,"BELUM LENGKAP",INDEX('RINGKASAN STOK'!$J$5:$J$504,MATCH(A27,'RINGKASAN STOK'!$A$5:$A$504,0))))</f>
        <v/>
      </c>
      <c r="L27" s="16"/>
    </row>
    <row r="28" customFormat="false" ht="27" hidden="false" customHeight="true" outlineLevel="0" collapsed="false">
      <c r="A28" s="14"/>
      <c r="B28" s="14"/>
      <c r="C28" s="14"/>
      <c r="D28" s="14"/>
      <c r="E28" s="14"/>
      <c r="F28" s="14"/>
      <c r="G28" s="15"/>
      <c r="H28" s="14"/>
      <c r="I28" s="17" t="str">
        <f aca="false">IF(A28="","",IF(OR(NOT(ISNUMBER(G28)),NOT(ISNUMBER(H28)),H28&lt;=0),"BELUM LENGKAP",ROUND(G28/H28,4)))</f>
        <v/>
      </c>
      <c r="J28" s="14"/>
      <c r="K28" s="18" t="str">
        <f aca="false">IF(A28="","",IF(COUNTIFS('RINGKASAN STOK'!$A$5:$A$504,A28)=0,"BELUM LENGKAP",INDEX('RINGKASAN STOK'!$J$5:$J$504,MATCH(A28,'RINGKASAN STOK'!$A$5:$A$504,0))))</f>
        <v/>
      </c>
      <c r="L28" s="16"/>
    </row>
    <row r="29" customFormat="false" ht="27" hidden="false" customHeight="true" outlineLevel="0" collapsed="false">
      <c r="A29" s="14"/>
      <c r="B29" s="14"/>
      <c r="C29" s="14"/>
      <c r="D29" s="14"/>
      <c r="E29" s="14"/>
      <c r="F29" s="14"/>
      <c r="G29" s="15"/>
      <c r="H29" s="14"/>
      <c r="I29" s="17" t="str">
        <f aca="false">IF(A29="","",IF(OR(NOT(ISNUMBER(G29)),NOT(ISNUMBER(H29)),H29&lt;=0),"BELUM LENGKAP",ROUND(G29/H29,4)))</f>
        <v/>
      </c>
      <c r="J29" s="14"/>
      <c r="K29" s="18" t="str">
        <f aca="false">IF(A29="","",IF(COUNTIFS('RINGKASAN STOK'!$A$5:$A$504,A29)=0,"BELUM LENGKAP",INDEX('RINGKASAN STOK'!$J$5:$J$504,MATCH(A29,'RINGKASAN STOK'!$A$5:$A$504,0))))</f>
        <v/>
      </c>
      <c r="L29" s="16"/>
    </row>
    <row r="30" customFormat="false" ht="27" hidden="false" customHeight="true" outlineLevel="0" collapsed="false">
      <c r="A30" s="14"/>
      <c r="B30" s="14"/>
      <c r="C30" s="14"/>
      <c r="D30" s="14"/>
      <c r="E30" s="14"/>
      <c r="F30" s="14"/>
      <c r="G30" s="15"/>
      <c r="H30" s="14"/>
      <c r="I30" s="17" t="str">
        <f aca="false">IF(A30="","",IF(OR(NOT(ISNUMBER(G30)),NOT(ISNUMBER(H30)),H30&lt;=0),"BELUM LENGKAP",ROUND(G30/H30,4)))</f>
        <v/>
      </c>
      <c r="J30" s="14"/>
      <c r="K30" s="18" t="str">
        <f aca="false">IF(A30="","",IF(COUNTIFS('RINGKASAN STOK'!$A$5:$A$504,A30)=0,"BELUM LENGKAP",INDEX('RINGKASAN STOK'!$J$5:$J$504,MATCH(A30,'RINGKASAN STOK'!$A$5:$A$504,0))))</f>
        <v/>
      </c>
      <c r="L30" s="16"/>
    </row>
    <row r="31" customFormat="false" ht="27" hidden="false" customHeight="true" outlineLevel="0" collapsed="false">
      <c r="A31" s="14"/>
      <c r="B31" s="14"/>
      <c r="C31" s="14"/>
      <c r="D31" s="14"/>
      <c r="E31" s="14"/>
      <c r="F31" s="14"/>
      <c r="G31" s="15"/>
      <c r="H31" s="14"/>
      <c r="I31" s="17" t="str">
        <f aca="false">IF(A31="","",IF(OR(NOT(ISNUMBER(G31)),NOT(ISNUMBER(H31)),H31&lt;=0),"BELUM LENGKAP",ROUND(G31/H31,4)))</f>
        <v/>
      </c>
      <c r="J31" s="14"/>
      <c r="K31" s="18" t="str">
        <f aca="false">IF(A31="","",IF(COUNTIFS('RINGKASAN STOK'!$A$5:$A$504,A31)=0,"BELUM LENGKAP",INDEX('RINGKASAN STOK'!$J$5:$J$504,MATCH(A31,'RINGKASAN STOK'!$A$5:$A$504,0))))</f>
        <v/>
      </c>
      <c r="L31" s="16"/>
    </row>
    <row r="32" customFormat="false" ht="27" hidden="false" customHeight="true" outlineLevel="0" collapsed="false">
      <c r="A32" s="14"/>
      <c r="B32" s="14"/>
      <c r="C32" s="14"/>
      <c r="D32" s="14"/>
      <c r="E32" s="14"/>
      <c r="F32" s="14"/>
      <c r="G32" s="15"/>
      <c r="H32" s="14"/>
      <c r="I32" s="17" t="str">
        <f aca="false">IF(A32="","",IF(OR(NOT(ISNUMBER(G32)),NOT(ISNUMBER(H32)),H32&lt;=0),"BELUM LENGKAP",ROUND(G32/H32,4)))</f>
        <v/>
      </c>
      <c r="J32" s="14"/>
      <c r="K32" s="18" t="str">
        <f aca="false">IF(A32="","",IF(COUNTIFS('RINGKASAN STOK'!$A$5:$A$504,A32)=0,"BELUM LENGKAP",INDEX('RINGKASAN STOK'!$J$5:$J$504,MATCH(A32,'RINGKASAN STOK'!$A$5:$A$504,0))))</f>
        <v/>
      </c>
      <c r="L32" s="16"/>
    </row>
    <row r="33" customFormat="false" ht="27" hidden="false" customHeight="true" outlineLevel="0" collapsed="false">
      <c r="A33" s="14"/>
      <c r="B33" s="14"/>
      <c r="C33" s="14"/>
      <c r="D33" s="14"/>
      <c r="E33" s="14"/>
      <c r="F33" s="14"/>
      <c r="G33" s="15"/>
      <c r="H33" s="14"/>
      <c r="I33" s="17" t="str">
        <f aca="false">IF(A33="","",IF(OR(NOT(ISNUMBER(G33)),NOT(ISNUMBER(H33)),H33&lt;=0),"BELUM LENGKAP",ROUND(G33/H33,4)))</f>
        <v/>
      </c>
      <c r="J33" s="14"/>
      <c r="K33" s="18" t="str">
        <f aca="false">IF(A33="","",IF(COUNTIFS('RINGKASAN STOK'!$A$5:$A$504,A33)=0,"BELUM LENGKAP",INDEX('RINGKASAN STOK'!$J$5:$J$504,MATCH(A33,'RINGKASAN STOK'!$A$5:$A$504,0))))</f>
        <v/>
      </c>
      <c r="L33" s="16"/>
    </row>
    <row r="34" customFormat="false" ht="27" hidden="false" customHeight="true" outlineLevel="0" collapsed="false">
      <c r="A34" s="14"/>
      <c r="B34" s="14"/>
      <c r="C34" s="14"/>
      <c r="D34" s="14"/>
      <c r="E34" s="14"/>
      <c r="F34" s="14"/>
      <c r="G34" s="15"/>
      <c r="H34" s="14"/>
      <c r="I34" s="17" t="str">
        <f aca="false">IF(A34="","",IF(OR(NOT(ISNUMBER(G34)),NOT(ISNUMBER(H34)),H34&lt;=0),"BELUM LENGKAP",ROUND(G34/H34,4)))</f>
        <v/>
      </c>
      <c r="J34" s="14"/>
      <c r="K34" s="18" t="str">
        <f aca="false">IF(A34="","",IF(COUNTIFS('RINGKASAN STOK'!$A$5:$A$504,A34)=0,"BELUM LENGKAP",INDEX('RINGKASAN STOK'!$J$5:$J$504,MATCH(A34,'RINGKASAN STOK'!$A$5:$A$504,0))))</f>
        <v/>
      </c>
      <c r="L34" s="16"/>
    </row>
    <row r="35" customFormat="false" ht="27" hidden="false" customHeight="true" outlineLevel="0" collapsed="false">
      <c r="A35" s="14"/>
      <c r="B35" s="14"/>
      <c r="C35" s="14"/>
      <c r="D35" s="14"/>
      <c r="E35" s="14"/>
      <c r="F35" s="14"/>
      <c r="G35" s="15"/>
      <c r="H35" s="14"/>
      <c r="I35" s="17" t="str">
        <f aca="false">IF(A35="","",IF(OR(NOT(ISNUMBER(G35)),NOT(ISNUMBER(H35)),H35&lt;=0),"BELUM LENGKAP",ROUND(G35/H35,4)))</f>
        <v/>
      </c>
      <c r="J35" s="14"/>
      <c r="K35" s="18" t="str">
        <f aca="false">IF(A35="","",IF(COUNTIFS('RINGKASAN STOK'!$A$5:$A$504,A35)=0,"BELUM LENGKAP",INDEX('RINGKASAN STOK'!$J$5:$J$504,MATCH(A35,'RINGKASAN STOK'!$A$5:$A$504,0))))</f>
        <v/>
      </c>
      <c r="L35" s="16"/>
    </row>
    <row r="36" customFormat="false" ht="27" hidden="false" customHeight="true" outlineLevel="0" collapsed="false">
      <c r="A36" s="14"/>
      <c r="B36" s="14"/>
      <c r="C36" s="14"/>
      <c r="D36" s="14"/>
      <c r="E36" s="14"/>
      <c r="F36" s="14"/>
      <c r="G36" s="15"/>
      <c r="H36" s="14"/>
      <c r="I36" s="17" t="str">
        <f aca="false">IF(A36="","",IF(OR(NOT(ISNUMBER(G36)),NOT(ISNUMBER(H36)),H36&lt;=0),"BELUM LENGKAP",ROUND(G36/H36,4)))</f>
        <v/>
      </c>
      <c r="J36" s="14"/>
      <c r="K36" s="18" t="str">
        <f aca="false">IF(A36="","",IF(COUNTIFS('RINGKASAN STOK'!$A$5:$A$504,A36)=0,"BELUM LENGKAP",INDEX('RINGKASAN STOK'!$J$5:$J$504,MATCH(A36,'RINGKASAN STOK'!$A$5:$A$504,0))))</f>
        <v/>
      </c>
      <c r="L36" s="16"/>
    </row>
    <row r="37" customFormat="false" ht="27" hidden="false" customHeight="true" outlineLevel="0" collapsed="false">
      <c r="A37" s="14"/>
      <c r="B37" s="14"/>
      <c r="C37" s="14"/>
      <c r="D37" s="14"/>
      <c r="E37" s="14"/>
      <c r="F37" s="14"/>
      <c r="G37" s="15"/>
      <c r="H37" s="14"/>
      <c r="I37" s="17" t="str">
        <f aca="false">IF(A37="","",IF(OR(NOT(ISNUMBER(G37)),NOT(ISNUMBER(H37)),H37&lt;=0),"BELUM LENGKAP",ROUND(G37/H37,4)))</f>
        <v/>
      </c>
      <c r="J37" s="14"/>
      <c r="K37" s="18" t="str">
        <f aca="false">IF(A37="","",IF(COUNTIFS('RINGKASAN STOK'!$A$5:$A$504,A37)=0,"BELUM LENGKAP",INDEX('RINGKASAN STOK'!$J$5:$J$504,MATCH(A37,'RINGKASAN STOK'!$A$5:$A$504,0))))</f>
        <v/>
      </c>
      <c r="L37" s="16"/>
    </row>
    <row r="38" customFormat="false" ht="27" hidden="false" customHeight="true" outlineLevel="0" collapsed="false">
      <c r="A38" s="14"/>
      <c r="B38" s="14"/>
      <c r="C38" s="14"/>
      <c r="D38" s="14"/>
      <c r="E38" s="14"/>
      <c r="F38" s="14"/>
      <c r="G38" s="15"/>
      <c r="H38" s="14"/>
      <c r="I38" s="17" t="str">
        <f aca="false">IF(A38="","",IF(OR(NOT(ISNUMBER(G38)),NOT(ISNUMBER(H38)),H38&lt;=0),"BELUM LENGKAP",ROUND(G38/H38,4)))</f>
        <v/>
      </c>
      <c r="J38" s="14"/>
      <c r="K38" s="18" t="str">
        <f aca="false">IF(A38="","",IF(COUNTIFS('RINGKASAN STOK'!$A$5:$A$504,A38)=0,"BELUM LENGKAP",INDEX('RINGKASAN STOK'!$J$5:$J$504,MATCH(A38,'RINGKASAN STOK'!$A$5:$A$504,0))))</f>
        <v/>
      </c>
      <c r="L38" s="16"/>
    </row>
    <row r="39" customFormat="false" ht="27" hidden="false" customHeight="true" outlineLevel="0" collapsed="false">
      <c r="A39" s="14"/>
      <c r="B39" s="14"/>
      <c r="C39" s="14"/>
      <c r="D39" s="14"/>
      <c r="E39" s="14"/>
      <c r="F39" s="14"/>
      <c r="G39" s="15"/>
      <c r="H39" s="14"/>
      <c r="I39" s="17" t="str">
        <f aca="false">IF(A39="","",IF(OR(NOT(ISNUMBER(G39)),NOT(ISNUMBER(H39)),H39&lt;=0),"BELUM LENGKAP",ROUND(G39/H39,4)))</f>
        <v/>
      </c>
      <c r="J39" s="14"/>
      <c r="K39" s="18" t="str">
        <f aca="false">IF(A39="","",IF(COUNTIFS('RINGKASAN STOK'!$A$5:$A$504,A39)=0,"BELUM LENGKAP",INDEX('RINGKASAN STOK'!$J$5:$J$504,MATCH(A39,'RINGKASAN STOK'!$A$5:$A$504,0))))</f>
        <v/>
      </c>
      <c r="L39" s="16"/>
    </row>
    <row r="40" customFormat="false" ht="27" hidden="false" customHeight="true" outlineLevel="0" collapsed="false">
      <c r="A40" s="14"/>
      <c r="B40" s="14"/>
      <c r="C40" s="14"/>
      <c r="D40" s="14"/>
      <c r="E40" s="14"/>
      <c r="F40" s="14"/>
      <c r="G40" s="15"/>
      <c r="H40" s="14"/>
      <c r="I40" s="17" t="str">
        <f aca="false">IF(A40="","",IF(OR(NOT(ISNUMBER(G40)),NOT(ISNUMBER(H40)),H40&lt;=0),"BELUM LENGKAP",ROUND(G40/H40,4)))</f>
        <v/>
      </c>
      <c r="J40" s="14"/>
      <c r="K40" s="18" t="str">
        <f aca="false">IF(A40="","",IF(COUNTIFS('RINGKASAN STOK'!$A$5:$A$504,A40)=0,"BELUM LENGKAP",INDEX('RINGKASAN STOK'!$J$5:$J$504,MATCH(A40,'RINGKASAN STOK'!$A$5:$A$504,0))))</f>
        <v/>
      </c>
      <c r="L40" s="16"/>
    </row>
    <row r="41" customFormat="false" ht="27" hidden="false" customHeight="true" outlineLevel="0" collapsed="false">
      <c r="A41" s="14"/>
      <c r="B41" s="14"/>
      <c r="C41" s="14"/>
      <c r="D41" s="14"/>
      <c r="E41" s="14"/>
      <c r="F41" s="14"/>
      <c r="G41" s="15"/>
      <c r="H41" s="14"/>
      <c r="I41" s="17" t="str">
        <f aca="false">IF(A41="","",IF(OR(NOT(ISNUMBER(G41)),NOT(ISNUMBER(H41)),H41&lt;=0),"BELUM LENGKAP",ROUND(G41/H41,4)))</f>
        <v/>
      </c>
      <c r="J41" s="14"/>
      <c r="K41" s="18" t="str">
        <f aca="false">IF(A41="","",IF(COUNTIFS('RINGKASAN STOK'!$A$5:$A$504,A41)=0,"BELUM LENGKAP",INDEX('RINGKASAN STOK'!$J$5:$J$504,MATCH(A41,'RINGKASAN STOK'!$A$5:$A$504,0))))</f>
        <v/>
      </c>
      <c r="L41" s="16"/>
    </row>
    <row r="42" customFormat="false" ht="27" hidden="false" customHeight="true" outlineLevel="0" collapsed="false">
      <c r="A42" s="14"/>
      <c r="B42" s="14"/>
      <c r="C42" s="14"/>
      <c r="D42" s="14"/>
      <c r="E42" s="14"/>
      <c r="F42" s="14"/>
      <c r="G42" s="15"/>
      <c r="H42" s="14"/>
      <c r="I42" s="17" t="str">
        <f aca="false">IF(A42="","",IF(OR(NOT(ISNUMBER(G42)),NOT(ISNUMBER(H42)),H42&lt;=0),"BELUM LENGKAP",ROUND(G42/H42,4)))</f>
        <v/>
      </c>
      <c r="J42" s="14"/>
      <c r="K42" s="18" t="str">
        <f aca="false">IF(A42="","",IF(COUNTIFS('RINGKASAN STOK'!$A$5:$A$504,A42)=0,"BELUM LENGKAP",INDEX('RINGKASAN STOK'!$J$5:$J$504,MATCH(A42,'RINGKASAN STOK'!$A$5:$A$504,0))))</f>
        <v/>
      </c>
      <c r="L42" s="16"/>
    </row>
    <row r="43" customFormat="false" ht="27" hidden="false" customHeight="true" outlineLevel="0" collapsed="false">
      <c r="A43" s="14"/>
      <c r="B43" s="14"/>
      <c r="C43" s="14"/>
      <c r="D43" s="14"/>
      <c r="E43" s="14"/>
      <c r="F43" s="14"/>
      <c r="G43" s="15"/>
      <c r="H43" s="14"/>
      <c r="I43" s="17" t="str">
        <f aca="false">IF(A43="","",IF(OR(NOT(ISNUMBER(G43)),NOT(ISNUMBER(H43)),H43&lt;=0),"BELUM LENGKAP",ROUND(G43/H43,4)))</f>
        <v/>
      </c>
      <c r="J43" s="14"/>
      <c r="K43" s="18" t="str">
        <f aca="false">IF(A43="","",IF(COUNTIFS('RINGKASAN STOK'!$A$5:$A$504,A43)=0,"BELUM LENGKAP",INDEX('RINGKASAN STOK'!$J$5:$J$504,MATCH(A43,'RINGKASAN STOK'!$A$5:$A$504,0))))</f>
        <v/>
      </c>
      <c r="L43" s="16"/>
    </row>
    <row r="44" customFormat="false" ht="27" hidden="false" customHeight="true" outlineLevel="0" collapsed="false">
      <c r="A44" s="14"/>
      <c r="B44" s="14"/>
      <c r="C44" s="14"/>
      <c r="D44" s="14"/>
      <c r="E44" s="14"/>
      <c r="F44" s="14"/>
      <c r="G44" s="15"/>
      <c r="H44" s="14"/>
      <c r="I44" s="17" t="str">
        <f aca="false">IF(A44="","",IF(OR(NOT(ISNUMBER(G44)),NOT(ISNUMBER(H44)),H44&lt;=0),"BELUM LENGKAP",ROUND(G44/H44,4)))</f>
        <v/>
      </c>
      <c r="J44" s="14"/>
      <c r="K44" s="18" t="str">
        <f aca="false">IF(A44="","",IF(COUNTIFS('RINGKASAN STOK'!$A$5:$A$504,A44)=0,"BELUM LENGKAP",INDEX('RINGKASAN STOK'!$J$5:$J$504,MATCH(A44,'RINGKASAN STOK'!$A$5:$A$504,0))))</f>
        <v/>
      </c>
      <c r="L44" s="16"/>
    </row>
    <row r="45" customFormat="false" ht="27" hidden="false" customHeight="true" outlineLevel="0" collapsed="false">
      <c r="A45" s="14"/>
      <c r="B45" s="14"/>
      <c r="C45" s="14"/>
      <c r="D45" s="14"/>
      <c r="E45" s="14"/>
      <c r="F45" s="14"/>
      <c r="G45" s="15"/>
      <c r="H45" s="14"/>
      <c r="I45" s="17" t="str">
        <f aca="false">IF(A45="","",IF(OR(NOT(ISNUMBER(G45)),NOT(ISNUMBER(H45)),H45&lt;=0),"BELUM LENGKAP",ROUND(G45/H45,4)))</f>
        <v/>
      </c>
      <c r="J45" s="14"/>
      <c r="K45" s="18" t="str">
        <f aca="false">IF(A45="","",IF(COUNTIFS('RINGKASAN STOK'!$A$5:$A$504,A45)=0,"BELUM LENGKAP",INDEX('RINGKASAN STOK'!$J$5:$J$504,MATCH(A45,'RINGKASAN STOK'!$A$5:$A$504,0))))</f>
        <v/>
      </c>
      <c r="L45" s="16"/>
    </row>
    <row r="46" customFormat="false" ht="27" hidden="false" customHeight="true" outlineLevel="0" collapsed="false">
      <c r="A46" s="14"/>
      <c r="B46" s="14"/>
      <c r="C46" s="14"/>
      <c r="D46" s="14"/>
      <c r="E46" s="14"/>
      <c r="F46" s="14"/>
      <c r="G46" s="15"/>
      <c r="H46" s="14"/>
      <c r="I46" s="17" t="str">
        <f aca="false">IF(A46="","",IF(OR(NOT(ISNUMBER(G46)),NOT(ISNUMBER(H46)),H46&lt;=0),"BELUM LENGKAP",ROUND(G46/H46,4)))</f>
        <v/>
      </c>
      <c r="J46" s="14"/>
      <c r="K46" s="18" t="str">
        <f aca="false">IF(A46="","",IF(COUNTIFS('RINGKASAN STOK'!$A$5:$A$504,A46)=0,"BELUM LENGKAP",INDEX('RINGKASAN STOK'!$J$5:$J$504,MATCH(A46,'RINGKASAN STOK'!$A$5:$A$504,0))))</f>
        <v/>
      </c>
      <c r="L46" s="16"/>
    </row>
    <row r="47" customFormat="false" ht="27" hidden="false" customHeight="true" outlineLevel="0" collapsed="false">
      <c r="A47" s="14"/>
      <c r="B47" s="14"/>
      <c r="C47" s="14"/>
      <c r="D47" s="14"/>
      <c r="E47" s="14"/>
      <c r="F47" s="14"/>
      <c r="G47" s="15"/>
      <c r="H47" s="14"/>
      <c r="I47" s="17" t="str">
        <f aca="false">IF(A47="","",IF(OR(NOT(ISNUMBER(G47)),NOT(ISNUMBER(H47)),H47&lt;=0),"BELUM LENGKAP",ROUND(G47/H47,4)))</f>
        <v/>
      </c>
      <c r="J47" s="14"/>
      <c r="K47" s="18" t="str">
        <f aca="false">IF(A47="","",IF(COUNTIFS('RINGKASAN STOK'!$A$5:$A$504,A47)=0,"BELUM LENGKAP",INDEX('RINGKASAN STOK'!$J$5:$J$504,MATCH(A47,'RINGKASAN STOK'!$A$5:$A$504,0))))</f>
        <v/>
      </c>
      <c r="L47" s="16"/>
    </row>
    <row r="48" customFormat="false" ht="27" hidden="false" customHeight="true" outlineLevel="0" collapsed="false">
      <c r="A48" s="14"/>
      <c r="B48" s="14"/>
      <c r="C48" s="14"/>
      <c r="D48" s="14"/>
      <c r="E48" s="14"/>
      <c r="F48" s="14"/>
      <c r="G48" s="15"/>
      <c r="H48" s="14"/>
      <c r="I48" s="17" t="str">
        <f aca="false">IF(A48="","",IF(OR(NOT(ISNUMBER(G48)),NOT(ISNUMBER(H48)),H48&lt;=0),"BELUM LENGKAP",ROUND(G48/H48,4)))</f>
        <v/>
      </c>
      <c r="J48" s="14"/>
      <c r="K48" s="18" t="str">
        <f aca="false">IF(A48="","",IF(COUNTIFS('RINGKASAN STOK'!$A$5:$A$504,A48)=0,"BELUM LENGKAP",INDEX('RINGKASAN STOK'!$J$5:$J$504,MATCH(A48,'RINGKASAN STOK'!$A$5:$A$504,0))))</f>
        <v/>
      </c>
      <c r="L48" s="16"/>
    </row>
    <row r="49" customFormat="false" ht="27" hidden="false" customHeight="true" outlineLevel="0" collapsed="false">
      <c r="A49" s="14"/>
      <c r="B49" s="14"/>
      <c r="C49" s="14"/>
      <c r="D49" s="14"/>
      <c r="E49" s="14"/>
      <c r="F49" s="14"/>
      <c r="G49" s="15"/>
      <c r="H49" s="14"/>
      <c r="I49" s="17" t="str">
        <f aca="false">IF(A49="","",IF(OR(NOT(ISNUMBER(G49)),NOT(ISNUMBER(H49)),H49&lt;=0),"BELUM LENGKAP",ROUND(G49/H49,4)))</f>
        <v/>
      </c>
      <c r="J49" s="14"/>
      <c r="K49" s="18" t="str">
        <f aca="false">IF(A49="","",IF(COUNTIFS('RINGKASAN STOK'!$A$5:$A$504,A49)=0,"BELUM LENGKAP",INDEX('RINGKASAN STOK'!$J$5:$J$504,MATCH(A49,'RINGKASAN STOK'!$A$5:$A$504,0))))</f>
        <v/>
      </c>
      <c r="L49" s="16"/>
    </row>
    <row r="50" customFormat="false" ht="27" hidden="false" customHeight="true" outlineLevel="0" collapsed="false">
      <c r="A50" s="14"/>
      <c r="B50" s="14"/>
      <c r="C50" s="14"/>
      <c r="D50" s="14"/>
      <c r="E50" s="14"/>
      <c r="F50" s="14"/>
      <c r="G50" s="15"/>
      <c r="H50" s="14"/>
      <c r="I50" s="17" t="str">
        <f aca="false">IF(A50="","",IF(OR(NOT(ISNUMBER(G50)),NOT(ISNUMBER(H50)),H50&lt;=0),"BELUM LENGKAP",ROUND(G50/H50,4)))</f>
        <v/>
      </c>
      <c r="J50" s="14"/>
      <c r="K50" s="18" t="str">
        <f aca="false">IF(A50="","",IF(COUNTIFS('RINGKASAN STOK'!$A$5:$A$504,A50)=0,"BELUM LENGKAP",INDEX('RINGKASAN STOK'!$J$5:$J$504,MATCH(A50,'RINGKASAN STOK'!$A$5:$A$504,0))))</f>
        <v/>
      </c>
      <c r="L50" s="16"/>
    </row>
    <row r="51" customFormat="false" ht="27" hidden="false" customHeight="true" outlineLevel="0" collapsed="false">
      <c r="A51" s="14"/>
      <c r="B51" s="14"/>
      <c r="C51" s="14"/>
      <c r="D51" s="14"/>
      <c r="E51" s="14"/>
      <c r="F51" s="14"/>
      <c r="G51" s="15"/>
      <c r="H51" s="14"/>
      <c r="I51" s="17" t="str">
        <f aca="false">IF(A51="","",IF(OR(NOT(ISNUMBER(G51)),NOT(ISNUMBER(H51)),H51&lt;=0),"BELUM LENGKAP",ROUND(G51/H51,4)))</f>
        <v/>
      </c>
      <c r="J51" s="14"/>
      <c r="K51" s="18" t="str">
        <f aca="false">IF(A51="","",IF(COUNTIFS('RINGKASAN STOK'!$A$5:$A$504,A51)=0,"BELUM LENGKAP",INDEX('RINGKASAN STOK'!$J$5:$J$504,MATCH(A51,'RINGKASAN STOK'!$A$5:$A$504,0))))</f>
        <v/>
      </c>
      <c r="L51" s="16"/>
    </row>
    <row r="52" customFormat="false" ht="27" hidden="false" customHeight="true" outlineLevel="0" collapsed="false">
      <c r="A52" s="14"/>
      <c r="B52" s="14"/>
      <c r="C52" s="14"/>
      <c r="D52" s="14"/>
      <c r="E52" s="14"/>
      <c r="F52" s="14"/>
      <c r="G52" s="15"/>
      <c r="H52" s="14"/>
      <c r="I52" s="17" t="str">
        <f aca="false">IF(A52="","",IF(OR(NOT(ISNUMBER(G52)),NOT(ISNUMBER(H52)),H52&lt;=0),"BELUM LENGKAP",ROUND(G52/H52,4)))</f>
        <v/>
      </c>
      <c r="J52" s="14"/>
      <c r="K52" s="18" t="str">
        <f aca="false">IF(A52="","",IF(COUNTIFS('RINGKASAN STOK'!$A$5:$A$504,A52)=0,"BELUM LENGKAP",INDEX('RINGKASAN STOK'!$J$5:$J$504,MATCH(A52,'RINGKASAN STOK'!$A$5:$A$504,0))))</f>
        <v/>
      </c>
      <c r="L52" s="16"/>
    </row>
    <row r="53" customFormat="false" ht="27" hidden="false" customHeight="true" outlineLevel="0" collapsed="false">
      <c r="A53" s="14"/>
      <c r="B53" s="14"/>
      <c r="C53" s="14"/>
      <c r="D53" s="14"/>
      <c r="E53" s="14"/>
      <c r="F53" s="14"/>
      <c r="G53" s="15"/>
      <c r="H53" s="14"/>
      <c r="I53" s="17" t="str">
        <f aca="false">IF(A53="","",IF(OR(NOT(ISNUMBER(G53)),NOT(ISNUMBER(H53)),H53&lt;=0),"BELUM LENGKAP",ROUND(G53/H53,4)))</f>
        <v/>
      </c>
      <c r="J53" s="14"/>
      <c r="K53" s="18" t="str">
        <f aca="false">IF(A53="","",IF(COUNTIFS('RINGKASAN STOK'!$A$5:$A$504,A53)=0,"BELUM LENGKAP",INDEX('RINGKASAN STOK'!$J$5:$J$504,MATCH(A53,'RINGKASAN STOK'!$A$5:$A$504,0))))</f>
        <v/>
      </c>
      <c r="L53" s="16"/>
    </row>
    <row r="54" customFormat="false" ht="27" hidden="false" customHeight="true" outlineLevel="0" collapsed="false">
      <c r="A54" s="14"/>
      <c r="B54" s="14"/>
      <c r="C54" s="14"/>
      <c r="D54" s="14"/>
      <c r="E54" s="14"/>
      <c r="F54" s="14"/>
      <c r="G54" s="15"/>
      <c r="H54" s="14"/>
      <c r="I54" s="17" t="str">
        <f aca="false">IF(A54="","",IF(OR(NOT(ISNUMBER(G54)),NOT(ISNUMBER(H54)),H54&lt;=0),"BELUM LENGKAP",ROUND(G54/H54,4)))</f>
        <v/>
      </c>
      <c r="J54" s="14"/>
      <c r="K54" s="18" t="str">
        <f aca="false">IF(A54="","",IF(COUNTIFS('RINGKASAN STOK'!$A$5:$A$504,A54)=0,"BELUM LENGKAP",INDEX('RINGKASAN STOK'!$J$5:$J$504,MATCH(A54,'RINGKASAN STOK'!$A$5:$A$504,0))))</f>
        <v/>
      </c>
      <c r="L54" s="16"/>
    </row>
    <row r="55" customFormat="false" ht="27" hidden="false" customHeight="true" outlineLevel="0" collapsed="false">
      <c r="A55" s="14"/>
      <c r="B55" s="14"/>
      <c r="C55" s="14"/>
      <c r="D55" s="14"/>
      <c r="E55" s="14"/>
      <c r="F55" s="14"/>
      <c r="G55" s="15"/>
      <c r="H55" s="14"/>
      <c r="I55" s="17" t="str">
        <f aca="false">IF(A55="","",IF(OR(NOT(ISNUMBER(G55)),NOT(ISNUMBER(H55)),H55&lt;=0),"BELUM LENGKAP",ROUND(G55/H55,4)))</f>
        <v/>
      </c>
      <c r="J55" s="14"/>
      <c r="K55" s="18" t="str">
        <f aca="false">IF(A55="","",IF(COUNTIFS('RINGKASAN STOK'!$A$5:$A$504,A55)=0,"BELUM LENGKAP",INDEX('RINGKASAN STOK'!$J$5:$J$504,MATCH(A55,'RINGKASAN STOK'!$A$5:$A$504,0))))</f>
        <v/>
      </c>
      <c r="L55" s="16"/>
    </row>
    <row r="56" customFormat="false" ht="27" hidden="false" customHeight="true" outlineLevel="0" collapsed="false">
      <c r="A56" s="14"/>
      <c r="B56" s="14"/>
      <c r="C56" s="14"/>
      <c r="D56" s="14"/>
      <c r="E56" s="14"/>
      <c r="F56" s="14"/>
      <c r="G56" s="15"/>
      <c r="H56" s="14"/>
      <c r="I56" s="17" t="str">
        <f aca="false">IF(A56="","",IF(OR(NOT(ISNUMBER(G56)),NOT(ISNUMBER(H56)),H56&lt;=0),"BELUM LENGKAP",ROUND(G56/H56,4)))</f>
        <v/>
      </c>
      <c r="J56" s="14"/>
      <c r="K56" s="18" t="str">
        <f aca="false">IF(A56="","",IF(COUNTIFS('RINGKASAN STOK'!$A$5:$A$504,A56)=0,"BELUM LENGKAP",INDEX('RINGKASAN STOK'!$J$5:$J$504,MATCH(A56,'RINGKASAN STOK'!$A$5:$A$504,0))))</f>
        <v/>
      </c>
      <c r="L56" s="16"/>
    </row>
    <row r="57" customFormat="false" ht="27" hidden="false" customHeight="true" outlineLevel="0" collapsed="false">
      <c r="A57" s="14"/>
      <c r="B57" s="14"/>
      <c r="C57" s="14"/>
      <c r="D57" s="14"/>
      <c r="E57" s="14"/>
      <c r="F57" s="14"/>
      <c r="G57" s="15"/>
      <c r="H57" s="14"/>
      <c r="I57" s="17" t="str">
        <f aca="false">IF(A57="","",IF(OR(NOT(ISNUMBER(G57)),NOT(ISNUMBER(H57)),H57&lt;=0),"BELUM LENGKAP",ROUND(G57/H57,4)))</f>
        <v/>
      </c>
      <c r="J57" s="14"/>
      <c r="K57" s="18" t="str">
        <f aca="false">IF(A57="","",IF(COUNTIFS('RINGKASAN STOK'!$A$5:$A$504,A57)=0,"BELUM LENGKAP",INDEX('RINGKASAN STOK'!$J$5:$J$504,MATCH(A57,'RINGKASAN STOK'!$A$5:$A$504,0))))</f>
        <v/>
      </c>
      <c r="L57" s="16"/>
    </row>
    <row r="58" customFormat="false" ht="27" hidden="false" customHeight="true" outlineLevel="0" collapsed="false">
      <c r="A58" s="14"/>
      <c r="B58" s="14"/>
      <c r="C58" s="14"/>
      <c r="D58" s="14"/>
      <c r="E58" s="14"/>
      <c r="F58" s="14"/>
      <c r="G58" s="15"/>
      <c r="H58" s="14"/>
      <c r="I58" s="17" t="str">
        <f aca="false">IF(A58="","",IF(OR(NOT(ISNUMBER(G58)),NOT(ISNUMBER(H58)),H58&lt;=0),"BELUM LENGKAP",ROUND(G58/H58,4)))</f>
        <v/>
      </c>
      <c r="J58" s="14"/>
      <c r="K58" s="18" t="str">
        <f aca="false">IF(A58="","",IF(COUNTIFS('RINGKASAN STOK'!$A$5:$A$504,A58)=0,"BELUM LENGKAP",INDEX('RINGKASAN STOK'!$J$5:$J$504,MATCH(A58,'RINGKASAN STOK'!$A$5:$A$504,0))))</f>
        <v/>
      </c>
      <c r="L58" s="16"/>
    </row>
    <row r="59" customFormat="false" ht="27" hidden="false" customHeight="true" outlineLevel="0" collapsed="false">
      <c r="A59" s="14"/>
      <c r="B59" s="14"/>
      <c r="C59" s="14"/>
      <c r="D59" s="14"/>
      <c r="E59" s="14"/>
      <c r="F59" s="14"/>
      <c r="G59" s="15"/>
      <c r="H59" s="14"/>
      <c r="I59" s="17" t="str">
        <f aca="false">IF(A59="","",IF(OR(NOT(ISNUMBER(G59)),NOT(ISNUMBER(H59)),H59&lt;=0),"BELUM LENGKAP",ROUND(G59/H59,4)))</f>
        <v/>
      </c>
      <c r="J59" s="14"/>
      <c r="K59" s="18" t="str">
        <f aca="false">IF(A59="","",IF(COUNTIFS('RINGKASAN STOK'!$A$5:$A$504,A59)=0,"BELUM LENGKAP",INDEX('RINGKASAN STOK'!$J$5:$J$504,MATCH(A59,'RINGKASAN STOK'!$A$5:$A$504,0))))</f>
        <v/>
      </c>
      <c r="L59" s="16"/>
    </row>
    <row r="60" customFormat="false" ht="27" hidden="false" customHeight="true" outlineLevel="0" collapsed="false">
      <c r="A60" s="14"/>
      <c r="B60" s="14"/>
      <c r="C60" s="14"/>
      <c r="D60" s="14"/>
      <c r="E60" s="14"/>
      <c r="F60" s="14"/>
      <c r="G60" s="15"/>
      <c r="H60" s="14"/>
      <c r="I60" s="17" t="str">
        <f aca="false">IF(A60="","",IF(OR(NOT(ISNUMBER(G60)),NOT(ISNUMBER(H60)),H60&lt;=0),"BELUM LENGKAP",ROUND(G60/H60,4)))</f>
        <v/>
      </c>
      <c r="J60" s="14"/>
      <c r="K60" s="18" t="str">
        <f aca="false">IF(A60="","",IF(COUNTIFS('RINGKASAN STOK'!$A$5:$A$504,A60)=0,"BELUM LENGKAP",INDEX('RINGKASAN STOK'!$J$5:$J$504,MATCH(A60,'RINGKASAN STOK'!$A$5:$A$504,0))))</f>
        <v/>
      </c>
      <c r="L60" s="16"/>
    </row>
    <row r="61" customFormat="false" ht="27" hidden="false" customHeight="true" outlineLevel="0" collapsed="false">
      <c r="A61" s="14"/>
      <c r="B61" s="14"/>
      <c r="C61" s="14"/>
      <c r="D61" s="14"/>
      <c r="E61" s="14"/>
      <c r="F61" s="14"/>
      <c r="G61" s="15"/>
      <c r="H61" s="14"/>
      <c r="I61" s="17" t="str">
        <f aca="false">IF(A61="","",IF(OR(NOT(ISNUMBER(G61)),NOT(ISNUMBER(H61)),H61&lt;=0),"BELUM LENGKAP",ROUND(G61/H61,4)))</f>
        <v/>
      </c>
      <c r="J61" s="14"/>
      <c r="K61" s="18" t="str">
        <f aca="false">IF(A61="","",IF(COUNTIFS('RINGKASAN STOK'!$A$5:$A$504,A61)=0,"BELUM LENGKAP",INDEX('RINGKASAN STOK'!$J$5:$J$504,MATCH(A61,'RINGKASAN STOK'!$A$5:$A$504,0))))</f>
        <v/>
      </c>
      <c r="L61" s="16"/>
    </row>
    <row r="62" customFormat="false" ht="27" hidden="false" customHeight="true" outlineLevel="0" collapsed="false">
      <c r="A62" s="14"/>
      <c r="B62" s="14"/>
      <c r="C62" s="14"/>
      <c r="D62" s="14"/>
      <c r="E62" s="14"/>
      <c r="F62" s="14"/>
      <c r="G62" s="15"/>
      <c r="H62" s="14"/>
      <c r="I62" s="17" t="str">
        <f aca="false">IF(A62="","",IF(OR(NOT(ISNUMBER(G62)),NOT(ISNUMBER(H62)),H62&lt;=0),"BELUM LENGKAP",ROUND(G62/H62,4)))</f>
        <v/>
      </c>
      <c r="J62" s="14"/>
      <c r="K62" s="18" t="str">
        <f aca="false">IF(A62="","",IF(COUNTIFS('RINGKASAN STOK'!$A$5:$A$504,A62)=0,"BELUM LENGKAP",INDEX('RINGKASAN STOK'!$J$5:$J$504,MATCH(A62,'RINGKASAN STOK'!$A$5:$A$504,0))))</f>
        <v/>
      </c>
      <c r="L62" s="16"/>
    </row>
    <row r="63" customFormat="false" ht="27" hidden="false" customHeight="true" outlineLevel="0" collapsed="false">
      <c r="A63" s="14"/>
      <c r="B63" s="14"/>
      <c r="C63" s="14"/>
      <c r="D63" s="14"/>
      <c r="E63" s="14"/>
      <c r="F63" s="14"/>
      <c r="G63" s="15"/>
      <c r="H63" s="14"/>
      <c r="I63" s="17" t="str">
        <f aca="false">IF(A63="","",IF(OR(NOT(ISNUMBER(G63)),NOT(ISNUMBER(H63)),H63&lt;=0),"BELUM LENGKAP",ROUND(G63/H63,4)))</f>
        <v/>
      </c>
      <c r="J63" s="14"/>
      <c r="K63" s="18" t="str">
        <f aca="false">IF(A63="","",IF(COUNTIFS('RINGKASAN STOK'!$A$5:$A$504,A63)=0,"BELUM LENGKAP",INDEX('RINGKASAN STOK'!$J$5:$J$504,MATCH(A63,'RINGKASAN STOK'!$A$5:$A$504,0))))</f>
        <v/>
      </c>
      <c r="L63" s="16"/>
    </row>
    <row r="64" customFormat="false" ht="27" hidden="false" customHeight="true" outlineLevel="0" collapsed="false">
      <c r="A64" s="14"/>
      <c r="B64" s="14"/>
      <c r="C64" s="14"/>
      <c r="D64" s="14"/>
      <c r="E64" s="14"/>
      <c r="F64" s="14"/>
      <c r="G64" s="15"/>
      <c r="H64" s="14"/>
      <c r="I64" s="17" t="str">
        <f aca="false">IF(A64="","",IF(OR(NOT(ISNUMBER(G64)),NOT(ISNUMBER(H64)),H64&lt;=0),"BELUM LENGKAP",ROUND(G64/H64,4)))</f>
        <v/>
      </c>
      <c r="J64" s="14"/>
      <c r="K64" s="18" t="str">
        <f aca="false">IF(A64="","",IF(COUNTIFS('RINGKASAN STOK'!$A$5:$A$504,A64)=0,"BELUM LENGKAP",INDEX('RINGKASAN STOK'!$J$5:$J$504,MATCH(A64,'RINGKASAN STOK'!$A$5:$A$504,0))))</f>
        <v/>
      </c>
      <c r="L64" s="16"/>
    </row>
  </sheetData>
  <conditionalFormatting sqref="K5:K64">
    <cfRule type="containsText" priority="2" operator="containsText" aboveAverage="0" equalAverage="0" bottom="0" percent="0" rank="0" text="Habis" dxfId="7">
      <formula>NOT(ISERROR(SEARCH("Habis",K5)))</formula>
    </cfRule>
    <cfRule type="containsText" priority="3" operator="containsText" aboveAverage="0" equalAverage="0" bottom="0" percent="0" rank="0" text="Menipis" dxfId="8">
      <formula>NOT(ISERROR(SEARCH("Menipis",K5)))</formula>
    </cfRule>
  </conditionalFormatting>
  <conditionalFormatting sqref="A5:A64">
    <cfRule type="expression" priority="4" aboveAverage="0" equalAverage="0" bottom="0" percent="0" rank="0" text="" dxfId="9">
      <formula>AND(A5&lt;&gt;"",COUNTIF($A$5:$A$64,A5)&gt;1)</formula>
    </cfRule>
  </conditionalFormatting>
  <conditionalFormatting sqref="I5:I64">
    <cfRule type="containsText" priority="5" operator="containsText" aboveAverage="0" equalAverage="0" bottom="0" percent="0" rank="0" text="BELUM LENGKAP" dxfId="10">
      <formula>NOT(ISERROR(SEARCH("BELUM LENGKAP",I5)))</formula>
    </cfRule>
  </conditionalFormatting>
  <dataValidations count="1">
    <dataValidation allowBlank="false" errorStyle="stop" operator="between" showDropDown="false" showErrorMessage="false" showInputMessage="false" sqref="D5:D64" type="list">
      <formula1>"gram,ml,pcs"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5" min="5" style="0" width="30"/>
    <col collapsed="false" customWidth="true" hidden="false" outlineLevel="0" max="6" min="6" style="0" width="19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9" min="9" style="0" width="24"/>
    <col collapsed="false" customWidth="true" hidden="false" outlineLevel="0" max="12" min="10" style="0" width="21"/>
    <col collapsed="false" customWidth="true" hidden="false" outlineLevel="0" max="13" min="13" style="0" width="18"/>
    <col collapsed="false" customWidth="true" hidden="false" outlineLevel="0" max="14" min="14" style="0" width="27"/>
  </cols>
  <sheetData>
    <row r="1" customFormat="false" ht="38" hidden="false" customHeight="true" outlineLevel="0" collapsed="false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29" hidden="false" customHeight="true" outlineLevel="0" collapsed="false">
      <c r="A2" s="9" t="s">
        <v>162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71</v>
      </c>
      <c r="B4" s="13" t="s">
        <v>72</v>
      </c>
      <c r="C4" s="13" t="s">
        <v>75</v>
      </c>
      <c r="D4" s="13" t="s">
        <v>117</v>
      </c>
      <c r="E4" s="13" t="s">
        <v>118</v>
      </c>
      <c r="F4" s="13" t="s">
        <v>163</v>
      </c>
      <c r="G4" s="13" t="s">
        <v>164</v>
      </c>
      <c r="H4" s="13" t="s">
        <v>165</v>
      </c>
      <c r="I4" s="13" t="s">
        <v>166</v>
      </c>
      <c r="J4" s="13" t="s">
        <v>167</v>
      </c>
      <c r="K4" s="13" t="s">
        <v>76</v>
      </c>
      <c r="L4" s="13" t="s">
        <v>168</v>
      </c>
      <c r="M4" s="13" t="s">
        <v>169</v>
      </c>
      <c r="N4" s="13" t="s">
        <v>170</v>
      </c>
    </row>
    <row r="5" customFormat="false" ht="27" hidden="false" customHeight="true" outlineLevel="0" collapsed="false">
      <c r="A5" s="14" t="s">
        <v>81</v>
      </c>
      <c r="B5" s="18" t="str">
        <f aca="false">IF(A5="","",IF(COUNTIFS('MASTER MENU'!$A$5:$A$504,A5)=0,"BELUM ADA",INDEX('MASTER MENU'!$B$5:$B$504,MATCH(A5,'MASTER MENU'!$A$5:$A$504,0))))</f>
        <v>Kopi Susu Gula Aren</v>
      </c>
      <c r="C5" s="18" t="str">
        <f aca="false">IF(A5="","",IF(COUNTIFS('MASTER MENU'!$A$5:$A$504,A5)=0,"BELUM ADA",INDEX('MASTER MENU'!$E$5:$E$504,MATCH(A5,'MASTER MENU'!$A$5:$A$504,0))))</f>
        <v>Reguler</v>
      </c>
      <c r="D5" s="14" t="s">
        <v>128</v>
      </c>
      <c r="E5" s="18" t="str">
        <f aca="false">IF(D5="","",IF(COUNTIFS('MASTER BAHAN'!$A$5:$A$504,D5)=0,"BELUM ADA",INDEX('MASTER BAHAN'!$B$5:$B$504,MATCH(D5,'MASTER BAHAN'!$A$5:$A$504,0))))</f>
        <v>Biji kopi</v>
      </c>
      <c r="F5" s="14" t="n">
        <v>18</v>
      </c>
      <c r="G5" s="18" t="str">
        <f aca="false">IF(D5="","",IF(COUNTIFS('MASTER BAHAN'!$A$5:$A$504,D5)=0,"BELUM ADA",INDEX('MASTER BAHAN'!$D$5:$D$504,MATCH(D5,'MASTER BAHAN'!$A$5:$A$504,0))))</f>
        <v>gram</v>
      </c>
      <c r="H5" s="17" t="n">
        <f aca="false">IF(D5="","",IF(COUNTIFS('MASTER BAHAN'!$A$5:$A$504,D5)=0,"BELUM ADA",INDEX('MASTER BAHAN'!$I$5:$I$504,MATCH(D5,'MASTER BAHAN'!$A$5:$A$504,0))))</f>
        <v>150</v>
      </c>
      <c r="I5" s="19" t="n">
        <f aca="false">IF(A5="","",IF(OR(NOT(ISNUMBER(F5)),NOT(ISNUMBER(H5))),"BELUM LENGKAP",ROUND(F5*H5,0)))</f>
        <v>2700</v>
      </c>
      <c r="J5" s="19" t="n">
        <f aca="false">IF(A5="","",IF(COUNTIFS($A$5:$A$504,A5,$N$5:$N$504,"BELUM LENGKAP")&gt;0,"BELUM LENGKAP",SUMIFS($I$5:$I$504,$A$5:$A$504,A5)))</f>
        <v>7300</v>
      </c>
      <c r="K5" s="19" t="n">
        <f aca="false">IF(A5="","",IF(COUNTIFS('MASTER MENU'!$A$5:$A$504,A5)=0,"BELUM ADA",INDEX('MASTER MENU'!$F$5:$F$504,MATCH(A5,'MASTER MENU'!$A$5:$A$504,0))))</f>
        <v>28000</v>
      </c>
      <c r="L5" s="19" t="n">
        <f aca="false">IF(A5="","",IF(OR(NOT(ISNUMBER(J5)),NOT(ISNUMBER(K5))),"BELUM LENGKAP",K5-J5))</f>
        <v>20700</v>
      </c>
      <c r="M5" s="20" t="n">
        <f aca="false">IF(A5="","",IF(OR(NOT(ISNUMBER(L5)),K5=0),"BELUM LENGKAP",L5/K5))</f>
        <v>0.739285714285714</v>
      </c>
      <c r="N5" s="18" t="str">
        <f aca="false">IF(A5="","",IF(OR(B5="BELUM ADA",E5="BELUM ADA",NOT(ISNUMBER(F5)),F5&lt;=0,NOT(ISNUMBER(H5)),NOT(ISNUMBER(K5))),"BELUM LENGKAP","LENGKAP"))</f>
        <v>LENGKAP</v>
      </c>
    </row>
    <row r="6" customFormat="false" ht="27" hidden="false" customHeight="true" outlineLevel="0" collapsed="false">
      <c r="A6" s="14" t="s">
        <v>81</v>
      </c>
      <c r="B6" s="18" t="str">
        <f aca="false">IF(A6="","",IF(COUNTIFS('MASTER MENU'!$A$5:$A$504,A6)=0,"BELUM ADA",INDEX('MASTER MENU'!$B$5:$B$504,MATCH(A6,'MASTER MENU'!$A$5:$A$504,0))))</f>
        <v>Kopi Susu Gula Aren</v>
      </c>
      <c r="C6" s="18" t="str">
        <f aca="false">IF(A6="","",IF(COUNTIFS('MASTER MENU'!$A$5:$A$504,A6)=0,"BELUM ADA",INDEX('MASTER MENU'!$E$5:$E$504,MATCH(A6,'MASTER MENU'!$A$5:$A$504,0))))</f>
        <v>Reguler</v>
      </c>
      <c r="D6" s="14" t="s">
        <v>132</v>
      </c>
      <c r="E6" s="18" t="str">
        <f aca="false">IF(D6="","",IF(COUNTIFS('MASTER BAHAN'!$A$5:$A$504,D6)=0,"BELUM ADA",INDEX('MASTER BAHAN'!$B$5:$B$504,MATCH(D6,'MASTER BAHAN'!$A$5:$A$504,0))))</f>
        <v>Susu UHT</v>
      </c>
      <c r="F6" s="14" t="n">
        <v>150</v>
      </c>
      <c r="G6" s="18" t="str">
        <f aca="false">IF(D6="","",IF(COUNTIFS('MASTER BAHAN'!$A$5:$A$504,D6)=0,"BELUM ADA",INDEX('MASTER BAHAN'!$D$5:$D$504,MATCH(D6,'MASTER BAHAN'!$A$5:$A$504,0))))</f>
        <v>ml</v>
      </c>
      <c r="H6" s="17" t="n">
        <f aca="false">IF(D6="","",IF(COUNTIFS('MASTER BAHAN'!$A$5:$A$504,D6)=0,"BELUM ADA",INDEX('MASTER BAHAN'!$I$5:$I$504,MATCH(D6,'MASTER BAHAN'!$A$5:$A$504,0))))</f>
        <v>24</v>
      </c>
      <c r="I6" s="19" t="n">
        <f aca="false">IF(A6="","",IF(OR(NOT(ISNUMBER(F6)),NOT(ISNUMBER(H6))),"BELUM LENGKAP",ROUND(F6*H6,0)))</f>
        <v>3600</v>
      </c>
      <c r="J6" s="19" t="n">
        <f aca="false">IF(A6="","",IF(COUNTIFS($A$5:$A$504,A6,$N$5:$N$504,"BELUM LENGKAP")&gt;0,"BELUM LENGKAP",SUMIFS($I$5:$I$504,$A$5:$A$504,A6)))</f>
        <v>7300</v>
      </c>
      <c r="K6" s="19" t="n">
        <f aca="false">IF(A6="","",IF(COUNTIFS('MASTER MENU'!$A$5:$A$504,A6)=0,"BELUM ADA",INDEX('MASTER MENU'!$F$5:$F$504,MATCH(A6,'MASTER MENU'!$A$5:$A$504,0))))</f>
        <v>28000</v>
      </c>
      <c r="L6" s="19" t="n">
        <f aca="false">IF(A6="","",IF(OR(NOT(ISNUMBER(J6)),NOT(ISNUMBER(K6))),"BELUM LENGKAP",K6-J6))</f>
        <v>20700</v>
      </c>
      <c r="M6" s="20" t="n">
        <f aca="false">IF(A6="","",IF(OR(NOT(ISNUMBER(L6)),K6=0),"BELUM LENGKAP",L6/K6))</f>
        <v>0.739285714285714</v>
      </c>
      <c r="N6" s="18" t="str">
        <f aca="false">IF(A6="","",IF(OR(B6="BELUM ADA",E6="BELUM ADA",NOT(ISNUMBER(F6)),F6&lt;=0,NOT(ISNUMBER(H6)),NOT(ISNUMBER(K6))),"BELUM LENGKAP","LENGKAP"))</f>
        <v>LENGKAP</v>
      </c>
    </row>
    <row r="7" customFormat="false" ht="27" hidden="false" customHeight="true" outlineLevel="0" collapsed="false">
      <c r="A7" s="14" t="s">
        <v>81</v>
      </c>
      <c r="B7" s="18" t="str">
        <f aca="false">IF(A7="","",IF(COUNTIFS('MASTER MENU'!$A$5:$A$504,A7)=0,"BELUM ADA",INDEX('MASTER MENU'!$B$5:$B$504,MATCH(A7,'MASTER MENU'!$A$5:$A$504,0))))</f>
        <v>Kopi Susu Gula Aren</v>
      </c>
      <c r="C7" s="18" t="str">
        <f aca="false">IF(A7="","",IF(COUNTIFS('MASTER MENU'!$A$5:$A$504,A7)=0,"BELUM ADA",INDEX('MASTER MENU'!$E$5:$E$504,MATCH(A7,'MASTER MENU'!$A$5:$A$504,0))))</f>
        <v>Reguler</v>
      </c>
      <c r="D7" s="14" t="s">
        <v>136</v>
      </c>
      <c r="E7" s="18" t="str">
        <f aca="false">IF(D7="","",IF(COUNTIFS('MASTER BAHAN'!$A$5:$A$504,D7)=0,"BELUM ADA",INDEX('MASTER BAHAN'!$B$5:$B$504,MATCH(D7,'MASTER BAHAN'!$A$5:$A$504,0))))</f>
        <v>Gula aren</v>
      </c>
      <c r="F7" s="14" t="n">
        <v>25</v>
      </c>
      <c r="G7" s="18" t="str">
        <f aca="false">IF(D7="","",IF(COUNTIFS('MASTER BAHAN'!$A$5:$A$504,D7)=0,"BELUM ADA",INDEX('MASTER BAHAN'!$D$5:$D$504,MATCH(D7,'MASTER BAHAN'!$A$5:$A$504,0))))</f>
        <v>ml</v>
      </c>
      <c r="H7" s="17" t="n">
        <f aca="false">IF(D7="","",IF(COUNTIFS('MASTER BAHAN'!$A$5:$A$504,D7)=0,"BELUM ADA",INDEX('MASTER BAHAN'!$I$5:$I$504,MATCH(D7,'MASTER BAHAN'!$A$5:$A$504,0))))</f>
        <v>40</v>
      </c>
      <c r="I7" s="19" t="n">
        <f aca="false">IF(A7="","",IF(OR(NOT(ISNUMBER(F7)),NOT(ISNUMBER(H7))),"BELUM LENGKAP",ROUND(F7*H7,0)))</f>
        <v>1000</v>
      </c>
      <c r="J7" s="19" t="n">
        <f aca="false">IF(A7="","",IF(COUNTIFS($A$5:$A$504,A7,$N$5:$N$504,"BELUM LENGKAP")&gt;0,"BELUM LENGKAP",SUMIFS($I$5:$I$504,$A$5:$A$504,A7)))</f>
        <v>7300</v>
      </c>
      <c r="K7" s="19" t="n">
        <f aca="false">IF(A7="","",IF(COUNTIFS('MASTER MENU'!$A$5:$A$504,A7)=0,"BELUM ADA",INDEX('MASTER MENU'!$F$5:$F$504,MATCH(A7,'MASTER MENU'!$A$5:$A$504,0))))</f>
        <v>28000</v>
      </c>
      <c r="L7" s="19" t="n">
        <f aca="false">IF(A7="","",IF(OR(NOT(ISNUMBER(J7)),NOT(ISNUMBER(K7))),"BELUM LENGKAP",K7-J7))</f>
        <v>20700</v>
      </c>
      <c r="M7" s="20" t="n">
        <f aca="false">IF(A7="","",IF(OR(NOT(ISNUMBER(L7)),K7=0),"BELUM LENGKAP",L7/K7))</f>
        <v>0.739285714285714</v>
      </c>
      <c r="N7" s="18" t="str">
        <f aca="false">IF(A7="","",IF(OR(B7="BELUM ADA",E7="BELUM ADA",NOT(ISNUMBER(F7)),F7&lt;=0,NOT(ISNUMBER(H7)),NOT(ISNUMBER(K7))),"BELUM LENGKAP","LENGKAP"))</f>
        <v>LENGKAP</v>
      </c>
    </row>
    <row r="8" customFormat="false" ht="27" hidden="false" customHeight="true" outlineLevel="0" collapsed="false">
      <c r="A8" s="14" t="s">
        <v>89</v>
      </c>
      <c r="B8" s="18" t="str">
        <f aca="false">IF(A8="","",IF(COUNTIFS('MASTER MENU'!$A$5:$A$504,A8)=0,"BELUM ADA",INDEX('MASTER MENU'!$B$5:$B$504,MATCH(A8,'MASTER MENU'!$A$5:$A$504,0))))</f>
        <v>Americano</v>
      </c>
      <c r="C8" s="18" t="str">
        <f aca="false">IF(A8="","",IF(COUNTIFS('MASTER MENU'!$A$5:$A$504,A8)=0,"BELUM ADA",INDEX('MASTER MENU'!$E$5:$E$504,MATCH(A8,'MASTER MENU'!$A$5:$A$504,0))))</f>
        <v>Ice</v>
      </c>
      <c r="D8" s="14" t="s">
        <v>128</v>
      </c>
      <c r="E8" s="18" t="str">
        <f aca="false">IF(D8="","",IF(COUNTIFS('MASTER BAHAN'!$A$5:$A$504,D8)=0,"BELUM ADA",INDEX('MASTER BAHAN'!$B$5:$B$504,MATCH(D8,'MASTER BAHAN'!$A$5:$A$504,0))))</f>
        <v>Biji kopi</v>
      </c>
      <c r="F8" s="14" t="n">
        <v>20</v>
      </c>
      <c r="G8" s="18" t="str">
        <f aca="false">IF(D8="","",IF(COUNTIFS('MASTER BAHAN'!$A$5:$A$504,D8)=0,"BELUM ADA",INDEX('MASTER BAHAN'!$D$5:$D$504,MATCH(D8,'MASTER BAHAN'!$A$5:$A$504,0))))</f>
        <v>gram</v>
      </c>
      <c r="H8" s="17" t="n">
        <f aca="false">IF(D8="","",IF(COUNTIFS('MASTER BAHAN'!$A$5:$A$504,D8)=0,"BELUM ADA",INDEX('MASTER BAHAN'!$I$5:$I$504,MATCH(D8,'MASTER BAHAN'!$A$5:$A$504,0))))</f>
        <v>150</v>
      </c>
      <c r="I8" s="19" t="n">
        <f aca="false">IF(A8="","",IF(OR(NOT(ISNUMBER(F8)),NOT(ISNUMBER(H8))),"BELUM LENGKAP",ROUND(F8*H8,0)))</f>
        <v>3000</v>
      </c>
      <c r="J8" s="19" t="n">
        <f aca="false">IF(A8="","",IF(COUNTIFS($A$5:$A$504,A8,$N$5:$N$504,"BELUM LENGKAP")&gt;0,"BELUM LENGKAP",SUMIFS($I$5:$I$504,$A$5:$A$504,A8)))</f>
        <v>3160</v>
      </c>
      <c r="K8" s="19" t="n">
        <f aca="false">IF(A8="","",IF(COUNTIFS('MASTER MENU'!$A$5:$A$504,A8)=0,"BELUM ADA",INDEX('MASTER MENU'!$F$5:$F$504,MATCH(A8,'MASTER MENU'!$A$5:$A$504,0))))</f>
        <v>25000</v>
      </c>
      <c r="L8" s="19" t="n">
        <f aca="false">IF(A8="","",IF(OR(NOT(ISNUMBER(J8)),NOT(ISNUMBER(K8))),"BELUM LENGKAP",K8-J8))</f>
        <v>21840</v>
      </c>
      <c r="M8" s="20" t="n">
        <f aca="false">IF(A8="","",IF(OR(NOT(ISNUMBER(L8)),K8=0),"BELUM LENGKAP",L8/K8))</f>
        <v>0.8736</v>
      </c>
      <c r="N8" s="18" t="str">
        <f aca="false">IF(A8="","",IF(OR(B8="BELUM ADA",E8="BELUM ADA",NOT(ISNUMBER(F8)),F8&lt;=0,NOT(ISNUMBER(H8)),NOT(ISNUMBER(K8))),"BELUM LENGKAP","LENGKAP"))</f>
        <v>LENGKAP</v>
      </c>
    </row>
    <row r="9" customFormat="false" ht="27" hidden="false" customHeight="true" outlineLevel="0" collapsed="false">
      <c r="A9" s="14" t="s">
        <v>89</v>
      </c>
      <c r="B9" s="18" t="str">
        <f aca="false">IF(A9="","",IF(COUNTIFS('MASTER MENU'!$A$5:$A$504,A9)=0,"BELUM ADA",INDEX('MASTER MENU'!$B$5:$B$504,MATCH(A9,'MASTER MENU'!$A$5:$A$504,0))))</f>
        <v>Americano</v>
      </c>
      <c r="C9" s="18" t="str">
        <f aca="false">IF(A9="","",IF(COUNTIFS('MASTER MENU'!$A$5:$A$504,A9)=0,"BELUM ADA",INDEX('MASTER MENU'!$E$5:$E$504,MATCH(A9,'MASTER MENU'!$A$5:$A$504,0))))</f>
        <v>Ice</v>
      </c>
      <c r="D9" s="14" t="s">
        <v>139</v>
      </c>
      <c r="E9" s="18" t="str">
        <f aca="false">IF(D9="","",IF(COUNTIFS('MASTER BAHAN'!$A$5:$A$504,D9)=0,"BELUM ADA",INDEX('MASTER BAHAN'!$B$5:$B$504,MATCH(D9,'MASTER BAHAN'!$A$5:$A$504,0))))</f>
        <v>Air mineral</v>
      </c>
      <c r="F9" s="14" t="n">
        <v>200</v>
      </c>
      <c r="G9" s="18" t="str">
        <f aca="false">IF(D9="","",IF(COUNTIFS('MASTER BAHAN'!$A$5:$A$504,D9)=0,"BELUM ADA",INDEX('MASTER BAHAN'!$D$5:$D$504,MATCH(D9,'MASTER BAHAN'!$A$5:$A$504,0))))</f>
        <v>ml</v>
      </c>
      <c r="H9" s="17" t="n">
        <f aca="false">IF(D9="","",IF(COUNTIFS('MASTER BAHAN'!$A$5:$A$504,D9)=0,"BELUM ADA",INDEX('MASTER BAHAN'!$I$5:$I$504,MATCH(D9,'MASTER BAHAN'!$A$5:$A$504,0))))</f>
        <v>0.8</v>
      </c>
      <c r="I9" s="19" t="n">
        <f aca="false">IF(A9="","",IF(OR(NOT(ISNUMBER(F9)),NOT(ISNUMBER(H9))),"BELUM LENGKAP",ROUND(F9*H9,0)))</f>
        <v>160</v>
      </c>
      <c r="J9" s="19" t="n">
        <f aca="false">IF(A9="","",IF(COUNTIFS($A$5:$A$504,A9,$N$5:$N$504,"BELUM LENGKAP")&gt;0,"BELUM LENGKAP",SUMIFS($I$5:$I$504,$A$5:$A$504,A9)))</f>
        <v>3160</v>
      </c>
      <c r="K9" s="19" t="n">
        <f aca="false">IF(A9="","",IF(COUNTIFS('MASTER MENU'!$A$5:$A$504,A9)=0,"BELUM ADA",INDEX('MASTER MENU'!$F$5:$F$504,MATCH(A9,'MASTER MENU'!$A$5:$A$504,0))))</f>
        <v>25000</v>
      </c>
      <c r="L9" s="19" t="n">
        <f aca="false">IF(A9="","",IF(OR(NOT(ISNUMBER(J9)),NOT(ISNUMBER(K9))),"BELUM LENGKAP",K9-J9))</f>
        <v>21840</v>
      </c>
      <c r="M9" s="20" t="n">
        <f aca="false">IF(A9="","",IF(OR(NOT(ISNUMBER(L9)),K9=0),"BELUM LENGKAP",L9/K9))</f>
        <v>0.8736</v>
      </c>
      <c r="N9" s="18" t="str">
        <f aca="false">IF(A9="","",IF(OR(B9="BELUM ADA",E9="BELUM ADA",NOT(ISNUMBER(F9)),F9&lt;=0,NOT(ISNUMBER(H9)),NOT(ISNUMBER(K9))),"BELUM LENGKAP","LENGKAP"))</f>
        <v>LENGKAP</v>
      </c>
    </row>
    <row r="10" customFormat="false" ht="27" hidden="false" customHeight="true" outlineLevel="0" collapsed="false">
      <c r="A10" s="14" t="s">
        <v>92</v>
      </c>
      <c r="B10" s="18" t="str">
        <f aca="false">IF(A10="","",IF(COUNTIFS('MASTER MENU'!$A$5:$A$504,A10)=0,"BELUM ADA",INDEX('MASTER MENU'!$B$5:$B$504,MATCH(A10,'MASTER MENU'!$A$5:$A$504,0))))</f>
        <v>Latte</v>
      </c>
      <c r="C10" s="18" t="str">
        <f aca="false">IF(A10="","",IF(COUNTIFS('MASTER MENU'!$A$5:$A$504,A10)=0,"BELUM ADA",INDEX('MASTER MENU'!$E$5:$E$504,MATCH(A10,'MASTER MENU'!$A$5:$A$504,0))))</f>
        <v>Hot</v>
      </c>
      <c r="D10" s="14" t="s">
        <v>128</v>
      </c>
      <c r="E10" s="18" t="str">
        <f aca="false">IF(D10="","",IF(COUNTIFS('MASTER BAHAN'!$A$5:$A$504,D10)=0,"BELUM ADA",INDEX('MASTER BAHAN'!$B$5:$B$504,MATCH(D10,'MASTER BAHAN'!$A$5:$A$504,0))))</f>
        <v>Biji kopi</v>
      </c>
      <c r="F10" s="14" t="n">
        <v>18</v>
      </c>
      <c r="G10" s="18" t="str">
        <f aca="false">IF(D10="","",IF(COUNTIFS('MASTER BAHAN'!$A$5:$A$504,D10)=0,"BELUM ADA",INDEX('MASTER BAHAN'!$D$5:$D$504,MATCH(D10,'MASTER BAHAN'!$A$5:$A$504,0))))</f>
        <v>gram</v>
      </c>
      <c r="H10" s="17" t="n">
        <f aca="false">IF(D10="","",IF(COUNTIFS('MASTER BAHAN'!$A$5:$A$504,D10)=0,"BELUM ADA",INDEX('MASTER BAHAN'!$I$5:$I$504,MATCH(D10,'MASTER BAHAN'!$A$5:$A$504,0))))</f>
        <v>150</v>
      </c>
      <c r="I10" s="19" t="n">
        <f aca="false">IF(A10="","",IF(OR(NOT(ISNUMBER(F10)),NOT(ISNUMBER(H10))),"BELUM LENGKAP",ROUND(F10*H10,0)))</f>
        <v>2700</v>
      </c>
      <c r="J10" s="19" t="n">
        <f aca="false">IF(A10="","",IF(COUNTIFS($A$5:$A$504,A10,$N$5:$N$504,"BELUM LENGKAP")&gt;0,"BELUM LENGKAP",SUMIFS($I$5:$I$504,$A$5:$A$504,A10)))</f>
        <v>7020</v>
      </c>
      <c r="K10" s="19" t="n">
        <f aca="false">IF(A10="","",IF(COUNTIFS('MASTER MENU'!$A$5:$A$504,A10)=0,"BELUM ADA",INDEX('MASTER MENU'!$F$5:$F$504,MATCH(A10,'MASTER MENU'!$A$5:$A$504,0))))</f>
        <v>32000</v>
      </c>
      <c r="L10" s="19" t="n">
        <f aca="false">IF(A10="","",IF(OR(NOT(ISNUMBER(J10)),NOT(ISNUMBER(K10))),"BELUM LENGKAP",K10-J10))</f>
        <v>24980</v>
      </c>
      <c r="M10" s="20" t="n">
        <f aca="false">IF(A10="","",IF(OR(NOT(ISNUMBER(L10)),K10=0),"BELUM LENGKAP",L10/K10))</f>
        <v>0.780625</v>
      </c>
      <c r="N10" s="18" t="str">
        <f aca="false">IF(A10="","",IF(OR(B10="BELUM ADA",E10="BELUM ADA",NOT(ISNUMBER(F10)),F10&lt;=0,NOT(ISNUMBER(H10)),NOT(ISNUMBER(K10))),"BELUM LENGKAP","LENGKAP"))</f>
        <v>LENGKAP</v>
      </c>
    </row>
    <row r="11" customFormat="false" ht="27" hidden="false" customHeight="true" outlineLevel="0" collapsed="false">
      <c r="A11" s="14" t="s">
        <v>92</v>
      </c>
      <c r="B11" s="18" t="str">
        <f aca="false">IF(A11="","",IF(COUNTIFS('MASTER MENU'!$A$5:$A$504,A11)=0,"BELUM ADA",INDEX('MASTER MENU'!$B$5:$B$504,MATCH(A11,'MASTER MENU'!$A$5:$A$504,0))))</f>
        <v>Latte</v>
      </c>
      <c r="C11" s="18" t="str">
        <f aca="false">IF(A11="","",IF(COUNTIFS('MASTER MENU'!$A$5:$A$504,A11)=0,"BELUM ADA",INDEX('MASTER MENU'!$E$5:$E$504,MATCH(A11,'MASTER MENU'!$A$5:$A$504,0))))</f>
        <v>Hot</v>
      </c>
      <c r="D11" s="14" t="s">
        <v>132</v>
      </c>
      <c r="E11" s="18" t="str">
        <f aca="false">IF(D11="","",IF(COUNTIFS('MASTER BAHAN'!$A$5:$A$504,D11)=0,"BELUM ADA",INDEX('MASTER BAHAN'!$B$5:$B$504,MATCH(D11,'MASTER BAHAN'!$A$5:$A$504,0))))</f>
        <v>Susu UHT</v>
      </c>
      <c r="F11" s="14" t="n">
        <v>180</v>
      </c>
      <c r="G11" s="18" t="str">
        <f aca="false">IF(D11="","",IF(COUNTIFS('MASTER BAHAN'!$A$5:$A$504,D11)=0,"BELUM ADA",INDEX('MASTER BAHAN'!$D$5:$D$504,MATCH(D11,'MASTER BAHAN'!$A$5:$A$504,0))))</f>
        <v>ml</v>
      </c>
      <c r="H11" s="17" t="n">
        <f aca="false">IF(D11="","",IF(COUNTIFS('MASTER BAHAN'!$A$5:$A$504,D11)=0,"BELUM ADA",INDEX('MASTER BAHAN'!$I$5:$I$504,MATCH(D11,'MASTER BAHAN'!$A$5:$A$504,0))))</f>
        <v>24</v>
      </c>
      <c r="I11" s="19" t="n">
        <f aca="false">IF(A11="","",IF(OR(NOT(ISNUMBER(F11)),NOT(ISNUMBER(H11))),"BELUM LENGKAP",ROUND(F11*H11,0)))</f>
        <v>4320</v>
      </c>
      <c r="J11" s="19" t="n">
        <f aca="false">IF(A11="","",IF(COUNTIFS($A$5:$A$504,A11,$N$5:$N$504,"BELUM LENGKAP")&gt;0,"BELUM LENGKAP",SUMIFS($I$5:$I$504,$A$5:$A$504,A11)))</f>
        <v>7020</v>
      </c>
      <c r="K11" s="19" t="n">
        <f aca="false">IF(A11="","",IF(COUNTIFS('MASTER MENU'!$A$5:$A$504,A11)=0,"BELUM ADA",INDEX('MASTER MENU'!$F$5:$F$504,MATCH(A11,'MASTER MENU'!$A$5:$A$504,0))))</f>
        <v>32000</v>
      </c>
      <c r="L11" s="19" t="n">
        <f aca="false">IF(A11="","",IF(OR(NOT(ISNUMBER(J11)),NOT(ISNUMBER(K11))),"BELUM LENGKAP",K11-J11))</f>
        <v>24980</v>
      </c>
      <c r="M11" s="20" t="n">
        <f aca="false">IF(A11="","",IF(OR(NOT(ISNUMBER(L11)),K11=0),"BELUM LENGKAP",L11/K11))</f>
        <v>0.780625</v>
      </c>
      <c r="N11" s="18" t="str">
        <f aca="false">IF(A11="","",IF(OR(B11="BELUM ADA",E11="BELUM ADA",NOT(ISNUMBER(F11)),F11&lt;=0,NOT(ISNUMBER(H11)),NOT(ISNUMBER(K11))),"BELUM LENGKAP","LENGKAP"))</f>
        <v>LENGKAP</v>
      </c>
    </row>
    <row r="12" customFormat="false" ht="27" hidden="false" customHeight="true" outlineLevel="0" collapsed="false">
      <c r="A12" s="14" t="s">
        <v>95</v>
      </c>
      <c r="B12" s="18" t="str">
        <f aca="false">IF(A12="","",IF(COUNTIFS('MASTER MENU'!$A$5:$A$504,A12)=0,"BELUM ADA",INDEX('MASTER MENU'!$B$5:$B$504,MATCH(A12,'MASTER MENU'!$A$5:$A$504,0))))</f>
        <v>Matcha Latte</v>
      </c>
      <c r="C12" s="18" t="str">
        <f aca="false">IF(A12="","",IF(COUNTIFS('MASTER MENU'!$A$5:$A$504,A12)=0,"BELUM ADA",INDEX('MASTER MENU'!$E$5:$E$504,MATCH(A12,'MASTER MENU'!$A$5:$A$504,0))))</f>
        <v>Ice</v>
      </c>
      <c r="D12" s="14" t="s">
        <v>142</v>
      </c>
      <c r="E12" s="18" t="str">
        <f aca="false">IF(D12="","",IF(COUNTIFS('MASTER BAHAN'!$A$5:$A$504,D12)=0,"BELUM ADA",INDEX('MASTER BAHAN'!$B$5:$B$504,MATCH(D12,'MASTER BAHAN'!$A$5:$A$504,0))))</f>
        <v>Bubuk matcha</v>
      </c>
      <c r="F12" s="14" t="n">
        <v>12</v>
      </c>
      <c r="G12" s="18" t="str">
        <f aca="false">IF(D12="","",IF(COUNTIFS('MASTER BAHAN'!$A$5:$A$504,D12)=0,"BELUM ADA",INDEX('MASTER BAHAN'!$D$5:$D$504,MATCH(D12,'MASTER BAHAN'!$A$5:$A$504,0))))</f>
        <v>gram</v>
      </c>
      <c r="H12" s="17" t="n">
        <f aca="false">IF(D12="","",IF(COUNTIFS('MASTER BAHAN'!$A$5:$A$504,D12)=0,"BELUM ADA",INDEX('MASTER BAHAN'!$I$5:$I$504,MATCH(D12,'MASTER BAHAN'!$A$5:$A$504,0))))</f>
        <v>220</v>
      </c>
      <c r="I12" s="19" t="n">
        <f aca="false">IF(A12="","",IF(OR(NOT(ISNUMBER(F12)),NOT(ISNUMBER(H12))),"BELUM LENGKAP",ROUND(F12*H12,0)))</f>
        <v>2640</v>
      </c>
      <c r="J12" s="19" t="n">
        <f aca="false">IF(A12="","",IF(COUNTIFS($A$5:$A$504,A12,$N$5:$N$504,"BELUM LENGKAP")&gt;0,"BELUM LENGKAP",SUMIFS($I$5:$I$504,$A$5:$A$504,A12)))</f>
        <v>6960</v>
      </c>
      <c r="K12" s="19" t="n">
        <f aca="false">IF(A12="","",IF(COUNTIFS('MASTER MENU'!$A$5:$A$504,A12)=0,"BELUM ADA",INDEX('MASTER MENU'!$F$5:$F$504,MATCH(A12,'MASTER MENU'!$A$5:$A$504,0))))</f>
        <v>33000</v>
      </c>
      <c r="L12" s="19" t="n">
        <f aca="false">IF(A12="","",IF(OR(NOT(ISNUMBER(J12)),NOT(ISNUMBER(K12))),"BELUM LENGKAP",K12-J12))</f>
        <v>26040</v>
      </c>
      <c r="M12" s="20" t="n">
        <f aca="false">IF(A12="","",IF(OR(NOT(ISNUMBER(L12)),K12=0),"BELUM LENGKAP",L12/K12))</f>
        <v>0.789090909090909</v>
      </c>
      <c r="N12" s="18" t="str">
        <f aca="false">IF(A12="","",IF(OR(B12="BELUM ADA",E12="BELUM ADA",NOT(ISNUMBER(F12)),F12&lt;=0,NOT(ISNUMBER(H12)),NOT(ISNUMBER(K12))),"BELUM LENGKAP","LENGKAP"))</f>
        <v>LENGKAP</v>
      </c>
    </row>
    <row r="13" customFormat="false" ht="27" hidden="false" customHeight="true" outlineLevel="0" collapsed="false">
      <c r="A13" s="14" t="s">
        <v>95</v>
      </c>
      <c r="B13" s="18" t="str">
        <f aca="false">IF(A13="","",IF(COUNTIFS('MASTER MENU'!$A$5:$A$504,A13)=0,"BELUM ADA",INDEX('MASTER MENU'!$B$5:$B$504,MATCH(A13,'MASTER MENU'!$A$5:$A$504,0))))</f>
        <v>Matcha Latte</v>
      </c>
      <c r="C13" s="18" t="str">
        <f aca="false">IF(A13="","",IF(COUNTIFS('MASTER MENU'!$A$5:$A$504,A13)=0,"BELUM ADA",INDEX('MASTER MENU'!$E$5:$E$504,MATCH(A13,'MASTER MENU'!$A$5:$A$504,0))))</f>
        <v>Ice</v>
      </c>
      <c r="D13" s="14" t="s">
        <v>132</v>
      </c>
      <c r="E13" s="18" t="str">
        <f aca="false">IF(D13="","",IF(COUNTIFS('MASTER BAHAN'!$A$5:$A$504,D13)=0,"BELUM ADA",INDEX('MASTER BAHAN'!$B$5:$B$504,MATCH(D13,'MASTER BAHAN'!$A$5:$A$504,0))))</f>
        <v>Susu UHT</v>
      </c>
      <c r="F13" s="14" t="n">
        <v>180</v>
      </c>
      <c r="G13" s="18" t="str">
        <f aca="false">IF(D13="","",IF(COUNTIFS('MASTER BAHAN'!$A$5:$A$504,D13)=0,"BELUM ADA",INDEX('MASTER BAHAN'!$D$5:$D$504,MATCH(D13,'MASTER BAHAN'!$A$5:$A$504,0))))</f>
        <v>ml</v>
      </c>
      <c r="H13" s="17" t="n">
        <f aca="false">IF(D13="","",IF(COUNTIFS('MASTER BAHAN'!$A$5:$A$504,D13)=0,"BELUM ADA",INDEX('MASTER BAHAN'!$I$5:$I$504,MATCH(D13,'MASTER BAHAN'!$A$5:$A$504,0))))</f>
        <v>24</v>
      </c>
      <c r="I13" s="19" t="n">
        <f aca="false">IF(A13="","",IF(OR(NOT(ISNUMBER(F13)),NOT(ISNUMBER(H13))),"BELUM LENGKAP",ROUND(F13*H13,0)))</f>
        <v>4320</v>
      </c>
      <c r="J13" s="19" t="n">
        <f aca="false">IF(A13="","",IF(COUNTIFS($A$5:$A$504,A13,$N$5:$N$504,"BELUM LENGKAP")&gt;0,"BELUM LENGKAP",SUMIFS($I$5:$I$504,$A$5:$A$504,A13)))</f>
        <v>6960</v>
      </c>
      <c r="K13" s="19" t="n">
        <f aca="false">IF(A13="","",IF(COUNTIFS('MASTER MENU'!$A$5:$A$504,A13)=0,"BELUM ADA",INDEX('MASTER MENU'!$F$5:$F$504,MATCH(A13,'MASTER MENU'!$A$5:$A$504,0))))</f>
        <v>33000</v>
      </c>
      <c r="L13" s="19" t="n">
        <f aca="false">IF(A13="","",IF(OR(NOT(ISNUMBER(J13)),NOT(ISNUMBER(K13))),"BELUM LENGKAP",K13-J13))</f>
        <v>26040</v>
      </c>
      <c r="M13" s="20" t="n">
        <f aca="false">IF(A13="","",IF(OR(NOT(ISNUMBER(L13)),K13=0),"BELUM LENGKAP",L13/K13))</f>
        <v>0.789090909090909</v>
      </c>
      <c r="N13" s="18" t="str">
        <f aca="false">IF(A13="","",IF(OR(B13="BELUM ADA",E13="BELUM ADA",NOT(ISNUMBER(F13)),F13&lt;=0,NOT(ISNUMBER(H13)),NOT(ISNUMBER(K13))),"BELUM LENGKAP","LENGKAP"))</f>
        <v>LENGKAP</v>
      </c>
    </row>
    <row r="14" customFormat="false" ht="27" hidden="false" customHeight="true" outlineLevel="0" collapsed="false">
      <c r="A14" s="14" t="s">
        <v>98</v>
      </c>
      <c r="B14" s="18" t="str">
        <f aca="false">IF(A14="","",IF(COUNTIFS('MASTER MENU'!$A$5:$A$504,A14)=0,"BELUM ADA",INDEX('MASTER MENU'!$B$5:$B$504,MATCH(A14,'MASTER MENU'!$A$5:$A$504,0))))</f>
        <v>Teh Lemon</v>
      </c>
      <c r="C14" s="18" t="str">
        <f aca="false">IF(A14="","",IF(COUNTIFS('MASTER MENU'!$A$5:$A$504,A14)=0,"BELUM ADA",INDEX('MASTER MENU'!$E$5:$E$504,MATCH(A14,'MASTER MENU'!$A$5:$A$504,0))))</f>
        <v>Ice</v>
      </c>
      <c r="D14" s="14" t="s">
        <v>145</v>
      </c>
      <c r="E14" s="18" t="str">
        <f aca="false">IF(D14="","",IF(COUNTIFS('MASTER BAHAN'!$A$5:$A$504,D14)=0,"BELUM ADA",INDEX('MASTER BAHAN'!$B$5:$B$504,MATCH(D14,'MASTER BAHAN'!$A$5:$A$504,0))))</f>
        <v>Teh celup</v>
      </c>
      <c r="F14" s="14" t="n">
        <v>1</v>
      </c>
      <c r="G14" s="18" t="str">
        <f aca="false">IF(D14="","",IF(COUNTIFS('MASTER BAHAN'!$A$5:$A$504,D14)=0,"BELUM ADA",INDEX('MASTER BAHAN'!$D$5:$D$504,MATCH(D14,'MASTER BAHAN'!$A$5:$A$504,0))))</f>
        <v>pcs</v>
      </c>
      <c r="H14" s="17" t="n">
        <f aca="false">IF(D14="","",IF(COUNTIFS('MASTER BAHAN'!$A$5:$A$504,D14)=0,"BELUM ADA",INDEX('MASTER BAHAN'!$I$5:$I$504,MATCH(D14,'MASTER BAHAN'!$A$5:$A$504,0))))</f>
        <v>400</v>
      </c>
      <c r="I14" s="19" t="n">
        <f aca="false">IF(A14="","",IF(OR(NOT(ISNUMBER(F14)),NOT(ISNUMBER(H14))),"BELUM LENGKAP",ROUND(F14*H14,0)))</f>
        <v>400</v>
      </c>
      <c r="J14" s="19" t="n">
        <f aca="false">IF(A14="","",IF(COUNTIFS($A$5:$A$504,A14,$N$5:$N$504,"BELUM LENGKAP")&gt;0,"BELUM LENGKAP",SUMIFS($I$5:$I$504,$A$5:$A$504,A14)))</f>
        <v>1300</v>
      </c>
      <c r="K14" s="19" t="n">
        <f aca="false">IF(A14="","",IF(COUNTIFS('MASTER MENU'!$A$5:$A$504,A14)=0,"BELUM ADA",INDEX('MASTER MENU'!$F$5:$F$504,MATCH(A14,'MASTER MENU'!$A$5:$A$504,0))))</f>
        <v>22000</v>
      </c>
      <c r="L14" s="19" t="n">
        <f aca="false">IF(A14="","",IF(OR(NOT(ISNUMBER(J14)),NOT(ISNUMBER(K14))),"BELUM LENGKAP",K14-J14))</f>
        <v>20700</v>
      </c>
      <c r="M14" s="20" t="n">
        <f aca="false">IF(A14="","",IF(OR(NOT(ISNUMBER(L14)),K14=0),"BELUM LENGKAP",L14/K14))</f>
        <v>0.940909090909091</v>
      </c>
      <c r="N14" s="18" t="str">
        <f aca="false">IF(A14="","",IF(OR(B14="BELUM ADA",E14="BELUM ADA",NOT(ISNUMBER(F14)),F14&lt;=0,NOT(ISNUMBER(H14)),NOT(ISNUMBER(K14))),"BELUM LENGKAP","LENGKAP"))</f>
        <v>LENGKAP</v>
      </c>
    </row>
    <row r="15" customFormat="false" ht="27" hidden="false" customHeight="true" outlineLevel="0" collapsed="false">
      <c r="A15" s="14" t="s">
        <v>98</v>
      </c>
      <c r="B15" s="18" t="str">
        <f aca="false">IF(A15="","",IF(COUNTIFS('MASTER MENU'!$A$5:$A$504,A15)=0,"BELUM ADA",INDEX('MASTER MENU'!$B$5:$B$504,MATCH(A15,'MASTER MENU'!$A$5:$A$504,0))))</f>
        <v>Teh Lemon</v>
      </c>
      <c r="C15" s="18" t="str">
        <f aca="false">IF(A15="","",IF(COUNTIFS('MASTER MENU'!$A$5:$A$504,A15)=0,"BELUM ADA",INDEX('MASTER MENU'!$E$5:$E$504,MATCH(A15,'MASTER MENU'!$A$5:$A$504,0))))</f>
        <v>Ice</v>
      </c>
      <c r="D15" s="14" t="s">
        <v>148</v>
      </c>
      <c r="E15" s="18" t="str">
        <f aca="false">IF(D15="","",IF(COUNTIFS('MASTER BAHAN'!$A$5:$A$504,D15)=0,"BELUM ADA",INDEX('MASTER BAHAN'!$B$5:$B$504,MATCH(D15,'MASTER BAHAN'!$A$5:$A$504,0))))</f>
        <v>Lemon</v>
      </c>
      <c r="F15" s="14" t="n">
        <v>30</v>
      </c>
      <c r="G15" s="18" t="str">
        <f aca="false">IF(D15="","",IF(COUNTIFS('MASTER BAHAN'!$A$5:$A$504,D15)=0,"BELUM ADA",INDEX('MASTER BAHAN'!$D$5:$D$504,MATCH(D15,'MASTER BAHAN'!$A$5:$A$504,0))))</f>
        <v>gram</v>
      </c>
      <c r="H15" s="17" t="n">
        <f aca="false">IF(D15="","",IF(COUNTIFS('MASTER BAHAN'!$A$5:$A$504,D15)=0,"BELUM ADA",INDEX('MASTER BAHAN'!$I$5:$I$504,MATCH(D15,'MASTER BAHAN'!$A$5:$A$504,0))))</f>
        <v>30</v>
      </c>
      <c r="I15" s="19" t="n">
        <f aca="false">IF(A15="","",IF(OR(NOT(ISNUMBER(F15)),NOT(ISNUMBER(H15))),"BELUM LENGKAP",ROUND(F15*H15,0)))</f>
        <v>900</v>
      </c>
      <c r="J15" s="19" t="n">
        <f aca="false">IF(A15="","",IF(COUNTIFS($A$5:$A$504,A15,$N$5:$N$504,"BELUM LENGKAP")&gt;0,"BELUM LENGKAP",SUMIFS($I$5:$I$504,$A$5:$A$504,A15)))</f>
        <v>1300</v>
      </c>
      <c r="K15" s="19" t="n">
        <f aca="false">IF(A15="","",IF(COUNTIFS('MASTER MENU'!$A$5:$A$504,A15)=0,"BELUM ADA",INDEX('MASTER MENU'!$F$5:$F$504,MATCH(A15,'MASTER MENU'!$A$5:$A$504,0))))</f>
        <v>22000</v>
      </c>
      <c r="L15" s="19" t="n">
        <f aca="false">IF(A15="","",IF(OR(NOT(ISNUMBER(J15)),NOT(ISNUMBER(K15))),"BELUM LENGKAP",K15-J15))</f>
        <v>20700</v>
      </c>
      <c r="M15" s="20" t="n">
        <f aca="false">IF(A15="","",IF(OR(NOT(ISNUMBER(L15)),K15=0),"BELUM LENGKAP",L15/K15))</f>
        <v>0.940909090909091</v>
      </c>
      <c r="N15" s="18" t="str">
        <f aca="false">IF(A15="","",IF(OR(B15="BELUM ADA",E15="BELUM ADA",NOT(ISNUMBER(F15)),F15&lt;=0,NOT(ISNUMBER(H15)),NOT(ISNUMBER(K15))),"BELUM LENGKAP","LENGKAP"))</f>
        <v>LENGKAP</v>
      </c>
    </row>
    <row r="16" customFormat="false" ht="27" hidden="false" customHeight="true" outlineLevel="0" collapsed="false">
      <c r="A16" s="14" t="s">
        <v>101</v>
      </c>
      <c r="B16" s="18" t="str">
        <f aca="false">IF(A16="","",IF(COUNTIFS('MASTER MENU'!$A$5:$A$504,A16)=0,"BELUM ADA",INDEX('MASTER MENU'!$B$5:$B$504,MATCH(A16,'MASTER MENU'!$A$5:$A$504,0))))</f>
        <v>Croissant Butter</v>
      </c>
      <c r="C16" s="18" t="str">
        <f aca="false">IF(A16="","",IF(COUNTIFS('MASTER MENU'!$A$5:$A$504,A16)=0,"BELUM ADA",INDEX('MASTER MENU'!$E$5:$E$504,MATCH(A16,'MASTER MENU'!$A$5:$A$504,0))))</f>
        <v>Reguler</v>
      </c>
      <c r="D16" s="14" t="s">
        <v>151</v>
      </c>
      <c r="E16" s="18" t="str">
        <f aca="false">IF(D16="","",IF(COUNTIFS('MASTER BAHAN'!$A$5:$A$504,D16)=0,"BELUM ADA",INDEX('MASTER BAHAN'!$B$5:$B$504,MATCH(D16,'MASTER BAHAN'!$A$5:$A$504,0))))</f>
        <v>Croissant beku</v>
      </c>
      <c r="F16" s="14" t="n">
        <v>1</v>
      </c>
      <c r="G16" s="18" t="str">
        <f aca="false">IF(D16="","",IF(COUNTIFS('MASTER BAHAN'!$A$5:$A$504,D16)=0,"BELUM ADA",INDEX('MASTER BAHAN'!$D$5:$D$504,MATCH(D16,'MASTER BAHAN'!$A$5:$A$504,0))))</f>
        <v>pcs</v>
      </c>
      <c r="H16" s="17" t="n">
        <f aca="false">IF(D16="","",IF(COUNTIFS('MASTER BAHAN'!$A$5:$A$504,D16)=0,"BELUM ADA",INDEX('MASTER BAHAN'!$I$5:$I$504,MATCH(D16,'MASTER BAHAN'!$A$5:$A$504,0))))</f>
        <v>7500</v>
      </c>
      <c r="I16" s="19" t="n">
        <f aca="false">IF(A16="","",IF(OR(NOT(ISNUMBER(F16)),NOT(ISNUMBER(H16))),"BELUM LENGKAP",ROUND(F16*H16,0)))</f>
        <v>7500</v>
      </c>
      <c r="J16" s="19" t="n">
        <f aca="false">IF(A16="","",IF(COUNTIFS($A$5:$A$504,A16,$N$5:$N$504,"BELUM LENGKAP")&gt;0,"BELUM LENGKAP",SUMIFS($I$5:$I$504,$A$5:$A$504,A16)))</f>
        <v>7500</v>
      </c>
      <c r="K16" s="19" t="n">
        <f aca="false">IF(A16="","",IF(COUNTIFS('MASTER MENU'!$A$5:$A$504,A16)=0,"BELUM ADA",INDEX('MASTER MENU'!$F$5:$F$504,MATCH(A16,'MASTER MENU'!$A$5:$A$504,0))))</f>
        <v>27000</v>
      </c>
      <c r="L16" s="19" t="n">
        <f aca="false">IF(A16="","",IF(OR(NOT(ISNUMBER(J16)),NOT(ISNUMBER(K16))),"BELUM LENGKAP",K16-J16))</f>
        <v>19500</v>
      </c>
      <c r="M16" s="20" t="n">
        <f aca="false">IF(A16="","",IF(OR(NOT(ISNUMBER(L16)),K16=0),"BELUM LENGKAP",L16/K16))</f>
        <v>0.722222222222222</v>
      </c>
      <c r="N16" s="18" t="str">
        <f aca="false">IF(A16="","",IF(OR(B16="BELUM ADA",E16="BELUM ADA",NOT(ISNUMBER(F16)),F16&lt;=0,NOT(ISNUMBER(H16)),NOT(ISNUMBER(K16))),"BELUM LENGKAP","LENGKAP"))</f>
        <v>LENGKAP</v>
      </c>
    </row>
    <row r="17" customFormat="false" ht="27" hidden="false" customHeight="true" outlineLevel="0" collapsed="false">
      <c r="A17" s="14" t="s">
        <v>105</v>
      </c>
      <c r="B17" s="18" t="str">
        <f aca="false">IF(A17="","",IF(COUNTIFS('MASTER MENU'!$A$5:$A$504,A17)=0,"BELUM ADA",INDEX('MASTER MENU'!$B$5:$B$504,MATCH(A17,'MASTER MENU'!$A$5:$A$504,0))))</f>
        <v>Nasi Goreng</v>
      </c>
      <c r="C17" s="18" t="str">
        <f aca="false">IF(A17="","",IF(COUNTIFS('MASTER MENU'!$A$5:$A$504,A17)=0,"BELUM ADA",INDEX('MASTER MENU'!$E$5:$E$504,MATCH(A17,'MASTER MENU'!$A$5:$A$504,0))))</f>
        <v>Reguler</v>
      </c>
      <c r="D17" s="14" t="s">
        <v>153</v>
      </c>
      <c r="E17" s="18" t="str">
        <f aca="false">IF(D17="","",IF(COUNTIFS('MASTER BAHAN'!$A$5:$A$504,D17)=0,"BELUM ADA",INDEX('MASTER BAHAN'!$B$5:$B$504,MATCH(D17,'MASTER BAHAN'!$A$5:$A$504,0))))</f>
        <v>Beras</v>
      </c>
      <c r="F17" s="14" t="n">
        <v>150</v>
      </c>
      <c r="G17" s="18" t="str">
        <f aca="false">IF(D17="","",IF(COUNTIFS('MASTER BAHAN'!$A$5:$A$504,D17)=0,"BELUM ADA",INDEX('MASTER BAHAN'!$D$5:$D$504,MATCH(D17,'MASTER BAHAN'!$A$5:$A$504,0))))</f>
        <v>gram</v>
      </c>
      <c r="H17" s="17" t="n">
        <f aca="false">IF(D17="","",IF(COUNTIFS('MASTER BAHAN'!$A$5:$A$504,D17)=0,"BELUM ADA",INDEX('MASTER BAHAN'!$I$5:$I$504,MATCH(D17,'MASTER BAHAN'!$A$5:$A$504,0))))</f>
        <v>17</v>
      </c>
      <c r="I17" s="19" t="n">
        <f aca="false">IF(A17="","",IF(OR(NOT(ISNUMBER(F17)),NOT(ISNUMBER(H17))),"BELUM LENGKAP",ROUND(F17*H17,0)))</f>
        <v>2550</v>
      </c>
      <c r="J17" s="19" t="n">
        <f aca="false">IF(A17="","",IF(COUNTIFS($A$5:$A$504,A17,$N$5:$N$504,"BELUM LENGKAP")&gt;0,"BELUM LENGKAP",SUMIFS($I$5:$I$504,$A$5:$A$504,A17)))</f>
        <v>3550</v>
      </c>
      <c r="K17" s="19" t="n">
        <f aca="false">IF(A17="","",IF(COUNTIFS('MASTER MENU'!$A$5:$A$504,A17)=0,"BELUM ADA",INDEX('MASTER MENU'!$F$5:$F$504,MATCH(A17,'MASTER MENU'!$A$5:$A$504,0))))</f>
        <v>42000</v>
      </c>
      <c r="L17" s="19" t="n">
        <f aca="false">IF(A17="","",IF(OR(NOT(ISNUMBER(J17)),NOT(ISNUMBER(K17))),"BELUM LENGKAP",K17-J17))</f>
        <v>38450</v>
      </c>
      <c r="M17" s="20" t="n">
        <f aca="false">IF(A17="","",IF(OR(NOT(ISNUMBER(L17)),K17=0),"BELUM LENGKAP",L17/K17))</f>
        <v>0.91547619047619</v>
      </c>
      <c r="N17" s="18" t="str">
        <f aca="false">IF(A17="","",IF(OR(B17="BELUM ADA",E17="BELUM ADA",NOT(ISNUMBER(F17)),F17&lt;=0,NOT(ISNUMBER(H17)),NOT(ISNUMBER(K17))),"BELUM LENGKAP","LENGKAP"))</f>
        <v>LENGKAP</v>
      </c>
    </row>
    <row r="18" customFormat="false" ht="27" hidden="false" customHeight="true" outlineLevel="0" collapsed="false">
      <c r="A18" s="14" t="s">
        <v>105</v>
      </c>
      <c r="B18" s="18" t="str">
        <f aca="false">IF(A18="","",IF(COUNTIFS('MASTER MENU'!$A$5:$A$504,A18)=0,"BELUM ADA",INDEX('MASTER MENU'!$B$5:$B$504,MATCH(A18,'MASTER MENU'!$A$5:$A$504,0))))</f>
        <v>Nasi Goreng</v>
      </c>
      <c r="C18" s="18" t="str">
        <f aca="false">IF(A18="","",IF(COUNTIFS('MASTER MENU'!$A$5:$A$504,A18)=0,"BELUM ADA",INDEX('MASTER MENU'!$E$5:$E$504,MATCH(A18,'MASTER MENU'!$A$5:$A$504,0))))</f>
        <v>Reguler</v>
      </c>
      <c r="D18" s="14" t="s">
        <v>156</v>
      </c>
      <c r="E18" s="18" t="str">
        <f aca="false">IF(D18="","",IF(COUNTIFS('MASTER BAHAN'!$A$5:$A$504,D18)=0,"BELUM ADA",INDEX('MASTER BAHAN'!$B$5:$B$504,MATCH(D18,'MASTER BAHAN'!$A$5:$A$504,0))))</f>
        <v>Telur</v>
      </c>
      <c r="F18" s="14" t="n">
        <v>1</v>
      </c>
      <c r="G18" s="18" t="str">
        <f aca="false">IF(D18="","",IF(COUNTIFS('MASTER BAHAN'!$A$5:$A$504,D18)=0,"BELUM ADA",INDEX('MASTER BAHAN'!$D$5:$D$504,MATCH(D18,'MASTER BAHAN'!$A$5:$A$504,0))))</f>
        <v>pcs</v>
      </c>
      <c r="H18" s="17" t="n">
        <f aca="false">IF(D18="","",IF(COUNTIFS('MASTER BAHAN'!$A$5:$A$504,D18)=0,"BELUM ADA",INDEX('MASTER BAHAN'!$I$5:$I$504,MATCH(D18,'MASTER BAHAN'!$A$5:$A$504,0))))</f>
        <v>1000</v>
      </c>
      <c r="I18" s="19" t="n">
        <f aca="false">IF(A18="","",IF(OR(NOT(ISNUMBER(F18)),NOT(ISNUMBER(H18))),"BELUM LENGKAP",ROUND(F18*H18,0)))</f>
        <v>1000</v>
      </c>
      <c r="J18" s="19" t="n">
        <f aca="false">IF(A18="","",IF(COUNTIFS($A$5:$A$504,A18,$N$5:$N$504,"BELUM LENGKAP")&gt;0,"BELUM LENGKAP",SUMIFS($I$5:$I$504,$A$5:$A$504,A18)))</f>
        <v>3550</v>
      </c>
      <c r="K18" s="19" t="n">
        <f aca="false">IF(A18="","",IF(COUNTIFS('MASTER MENU'!$A$5:$A$504,A18)=0,"BELUM ADA",INDEX('MASTER MENU'!$F$5:$F$504,MATCH(A18,'MASTER MENU'!$A$5:$A$504,0))))</f>
        <v>42000</v>
      </c>
      <c r="L18" s="19" t="n">
        <f aca="false">IF(A18="","",IF(OR(NOT(ISNUMBER(J18)),NOT(ISNUMBER(K18))),"BELUM LENGKAP",K18-J18))</f>
        <v>38450</v>
      </c>
      <c r="M18" s="20" t="n">
        <f aca="false">IF(A18="","",IF(OR(NOT(ISNUMBER(L18)),K18=0),"BELUM LENGKAP",L18/K18))</f>
        <v>0.91547619047619</v>
      </c>
      <c r="N18" s="18" t="str">
        <f aca="false">IF(A18="","",IF(OR(B18="BELUM ADA",E18="BELUM ADA",NOT(ISNUMBER(F18)),F18&lt;=0,NOT(ISNUMBER(H18)),NOT(ISNUMBER(K18))),"BELUM LENGKAP","LENGKAP"))</f>
        <v>LENGKAP</v>
      </c>
    </row>
    <row r="19" customFormat="false" ht="27" hidden="false" customHeight="true" outlineLevel="0" collapsed="false">
      <c r="A19" s="14" t="s">
        <v>108</v>
      </c>
      <c r="B19" s="18" t="str">
        <f aca="false">IF(A19="","",IF(COUNTIFS('MASTER MENU'!$A$5:$A$504,A19)=0,"BELUM ADA",INDEX('MASTER MENU'!$B$5:$B$504,MATCH(A19,'MASTER MENU'!$A$5:$A$504,0))))</f>
        <v>Kentang Goreng</v>
      </c>
      <c r="C19" s="18" t="str">
        <f aca="false">IF(A19="","",IF(COUNTIFS('MASTER MENU'!$A$5:$A$504,A19)=0,"BELUM ADA",INDEX('MASTER MENU'!$E$5:$E$504,MATCH(A19,'MASTER MENU'!$A$5:$A$504,0))))</f>
        <v>Reguler</v>
      </c>
      <c r="D19" s="14" t="s">
        <v>158</v>
      </c>
      <c r="E19" s="18" t="str">
        <f aca="false">IF(D19="","",IF(COUNTIFS('MASTER BAHAN'!$A$5:$A$504,D19)=0,"BELUM ADA",INDEX('MASTER BAHAN'!$B$5:$B$504,MATCH(D19,'MASTER BAHAN'!$A$5:$A$504,0))))</f>
        <v>Kentang beku</v>
      </c>
      <c r="F19" s="14" t="n">
        <v>180</v>
      </c>
      <c r="G19" s="18" t="str">
        <f aca="false">IF(D19="","",IF(COUNTIFS('MASTER BAHAN'!$A$5:$A$504,D19)=0,"BELUM ADA",INDEX('MASTER BAHAN'!$D$5:$D$504,MATCH(D19,'MASTER BAHAN'!$A$5:$A$504,0))))</f>
        <v>gram</v>
      </c>
      <c r="H19" s="17" t="n">
        <f aca="false">IF(D19="","",IF(COUNTIFS('MASTER BAHAN'!$A$5:$A$504,D19)=0,"BELUM ADA",INDEX('MASTER BAHAN'!$I$5:$I$504,MATCH(D19,'MASTER BAHAN'!$A$5:$A$504,0))))</f>
        <v>50</v>
      </c>
      <c r="I19" s="19" t="n">
        <f aca="false">IF(A19="","",IF(OR(NOT(ISNUMBER(F19)),NOT(ISNUMBER(H19))),"BELUM LENGKAP",ROUND(F19*H19,0)))</f>
        <v>9000</v>
      </c>
      <c r="J19" s="19" t="n">
        <f aca="false">IF(A19="","",IF(COUNTIFS($A$5:$A$504,A19,$N$5:$N$504,"BELUM LENGKAP")&gt;0,"BELUM LENGKAP",SUMIFS($I$5:$I$504,$A$5:$A$504,A19)))</f>
        <v>9000</v>
      </c>
      <c r="K19" s="19" t="n">
        <f aca="false">IF(A19="","",IF(COUNTIFS('MASTER MENU'!$A$5:$A$504,A19)=0,"BELUM ADA",INDEX('MASTER MENU'!$F$5:$F$504,MATCH(A19,'MASTER MENU'!$A$5:$A$504,0))))</f>
        <v>26000</v>
      </c>
      <c r="L19" s="19" t="n">
        <f aca="false">IF(A19="","",IF(OR(NOT(ISNUMBER(J19)),NOT(ISNUMBER(K19))),"BELUM LENGKAP",K19-J19))</f>
        <v>17000</v>
      </c>
      <c r="M19" s="20" t="n">
        <f aca="false">IF(A19="","",IF(OR(NOT(ISNUMBER(L19)),K19=0),"BELUM LENGKAP",L19/K19))</f>
        <v>0.653846153846154</v>
      </c>
      <c r="N19" s="18" t="str">
        <f aca="false">IF(A19="","",IF(OR(B19="BELUM ADA",E19="BELUM ADA",NOT(ISNUMBER(F19)),F19&lt;=0,NOT(ISNUMBER(H19)),NOT(ISNUMBER(K19))),"BELUM LENGKAP","LENGKAP"))</f>
        <v>LENGKAP</v>
      </c>
    </row>
    <row r="20" customFormat="false" ht="27" hidden="false" customHeight="true" outlineLevel="0" collapsed="false">
      <c r="A20" s="14" t="s">
        <v>111</v>
      </c>
      <c r="B20" s="18" t="str">
        <f aca="false">IF(A20="","",IF(COUNTIFS('MASTER MENU'!$A$5:$A$504,A20)=0,"BELUM ADA",INDEX('MASTER MENU'!$B$5:$B$504,MATCH(A20,'MASTER MENU'!$A$5:$A$504,0))))</f>
        <v>Espresso</v>
      </c>
      <c r="C20" s="18" t="str">
        <f aca="false">IF(A20="","",IF(COUNTIFS('MASTER MENU'!$A$5:$A$504,A20)=0,"BELUM ADA",INDEX('MASTER MENU'!$E$5:$E$504,MATCH(A20,'MASTER MENU'!$A$5:$A$504,0))))</f>
        <v>Single</v>
      </c>
      <c r="D20" s="14" t="s">
        <v>128</v>
      </c>
      <c r="E20" s="18" t="str">
        <f aca="false">IF(D20="","",IF(COUNTIFS('MASTER BAHAN'!$A$5:$A$504,D20)=0,"BELUM ADA",INDEX('MASTER BAHAN'!$B$5:$B$504,MATCH(D20,'MASTER BAHAN'!$A$5:$A$504,0))))</f>
        <v>Biji kopi</v>
      </c>
      <c r="F20" s="14" t="n">
        <v>18</v>
      </c>
      <c r="G20" s="18" t="str">
        <f aca="false">IF(D20="","",IF(COUNTIFS('MASTER BAHAN'!$A$5:$A$504,D20)=0,"BELUM ADA",INDEX('MASTER BAHAN'!$D$5:$D$504,MATCH(D20,'MASTER BAHAN'!$A$5:$A$504,0))))</f>
        <v>gram</v>
      </c>
      <c r="H20" s="17" t="n">
        <f aca="false">IF(D20="","",IF(COUNTIFS('MASTER BAHAN'!$A$5:$A$504,D20)=0,"BELUM ADA",INDEX('MASTER BAHAN'!$I$5:$I$504,MATCH(D20,'MASTER BAHAN'!$A$5:$A$504,0))))</f>
        <v>150</v>
      </c>
      <c r="I20" s="19" t="n">
        <f aca="false">IF(A20="","",IF(OR(NOT(ISNUMBER(F20)),NOT(ISNUMBER(H20))),"BELUM LENGKAP",ROUND(F20*H20,0)))</f>
        <v>2700</v>
      </c>
      <c r="J20" s="19" t="n">
        <f aca="false">IF(A20="","",IF(COUNTIFS($A$5:$A$504,A20,$N$5:$N$504,"BELUM LENGKAP")&gt;0,"BELUM LENGKAP",SUMIFS($I$5:$I$504,$A$5:$A$504,A20)))</f>
        <v>2700</v>
      </c>
      <c r="K20" s="19" t="n">
        <f aca="false">IF(A20="","",IF(COUNTIFS('MASTER MENU'!$A$5:$A$504,A20)=0,"BELUM ADA",INDEX('MASTER MENU'!$F$5:$F$504,MATCH(A20,'MASTER MENU'!$A$5:$A$504,0))))</f>
        <v>20000</v>
      </c>
      <c r="L20" s="19" t="n">
        <f aca="false">IF(A20="","",IF(OR(NOT(ISNUMBER(J20)),NOT(ISNUMBER(K20))),"BELUM LENGKAP",K20-J20))</f>
        <v>17300</v>
      </c>
      <c r="M20" s="20" t="n">
        <f aca="false">IF(A20="","",IF(OR(NOT(ISNUMBER(L20)),K20=0),"BELUM LENGKAP",L20/K20))</f>
        <v>0.865</v>
      </c>
      <c r="N20" s="18" t="str">
        <f aca="false">IF(A20="","",IF(OR(B20="BELUM ADA",E20="BELUM ADA",NOT(ISNUMBER(F20)),F20&lt;=0,NOT(ISNUMBER(H20)),NOT(ISNUMBER(K20))),"BELUM LENGKAP","LENGKAP"))</f>
        <v>LENGKAP</v>
      </c>
    </row>
    <row r="21" customFormat="false" ht="27" hidden="false" customHeight="true" outlineLevel="0" collapsed="false">
      <c r="A21" s="14" t="s">
        <v>114</v>
      </c>
      <c r="B21" s="18" t="str">
        <f aca="false">IF(A21="","",IF(COUNTIFS('MASTER MENU'!$A$5:$A$504,A21)=0,"BELUM ADA",INDEX('MASTER MENU'!$B$5:$B$504,MATCH(A21,'MASTER MENU'!$A$5:$A$504,0))))</f>
        <v>Roti Bakar</v>
      </c>
      <c r="C21" s="18" t="str">
        <f aca="false">IF(A21="","",IF(COUNTIFS('MASTER MENU'!$A$5:$A$504,A21)=0,"BELUM ADA",INDEX('MASTER MENU'!$E$5:$E$504,MATCH(A21,'MASTER MENU'!$A$5:$A$504,0))))</f>
        <v>Reguler</v>
      </c>
      <c r="D21" s="14" t="s">
        <v>160</v>
      </c>
      <c r="E21" s="18" t="str">
        <f aca="false">IF(D21="","",IF(COUNTIFS('MASTER BAHAN'!$A$5:$A$504,D21)=0,"BELUM ADA",INDEX('MASTER BAHAN'!$B$5:$B$504,MATCH(D21,'MASTER BAHAN'!$A$5:$A$504,0))))</f>
        <v>Roti</v>
      </c>
      <c r="F21" s="14" t="n">
        <v>2</v>
      </c>
      <c r="G21" s="18" t="str">
        <f aca="false">IF(D21="","",IF(COUNTIFS('MASTER BAHAN'!$A$5:$A$504,D21)=0,"BELUM ADA",INDEX('MASTER BAHAN'!$D$5:$D$504,MATCH(D21,'MASTER BAHAN'!$A$5:$A$504,0))))</f>
        <v>pcs</v>
      </c>
      <c r="H21" s="17" t="n">
        <f aca="false">IF(D21="","",IF(COUNTIFS('MASTER BAHAN'!$A$5:$A$504,D21)=0,"BELUM ADA",INDEX('MASTER BAHAN'!$I$5:$I$504,MATCH(D21,'MASTER BAHAN'!$A$5:$A$504,0))))</f>
        <v>2500</v>
      </c>
      <c r="I21" s="19" t="n">
        <f aca="false">IF(A21="","",IF(OR(NOT(ISNUMBER(F21)),NOT(ISNUMBER(H21))),"BELUM LENGKAP",ROUND(F21*H21,0)))</f>
        <v>5000</v>
      </c>
      <c r="J21" s="19" t="n">
        <f aca="false">IF(A21="","",IF(COUNTIFS($A$5:$A$504,A21,$N$5:$N$504,"BELUM LENGKAP")&gt;0,"BELUM LENGKAP",SUMIFS($I$5:$I$504,$A$5:$A$504,A21)))</f>
        <v>5000</v>
      </c>
      <c r="K21" s="19" t="n">
        <f aca="false">IF(A21="","",IF(COUNTIFS('MASTER MENU'!$A$5:$A$504,A21)=0,"BELUM ADA",INDEX('MASTER MENU'!$F$5:$F$504,MATCH(A21,'MASTER MENU'!$A$5:$A$504,0))))</f>
        <v>24000</v>
      </c>
      <c r="L21" s="19" t="n">
        <f aca="false">IF(A21="","",IF(OR(NOT(ISNUMBER(J21)),NOT(ISNUMBER(K21))),"BELUM LENGKAP",K21-J21))</f>
        <v>19000</v>
      </c>
      <c r="M21" s="20" t="n">
        <f aca="false">IF(A21="","",IF(OR(NOT(ISNUMBER(L21)),K21=0),"BELUM LENGKAP",L21/K21))</f>
        <v>0.791666666666667</v>
      </c>
      <c r="N21" s="18" t="str">
        <f aca="false">IF(A21="","",IF(OR(B21="BELUM ADA",E21="BELUM ADA",NOT(ISNUMBER(F21)),F21&lt;=0,NOT(ISNUMBER(H21)),NOT(ISNUMBER(K21))),"BELUM LENGKAP","LENGKAP"))</f>
        <v>LENGKAP</v>
      </c>
    </row>
    <row r="22" customFormat="false" ht="27" hidden="false" customHeight="true" outlineLevel="0" collapsed="false">
      <c r="A22" s="14"/>
      <c r="B22" s="18" t="str">
        <f aca="false">IF(A22="","",IF(COUNTIFS('MASTER MENU'!$A$5:$A$504,A22)=0,"BELUM ADA",INDEX('MASTER MENU'!$B$5:$B$504,MATCH(A22,'MASTER MENU'!$A$5:$A$504,0))))</f>
        <v/>
      </c>
      <c r="C22" s="18" t="str">
        <f aca="false">IF(A22="","",IF(COUNTIFS('MASTER MENU'!$A$5:$A$504,A22)=0,"BELUM ADA",INDEX('MASTER MENU'!$E$5:$E$504,MATCH(A22,'MASTER MENU'!$A$5:$A$504,0))))</f>
        <v/>
      </c>
      <c r="D22" s="14"/>
      <c r="E22" s="18" t="str">
        <f aca="false">IF(D22="","",IF(COUNTIFS('MASTER BAHAN'!$A$5:$A$504,D22)=0,"BELUM ADA",INDEX('MASTER BAHAN'!$B$5:$B$504,MATCH(D22,'MASTER BAHAN'!$A$5:$A$504,0))))</f>
        <v/>
      </c>
      <c r="F22" s="14"/>
      <c r="G22" s="18" t="str">
        <f aca="false">IF(D22="","",IF(COUNTIFS('MASTER BAHAN'!$A$5:$A$504,D22)=0,"BELUM ADA",INDEX('MASTER BAHAN'!$D$5:$D$504,MATCH(D22,'MASTER BAHAN'!$A$5:$A$504,0))))</f>
        <v/>
      </c>
      <c r="H22" s="17" t="str">
        <f aca="false">IF(D22="","",IF(COUNTIFS('MASTER BAHAN'!$A$5:$A$504,D22)=0,"BELUM ADA",INDEX('MASTER BAHAN'!$I$5:$I$504,MATCH(D22,'MASTER BAHAN'!$A$5:$A$504,0))))</f>
        <v/>
      </c>
      <c r="I22" s="19" t="str">
        <f aca="false">IF(A22="","",IF(OR(NOT(ISNUMBER(F22)),NOT(ISNUMBER(H22))),"BELUM LENGKAP",ROUND(F22*H22,0)))</f>
        <v/>
      </c>
      <c r="J22" s="19" t="str">
        <f aca="false">IF(A22="","",IF(COUNTIFS($A$5:$A$504,A22,$N$5:$N$504,"BELUM LENGKAP")&gt;0,"BELUM LENGKAP",SUMIFS($I$5:$I$504,$A$5:$A$504,A22)))</f>
        <v/>
      </c>
      <c r="K22" s="19" t="str">
        <f aca="false">IF(A22="","",IF(COUNTIFS('MASTER MENU'!$A$5:$A$504,A22)=0,"BELUM ADA",INDEX('MASTER MENU'!$F$5:$F$504,MATCH(A22,'MASTER MENU'!$A$5:$A$504,0))))</f>
        <v/>
      </c>
      <c r="L22" s="19" t="str">
        <f aca="false">IF(A22="","",IF(OR(NOT(ISNUMBER(J22)),NOT(ISNUMBER(K22))),"BELUM LENGKAP",K22-J22))</f>
        <v/>
      </c>
      <c r="M22" s="20" t="str">
        <f aca="false">IF(A22="","",IF(OR(NOT(ISNUMBER(L22)),K22=0),"BELUM LENGKAP",L22/K22))</f>
        <v/>
      </c>
      <c r="N22" s="18" t="str">
        <f aca="false">IF(A22="","",IF(OR(B22="BELUM ADA",E22="BELUM ADA",NOT(ISNUMBER(F22)),F22&lt;=0,NOT(ISNUMBER(H22)),NOT(ISNUMBER(K22))),"BELUM LENGKAP","LENGKAP"))</f>
        <v/>
      </c>
    </row>
    <row r="23" customFormat="false" ht="27" hidden="false" customHeight="true" outlineLevel="0" collapsed="false">
      <c r="A23" s="14"/>
      <c r="B23" s="18" t="str">
        <f aca="false">IF(A23="","",IF(COUNTIFS('MASTER MENU'!$A$5:$A$504,A23)=0,"BELUM ADA",INDEX('MASTER MENU'!$B$5:$B$504,MATCH(A23,'MASTER MENU'!$A$5:$A$504,0))))</f>
        <v/>
      </c>
      <c r="C23" s="18" t="str">
        <f aca="false">IF(A23="","",IF(COUNTIFS('MASTER MENU'!$A$5:$A$504,A23)=0,"BELUM ADA",INDEX('MASTER MENU'!$E$5:$E$504,MATCH(A23,'MASTER MENU'!$A$5:$A$504,0))))</f>
        <v/>
      </c>
      <c r="D23" s="14"/>
      <c r="E23" s="18" t="str">
        <f aca="false">IF(D23="","",IF(COUNTIFS('MASTER BAHAN'!$A$5:$A$504,D23)=0,"BELUM ADA",INDEX('MASTER BAHAN'!$B$5:$B$504,MATCH(D23,'MASTER BAHAN'!$A$5:$A$504,0))))</f>
        <v/>
      </c>
      <c r="F23" s="14"/>
      <c r="G23" s="18" t="str">
        <f aca="false">IF(D23="","",IF(COUNTIFS('MASTER BAHAN'!$A$5:$A$504,D23)=0,"BELUM ADA",INDEX('MASTER BAHAN'!$D$5:$D$504,MATCH(D23,'MASTER BAHAN'!$A$5:$A$504,0))))</f>
        <v/>
      </c>
      <c r="H23" s="17" t="str">
        <f aca="false">IF(D23="","",IF(COUNTIFS('MASTER BAHAN'!$A$5:$A$504,D23)=0,"BELUM ADA",INDEX('MASTER BAHAN'!$I$5:$I$504,MATCH(D23,'MASTER BAHAN'!$A$5:$A$504,0))))</f>
        <v/>
      </c>
      <c r="I23" s="19" t="str">
        <f aca="false">IF(A23="","",IF(OR(NOT(ISNUMBER(F23)),NOT(ISNUMBER(H23))),"BELUM LENGKAP",ROUND(F23*H23,0)))</f>
        <v/>
      </c>
      <c r="J23" s="19" t="str">
        <f aca="false">IF(A23="","",IF(COUNTIFS($A$5:$A$504,A23,$N$5:$N$504,"BELUM LENGKAP")&gt;0,"BELUM LENGKAP",SUMIFS($I$5:$I$504,$A$5:$A$504,A23)))</f>
        <v/>
      </c>
      <c r="K23" s="19" t="str">
        <f aca="false">IF(A23="","",IF(COUNTIFS('MASTER MENU'!$A$5:$A$504,A23)=0,"BELUM ADA",INDEX('MASTER MENU'!$F$5:$F$504,MATCH(A23,'MASTER MENU'!$A$5:$A$504,0))))</f>
        <v/>
      </c>
      <c r="L23" s="19" t="str">
        <f aca="false">IF(A23="","",IF(OR(NOT(ISNUMBER(J23)),NOT(ISNUMBER(K23))),"BELUM LENGKAP",K23-J23))</f>
        <v/>
      </c>
      <c r="M23" s="20" t="str">
        <f aca="false">IF(A23="","",IF(OR(NOT(ISNUMBER(L23)),K23=0),"BELUM LENGKAP",L23/K23))</f>
        <v/>
      </c>
      <c r="N23" s="18" t="str">
        <f aca="false">IF(A23="","",IF(OR(B23="BELUM ADA",E23="BELUM ADA",NOT(ISNUMBER(F23)),F23&lt;=0,NOT(ISNUMBER(H23)),NOT(ISNUMBER(K23))),"BELUM LENGKAP","LENGKAP"))</f>
        <v/>
      </c>
    </row>
    <row r="24" customFormat="false" ht="27" hidden="false" customHeight="true" outlineLevel="0" collapsed="false">
      <c r="A24" s="14"/>
      <c r="B24" s="18" t="str">
        <f aca="false">IF(A24="","",IF(COUNTIFS('MASTER MENU'!$A$5:$A$504,A24)=0,"BELUM ADA",INDEX('MASTER MENU'!$B$5:$B$504,MATCH(A24,'MASTER MENU'!$A$5:$A$504,0))))</f>
        <v/>
      </c>
      <c r="C24" s="18" t="str">
        <f aca="false">IF(A24="","",IF(COUNTIFS('MASTER MENU'!$A$5:$A$504,A24)=0,"BELUM ADA",INDEX('MASTER MENU'!$E$5:$E$504,MATCH(A24,'MASTER MENU'!$A$5:$A$504,0))))</f>
        <v/>
      </c>
      <c r="D24" s="14"/>
      <c r="E24" s="18" t="str">
        <f aca="false">IF(D24="","",IF(COUNTIFS('MASTER BAHAN'!$A$5:$A$504,D24)=0,"BELUM ADA",INDEX('MASTER BAHAN'!$B$5:$B$504,MATCH(D24,'MASTER BAHAN'!$A$5:$A$504,0))))</f>
        <v/>
      </c>
      <c r="F24" s="14"/>
      <c r="G24" s="18" t="str">
        <f aca="false">IF(D24="","",IF(COUNTIFS('MASTER BAHAN'!$A$5:$A$504,D24)=0,"BELUM ADA",INDEX('MASTER BAHAN'!$D$5:$D$504,MATCH(D24,'MASTER BAHAN'!$A$5:$A$504,0))))</f>
        <v/>
      </c>
      <c r="H24" s="17" t="str">
        <f aca="false">IF(D24="","",IF(COUNTIFS('MASTER BAHAN'!$A$5:$A$504,D24)=0,"BELUM ADA",INDEX('MASTER BAHAN'!$I$5:$I$504,MATCH(D24,'MASTER BAHAN'!$A$5:$A$504,0))))</f>
        <v/>
      </c>
      <c r="I24" s="19" t="str">
        <f aca="false">IF(A24="","",IF(OR(NOT(ISNUMBER(F24)),NOT(ISNUMBER(H24))),"BELUM LENGKAP",ROUND(F24*H24,0)))</f>
        <v/>
      </c>
      <c r="J24" s="19" t="str">
        <f aca="false">IF(A24="","",IF(COUNTIFS($A$5:$A$504,A24,$N$5:$N$504,"BELUM LENGKAP")&gt;0,"BELUM LENGKAP",SUMIFS($I$5:$I$504,$A$5:$A$504,A24)))</f>
        <v/>
      </c>
      <c r="K24" s="19" t="str">
        <f aca="false">IF(A24="","",IF(COUNTIFS('MASTER MENU'!$A$5:$A$504,A24)=0,"BELUM ADA",INDEX('MASTER MENU'!$F$5:$F$504,MATCH(A24,'MASTER MENU'!$A$5:$A$504,0))))</f>
        <v/>
      </c>
      <c r="L24" s="19" t="str">
        <f aca="false">IF(A24="","",IF(OR(NOT(ISNUMBER(J24)),NOT(ISNUMBER(K24))),"BELUM LENGKAP",K24-J24))</f>
        <v/>
      </c>
      <c r="M24" s="20" t="str">
        <f aca="false">IF(A24="","",IF(OR(NOT(ISNUMBER(L24)),K24=0),"BELUM LENGKAP",L24/K24))</f>
        <v/>
      </c>
      <c r="N24" s="18" t="str">
        <f aca="false">IF(A24="","",IF(OR(B24="BELUM ADA",E24="BELUM ADA",NOT(ISNUMBER(F24)),F24&lt;=0,NOT(ISNUMBER(H24)),NOT(ISNUMBER(K24))),"BELUM LENGKAP","LENGKAP"))</f>
        <v/>
      </c>
    </row>
    <row r="25" customFormat="false" ht="27" hidden="false" customHeight="true" outlineLevel="0" collapsed="false">
      <c r="A25" s="14"/>
      <c r="B25" s="18" t="str">
        <f aca="false">IF(A25="","",IF(COUNTIFS('MASTER MENU'!$A$5:$A$504,A25)=0,"BELUM ADA",INDEX('MASTER MENU'!$B$5:$B$504,MATCH(A25,'MASTER MENU'!$A$5:$A$504,0))))</f>
        <v/>
      </c>
      <c r="C25" s="18" t="str">
        <f aca="false">IF(A25="","",IF(COUNTIFS('MASTER MENU'!$A$5:$A$504,A25)=0,"BELUM ADA",INDEX('MASTER MENU'!$E$5:$E$504,MATCH(A25,'MASTER MENU'!$A$5:$A$504,0))))</f>
        <v/>
      </c>
      <c r="D25" s="14"/>
      <c r="E25" s="18" t="str">
        <f aca="false">IF(D25="","",IF(COUNTIFS('MASTER BAHAN'!$A$5:$A$504,D25)=0,"BELUM ADA",INDEX('MASTER BAHAN'!$B$5:$B$504,MATCH(D25,'MASTER BAHAN'!$A$5:$A$504,0))))</f>
        <v/>
      </c>
      <c r="F25" s="14"/>
      <c r="G25" s="18" t="str">
        <f aca="false">IF(D25="","",IF(COUNTIFS('MASTER BAHAN'!$A$5:$A$504,D25)=0,"BELUM ADA",INDEX('MASTER BAHAN'!$D$5:$D$504,MATCH(D25,'MASTER BAHAN'!$A$5:$A$504,0))))</f>
        <v/>
      </c>
      <c r="H25" s="17" t="str">
        <f aca="false">IF(D25="","",IF(COUNTIFS('MASTER BAHAN'!$A$5:$A$504,D25)=0,"BELUM ADA",INDEX('MASTER BAHAN'!$I$5:$I$504,MATCH(D25,'MASTER BAHAN'!$A$5:$A$504,0))))</f>
        <v/>
      </c>
      <c r="I25" s="19" t="str">
        <f aca="false">IF(A25="","",IF(OR(NOT(ISNUMBER(F25)),NOT(ISNUMBER(H25))),"BELUM LENGKAP",ROUND(F25*H25,0)))</f>
        <v/>
      </c>
      <c r="J25" s="19" t="str">
        <f aca="false">IF(A25="","",IF(COUNTIFS($A$5:$A$504,A25,$N$5:$N$504,"BELUM LENGKAP")&gt;0,"BELUM LENGKAP",SUMIFS($I$5:$I$504,$A$5:$A$504,A25)))</f>
        <v/>
      </c>
      <c r="K25" s="19" t="str">
        <f aca="false">IF(A25="","",IF(COUNTIFS('MASTER MENU'!$A$5:$A$504,A25)=0,"BELUM ADA",INDEX('MASTER MENU'!$F$5:$F$504,MATCH(A25,'MASTER MENU'!$A$5:$A$504,0))))</f>
        <v/>
      </c>
      <c r="L25" s="19" t="str">
        <f aca="false">IF(A25="","",IF(OR(NOT(ISNUMBER(J25)),NOT(ISNUMBER(K25))),"BELUM LENGKAP",K25-J25))</f>
        <v/>
      </c>
      <c r="M25" s="20" t="str">
        <f aca="false">IF(A25="","",IF(OR(NOT(ISNUMBER(L25)),K25=0),"BELUM LENGKAP",L25/K25))</f>
        <v/>
      </c>
      <c r="N25" s="18" t="str">
        <f aca="false">IF(A25="","",IF(OR(B25="BELUM ADA",E25="BELUM ADA",NOT(ISNUMBER(F25)),F25&lt;=0,NOT(ISNUMBER(H25)),NOT(ISNUMBER(K25))),"BELUM LENGKAP","LENGKAP"))</f>
        <v/>
      </c>
    </row>
    <row r="26" customFormat="false" ht="27" hidden="false" customHeight="true" outlineLevel="0" collapsed="false">
      <c r="A26" s="14"/>
      <c r="B26" s="18" t="str">
        <f aca="false">IF(A26="","",IF(COUNTIFS('MASTER MENU'!$A$5:$A$504,A26)=0,"BELUM ADA",INDEX('MASTER MENU'!$B$5:$B$504,MATCH(A26,'MASTER MENU'!$A$5:$A$504,0))))</f>
        <v/>
      </c>
      <c r="C26" s="18" t="str">
        <f aca="false">IF(A26="","",IF(COUNTIFS('MASTER MENU'!$A$5:$A$504,A26)=0,"BELUM ADA",INDEX('MASTER MENU'!$E$5:$E$504,MATCH(A26,'MASTER MENU'!$A$5:$A$504,0))))</f>
        <v/>
      </c>
      <c r="D26" s="14"/>
      <c r="E26" s="18" t="str">
        <f aca="false">IF(D26="","",IF(COUNTIFS('MASTER BAHAN'!$A$5:$A$504,D26)=0,"BELUM ADA",INDEX('MASTER BAHAN'!$B$5:$B$504,MATCH(D26,'MASTER BAHAN'!$A$5:$A$504,0))))</f>
        <v/>
      </c>
      <c r="F26" s="14"/>
      <c r="G26" s="18" t="str">
        <f aca="false">IF(D26="","",IF(COUNTIFS('MASTER BAHAN'!$A$5:$A$504,D26)=0,"BELUM ADA",INDEX('MASTER BAHAN'!$D$5:$D$504,MATCH(D26,'MASTER BAHAN'!$A$5:$A$504,0))))</f>
        <v/>
      </c>
      <c r="H26" s="17" t="str">
        <f aca="false">IF(D26="","",IF(COUNTIFS('MASTER BAHAN'!$A$5:$A$504,D26)=0,"BELUM ADA",INDEX('MASTER BAHAN'!$I$5:$I$504,MATCH(D26,'MASTER BAHAN'!$A$5:$A$504,0))))</f>
        <v/>
      </c>
      <c r="I26" s="19" t="str">
        <f aca="false">IF(A26="","",IF(OR(NOT(ISNUMBER(F26)),NOT(ISNUMBER(H26))),"BELUM LENGKAP",ROUND(F26*H26,0)))</f>
        <v/>
      </c>
      <c r="J26" s="19" t="str">
        <f aca="false">IF(A26="","",IF(COUNTIFS($A$5:$A$504,A26,$N$5:$N$504,"BELUM LENGKAP")&gt;0,"BELUM LENGKAP",SUMIFS($I$5:$I$504,$A$5:$A$504,A26)))</f>
        <v/>
      </c>
      <c r="K26" s="19" t="str">
        <f aca="false">IF(A26="","",IF(COUNTIFS('MASTER MENU'!$A$5:$A$504,A26)=0,"BELUM ADA",INDEX('MASTER MENU'!$F$5:$F$504,MATCH(A26,'MASTER MENU'!$A$5:$A$504,0))))</f>
        <v/>
      </c>
      <c r="L26" s="19" t="str">
        <f aca="false">IF(A26="","",IF(OR(NOT(ISNUMBER(J26)),NOT(ISNUMBER(K26))),"BELUM LENGKAP",K26-J26))</f>
        <v/>
      </c>
      <c r="M26" s="20" t="str">
        <f aca="false">IF(A26="","",IF(OR(NOT(ISNUMBER(L26)),K26=0),"BELUM LENGKAP",L26/K26))</f>
        <v/>
      </c>
      <c r="N26" s="18" t="str">
        <f aca="false">IF(A26="","",IF(OR(B26="BELUM ADA",E26="BELUM ADA",NOT(ISNUMBER(F26)),F26&lt;=0,NOT(ISNUMBER(H26)),NOT(ISNUMBER(K26))),"BELUM LENGKAP","LENGKAP"))</f>
        <v/>
      </c>
    </row>
    <row r="27" customFormat="false" ht="27" hidden="false" customHeight="true" outlineLevel="0" collapsed="false">
      <c r="A27" s="14"/>
      <c r="B27" s="18" t="str">
        <f aca="false">IF(A27="","",IF(COUNTIFS('MASTER MENU'!$A$5:$A$504,A27)=0,"BELUM ADA",INDEX('MASTER MENU'!$B$5:$B$504,MATCH(A27,'MASTER MENU'!$A$5:$A$504,0))))</f>
        <v/>
      </c>
      <c r="C27" s="18" t="str">
        <f aca="false">IF(A27="","",IF(COUNTIFS('MASTER MENU'!$A$5:$A$504,A27)=0,"BELUM ADA",INDEX('MASTER MENU'!$E$5:$E$504,MATCH(A27,'MASTER MENU'!$A$5:$A$504,0))))</f>
        <v/>
      </c>
      <c r="D27" s="14"/>
      <c r="E27" s="18" t="str">
        <f aca="false">IF(D27="","",IF(COUNTIFS('MASTER BAHAN'!$A$5:$A$504,D27)=0,"BELUM ADA",INDEX('MASTER BAHAN'!$B$5:$B$504,MATCH(D27,'MASTER BAHAN'!$A$5:$A$504,0))))</f>
        <v/>
      </c>
      <c r="F27" s="14"/>
      <c r="G27" s="18" t="str">
        <f aca="false">IF(D27="","",IF(COUNTIFS('MASTER BAHAN'!$A$5:$A$504,D27)=0,"BELUM ADA",INDEX('MASTER BAHAN'!$D$5:$D$504,MATCH(D27,'MASTER BAHAN'!$A$5:$A$504,0))))</f>
        <v/>
      </c>
      <c r="H27" s="17" t="str">
        <f aca="false">IF(D27="","",IF(COUNTIFS('MASTER BAHAN'!$A$5:$A$504,D27)=0,"BELUM ADA",INDEX('MASTER BAHAN'!$I$5:$I$504,MATCH(D27,'MASTER BAHAN'!$A$5:$A$504,0))))</f>
        <v/>
      </c>
      <c r="I27" s="19" t="str">
        <f aca="false">IF(A27="","",IF(OR(NOT(ISNUMBER(F27)),NOT(ISNUMBER(H27))),"BELUM LENGKAP",ROUND(F27*H27,0)))</f>
        <v/>
      </c>
      <c r="J27" s="19" t="str">
        <f aca="false">IF(A27="","",IF(COUNTIFS($A$5:$A$504,A27,$N$5:$N$504,"BELUM LENGKAP")&gt;0,"BELUM LENGKAP",SUMIFS($I$5:$I$504,$A$5:$A$504,A27)))</f>
        <v/>
      </c>
      <c r="K27" s="19" t="str">
        <f aca="false">IF(A27="","",IF(COUNTIFS('MASTER MENU'!$A$5:$A$504,A27)=0,"BELUM ADA",INDEX('MASTER MENU'!$F$5:$F$504,MATCH(A27,'MASTER MENU'!$A$5:$A$504,0))))</f>
        <v/>
      </c>
      <c r="L27" s="19" t="str">
        <f aca="false">IF(A27="","",IF(OR(NOT(ISNUMBER(J27)),NOT(ISNUMBER(K27))),"BELUM LENGKAP",K27-J27))</f>
        <v/>
      </c>
      <c r="M27" s="20" t="str">
        <f aca="false">IF(A27="","",IF(OR(NOT(ISNUMBER(L27)),K27=0),"BELUM LENGKAP",L27/K27))</f>
        <v/>
      </c>
      <c r="N27" s="18" t="str">
        <f aca="false">IF(A27="","",IF(OR(B27="BELUM ADA",E27="BELUM ADA",NOT(ISNUMBER(F27)),F27&lt;=0,NOT(ISNUMBER(H27)),NOT(ISNUMBER(K27))),"BELUM LENGKAP","LENGKAP"))</f>
        <v/>
      </c>
    </row>
    <row r="28" customFormat="false" ht="27" hidden="false" customHeight="true" outlineLevel="0" collapsed="false">
      <c r="A28" s="14"/>
      <c r="B28" s="18" t="str">
        <f aca="false">IF(A28="","",IF(COUNTIFS('MASTER MENU'!$A$5:$A$504,A28)=0,"BELUM ADA",INDEX('MASTER MENU'!$B$5:$B$504,MATCH(A28,'MASTER MENU'!$A$5:$A$504,0))))</f>
        <v/>
      </c>
      <c r="C28" s="18" t="str">
        <f aca="false">IF(A28="","",IF(COUNTIFS('MASTER MENU'!$A$5:$A$504,A28)=0,"BELUM ADA",INDEX('MASTER MENU'!$E$5:$E$504,MATCH(A28,'MASTER MENU'!$A$5:$A$504,0))))</f>
        <v/>
      </c>
      <c r="D28" s="14"/>
      <c r="E28" s="18" t="str">
        <f aca="false">IF(D28="","",IF(COUNTIFS('MASTER BAHAN'!$A$5:$A$504,D28)=0,"BELUM ADA",INDEX('MASTER BAHAN'!$B$5:$B$504,MATCH(D28,'MASTER BAHAN'!$A$5:$A$504,0))))</f>
        <v/>
      </c>
      <c r="F28" s="14"/>
      <c r="G28" s="18" t="str">
        <f aca="false">IF(D28="","",IF(COUNTIFS('MASTER BAHAN'!$A$5:$A$504,D28)=0,"BELUM ADA",INDEX('MASTER BAHAN'!$D$5:$D$504,MATCH(D28,'MASTER BAHAN'!$A$5:$A$504,0))))</f>
        <v/>
      </c>
      <c r="H28" s="17" t="str">
        <f aca="false">IF(D28="","",IF(COUNTIFS('MASTER BAHAN'!$A$5:$A$504,D28)=0,"BELUM ADA",INDEX('MASTER BAHAN'!$I$5:$I$504,MATCH(D28,'MASTER BAHAN'!$A$5:$A$504,0))))</f>
        <v/>
      </c>
      <c r="I28" s="19" t="str">
        <f aca="false">IF(A28="","",IF(OR(NOT(ISNUMBER(F28)),NOT(ISNUMBER(H28))),"BELUM LENGKAP",ROUND(F28*H28,0)))</f>
        <v/>
      </c>
      <c r="J28" s="19" t="str">
        <f aca="false">IF(A28="","",IF(COUNTIFS($A$5:$A$504,A28,$N$5:$N$504,"BELUM LENGKAP")&gt;0,"BELUM LENGKAP",SUMIFS($I$5:$I$504,$A$5:$A$504,A28)))</f>
        <v/>
      </c>
      <c r="K28" s="19" t="str">
        <f aca="false">IF(A28="","",IF(COUNTIFS('MASTER MENU'!$A$5:$A$504,A28)=0,"BELUM ADA",INDEX('MASTER MENU'!$F$5:$F$504,MATCH(A28,'MASTER MENU'!$A$5:$A$504,0))))</f>
        <v/>
      </c>
      <c r="L28" s="19" t="str">
        <f aca="false">IF(A28="","",IF(OR(NOT(ISNUMBER(J28)),NOT(ISNUMBER(K28))),"BELUM LENGKAP",K28-J28))</f>
        <v/>
      </c>
      <c r="M28" s="20" t="str">
        <f aca="false">IF(A28="","",IF(OR(NOT(ISNUMBER(L28)),K28=0),"BELUM LENGKAP",L28/K28))</f>
        <v/>
      </c>
      <c r="N28" s="18" t="str">
        <f aca="false">IF(A28="","",IF(OR(B28="BELUM ADA",E28="BELUM ADA",NOT(ISNUMBER(F28)),F28&lt;=0,NOT(ISNUMBER(H28)),NOT(ISNUMBER(K28))),"BELUM LENGKAP","LENGKAP"))</f>
        <v/>
      </c>
    </row>
    <row r="29" customFormat="false" ht="27" hidden="false" customHeight="true" outlineLevel="0" collapsed="false">
      <c r="A29" s="14"/>
      <c r="B29" s="18" t="str">
        <f aca="false">IF(A29="","",IF(COUNTIFS('MASTER MENU'!$A$5:$A$504,A29)=0,"BELUM ADA",INDEX('MASTER MENU'!$B$5:$B$504,MATCH(A29,'MASTER MENU'!$A$5:$A$504,0))))</f>
        <v/>
      </c>
      <c r="C29" s="18" t="str">
        <f aca="false">IF(A29="","",IF(COUNTIFS('MASTER MENU'!$A$5:$A$504,A29)=0,"BELUM ADA",INDEX('MASTER MENU'!$E$5:$E$504,MATCH(A29,'MASTER MENU'!$A$5:$A$504,0))))</f>
        <v/>
      </c>
      <c r="D29" s="14"/>
      <c r="E29" s="18" t="str">
        <f aca="false">IF(D29="","",IF(COUNTIFS('MASTER BAHAN'!$A$5:$A$504,D29)=0,"BELUM ADA",INDEX('MASTER BAHAN'!$B$5:$B$504,MATCH(D29,'MASTER BAHAN'!$A$5:$A$504,0))))</f>
        <v/>
      </c>
      <c r="F29" s="14"/>
      <c r="G29" s="18" t="str">
        <f aca="false">IF(D29="","",IF(COUNTIFS('MASTER BAHAN'!$A$5:$A$504,D29)=0,"BELUM ADA",INDEX('MASTER BAHAN'!$D$5:$D$504,MATCH(D29,'MASTER BAHAN'!$A$5:$A$504,0))))</f>
        <v/>
      </c>
      <c r="H29" s="17" t="str">
        <f aca="false">IF(D29="","",IF(COUNTIFS('MASTER BAHAN'!$A$5:$A$504,D29)=0,"BELUM ADA",INDEX('MASTER BAHAN'!$I$5:$I$504,MATCH(D29,'MASTER BAHAN'!$A$5:$A$504,0))))</f>
        <v/>
      </c>
      <c r="I29" s="19" t="str">
        <f aca="false">IF(A29="","",IF(OR(NOT(ISNUMBER(F29)),NOT(ISNUMBER(H29))),"BELUM LENGKAP",ROUND(F29*H29,0)))</f>
        <v/>
      </c>
      <c r="J29" s="19" t="str">
        <f aca="false">IF(A29="","",IF(COUNTIFS($A$5:$A$504,A29,$N$5:$N$504,"BELUM LENGKAP")&gt;0,"BELUM LENGKAP",SUMIFS($I$5:$I$504,$A$5:$A$504,A29)))</f>
        <v/>
      </c>
      <c r="K29" s="19" t="str">
        <f aca="false">IF(A29="","",IF(COUNTIFS('MASTER MENU'!$A$5:$A$504,A29)=0,"BELUM ADA",INDEX('MASTER MENU'!$F$5:$F$504,MATCH(A29,'MASTER MENU'!$A$5:$A$504,0))))</f>
        <v/>
      </c>
      <c r="L29" s="19" t="str">
        <f aca="false">IF(A29="","",IF(OR(NOT(ISNUMBER(J29)),NOT(ISNUMBER(K29))),"BELUM LENGKAP",K29-J29))</f>
        <v/>
      </c>
      <c r="M29" s="20" t="str">
        <f aca="false">IF(A29="","",IF(OR(NOT(ISNUMBER(L29)),K29=0),"BELUM LENGKAP",L29/K29))</f>
        <v/>
      </c>
      <c r="N29" s="18" t="str">
        <f aca="false">IF(A29="","",IF(OR(B29="BELUM ADA",E29="BELUM ADA",NOT(ISNUMBER(F29)),F29&lt;=0,NOT(ISNUMBER(H29)),NOT(ISNUMBER(K29))),"BELUM LENGKAP","LENGKAP"))</f>
        <v/>
      </c>
    </row>
    <row r="30" customFormat="false" ht="27" hidden="false" customHeight="true" outlineLevel="0" collapsed="false">
      <c r="A30" s="14"/>
      <c r="B30" s="18" t="str">
        <f aca="false">IF(A30="","",IF(COUNTIFS('MASTER MENU'!$A$5:$A$504,A30)=0,"BELUM ADA",INDEX('MASTER MENU'!$B$5:$B$504,MATCH(A30,'MASTER MENU'!$A$5:$A$504,0))))</f>
        <v/>
      </c>
      <c r="C30" s="18" t="str">
        <f aca="false">IF(A30="","",IF(COUNTIFS('MASTER MENU'!$A$5:$A$504,A30)=0,"BELUM ADA",INDEX('MASTER MENU'!$E$5:$E$504,MATCH(A30,'MASTER MENU'!$A$5:$A$504,0))))</f>
        <v/>
      </c>
      <c r="D30" s="14"/>
      <c r="E30" s="18" t="str">
        <f aca="false">IF(D30="","",IF(COUNTIFS('MASTER BAHAN'!$A$5:$A$504,D30)=0,"BELUM ADA",INDEX('MASTER BAHAN'!$B$5:$B$504,MATCH(D30,'MASTER BAHAN'!$A$5:$A$504,0))))</f>
        <v/>
      </c>
      <c r="F30" s="14"/>
      <c r="G30" s="18" t="str">
        <f aca="false">IF(D30="","",IF(COUNTIFS('MASTER BAHAN'!$A$5:$A$504,D30)=0,"BELUM ADA",INDEX('MASTER BAHAN'!$D$5:$D$504,MATCH(D30,'MASTER BAHAN'!$A$5:$A$504,0))))</f>
        <v/>
      </c>
      <c r="H30" s="17" t="str">
        <f aca="false">IF(D30="","",IF(COUNTIFS('MASTER BAHAN'!$A$5:$A$504,D30)=0,"BELUM ADA",INDEX('MASTER BAHAN'!$I$5:$I$504,MATCH(D30,'MASTER BAHAN'!$A$5:$A$504,0))))</f>
        <v/>
      </c>
      <c r="I30" s="19" t="str">
        <f aca="false">IF(A30="","",IF(OR(NOT(ISNUMBER(F30)),NOT(ISNUMBER(H30))),"BELUM LENGKAP",ROUND(F30*H30,0)))</f>
        <v/>
      </c>
      <c r="J30" s="19" t="str">
        <f aca="false">IF(A30="","",IF(COUNTIFS($A$5:$A$504,A30,$N$5:$N$504,"BELUM LENGKAP")&gt;0,"BELUM LENGKAP",SUMIFS($I$5:$I$504,$A$5:$A$504,A30)))</f>
        <v/>
      </c>
      <c r="K30" s="19" t="str">
        <f aca="false">IF(A30="","",IF(COUNTIFS('MASTER MENU'!$A$5:$A$504,A30)=0,"BELUM ADA",INDEX('MASTER MENU'!$F$5:$F$504,MATCH(A30,'MASTER MENU'!$A$5:$A$504,0))))</f>
        <v/>
      </c>
      <c r="L30" s="19" t="str">
        <f aca="false">IF(A30="","",IF(OR(NOT(ISNUMBER(J30)),NOT(ISNUMBER(K30))),"BELUM LENGKAP",K30-J30))</f>
        <v/>
      </c>
      <c r="M30" s="20" t="str">
        <f aca="false">IF(A30="","",IF(OR(NOT(ISNUMBER(L30)),K30=0),"BELUM LENGKAP",L30/K30))</f>
        <v/>
      </c>
      <c r="N30" s="18" t="str">
        <f aca="false">IF(A30="","",IF(OR(B30="BELUM ADA",E30="BELUM ADA",NOT(ISNUMBER(F30)),F30&lt;=0,NOT(ISNUMBER(H30)),NOT(ISNUMBER(K30))),"BELUM LENGKAP","LENGKAP"))</f>
        <v/>
      </c>
    </row>
    <row r="31" customFormat="false" ht="27" hidden="false" customHeight="true" outlineLevel="0" collapsed="false">
      <c r="A31" s="14"/>
      <c r="B31" s="18" t="str">
        <f aca="false">IF(A31="","",IF(COUNTIFS('MASTER MENU'!$A$5:$A$504,A31)=0,"BELUM ADA",INDEX('MASTER MENU'!$B$5:$B$504,MATCH(A31,'MASTER MENU'!$A$5:$A$504,0))))</f>
        <v/>
      </c>
      <c r="C31" s="18" t="str">
        <f aca="false">IF(A31="","",IF(COUNTIFS('MASTER MENU'!$A$5:$A$504,A31)=0,"BELUM ADA",INDEX('MASTER MENU'!$E$5:$E$504,MATCH(A31,'MASTER MENU'!$A$5:$A$504,0))))</f>
        <v/>
      </c>
      <c r="D31" s="14"/>
      <c r="E31" s="18" t="str">
        <f aca="false">IF(D31="","",IF(COUNTIFS('MASTER BAHAN'!$A$5:$A$504,D31)=0,"BELUM ADA",INDEX('MASTER BAHAN'!$B$5:$B$504,MATCH(D31,'MASTER BAHAN'!$A$5:$A$504,0))))</f>
        <v/>
      </c>
      <c r="F31" s="14"/>
      <c r="G31" s="18" t="str">
        <f aca="false">IF(D31="","",IF(COUNTIFS('MASTER BAHAN'!$A$5:$A$504,D31)=0,"BELUM ADA",INDEX('MASTER BAHAN'!$D$5:$D$504,MATCH(D31,'MASTER BAHAN'!$A$5:$A$504,0))))</f>
        <v/>
      </c>
      <c r="H31" s="17" t="str">
        <f aca="false">IF(D31="","",IF(COUNTIFS('MASTER BAHAN'!$A$5:$A$504,D31)=0,"BELUM ADA",INDEX('MASTER BAHAN'!$I$5:$I$504,MATCH(D31,'MASTER BAHAN'!$A$5:$A$504,0))))</f>
        <v/>
      </c>
      <c r="I31" s="19" t="str">
        <f aca="false">IF(A31="","",IF(OR(NOT(ISNUMBER(F31)),NOT(ISNUMBER(H31))),"BELUM LENGKAP",ROUND(F31*H31,0)))</f>
        <v/>
      </c>
      <c r="J31" s="19" t="str">
        <f aca="false">IF(A31="","",IF(COUNTIFS($A$5:$A$504,A31,$N$5:$N$504,"BELUM LENGKAP")&gt;0,"BELUM LENGKAP",SUMIFS($I$5:$I$504,$A$5:$A$504,A31)))</f>
        <v/>
      </c>
      <c r="K31" s="19" t="str">
        <f aca="false">IF(A31="","",IF(COUNTIFS('MASTER MENU'!$A$5:$A$504,A31)=0,"BELUM ADA",INDEX('MASTER MENU'!$F$5:$F$504,MATCH(A31,'MASTER MENU'!$A$5:$A$504,0))))</f>
        <v/>
      </c>
      <c r="L31" s="19" t="str">
        <f aca="false">IF(A31="","",IF(OR(NOT(ISNUMBER(J31)),NOT(ISNUMBER(K31))),"BELUM LENGKAP",K31-J31))</f>
        <v/>
      </c>
      <c r="M31" s="20" t="str">
        <f aca="false">IF(A31="","",IF(OR(NOT(ISNUMBER(L31)),K31=0),"BELUM LENGKAP",L31/K31))</f>
        <v/>
      </c>
      <c r="N31" s="18" t="str">
        <f aca="false">IF(A31="","",IF(OR(B31="BELUM ADA",E31="BELUM ADA",NOT(ISNUMBER(F31)),F31&lt;=0,NOT(ISNUMBER(H31)),NOT(ISNUMBER(K31))),"BELUM LENGKAP","LENGKAP"))</f>
        <v/>
      </c>
    </row>
    <row r="32" customFormat="false" ht="27" hidden="false" customHeight="true" outlineLevel="0" collapsed="false">
      <c r="A32" s="14"/>
      <c r="B32" s="18" t="str">
        <f aca="false">IF(A32="","",IF(COUNTIFS('MASTER MENU'!$A$5:$A$504,A32)=0,"BELUM ADA",INDEX('MASTER MENU'!$B$5:$B$504,MATCH(A32,'MASTER MENU'!$A$5:$A$504,0))))</f>
        <v/>
      </c>
      <c r="C32" s="18" t="str">
        <f aca="false">IF(A32="","",IF(COUNTIFS('MASTER MENU'!$A$5:$A$504,A32)=0,"BELUM ADA",INDEX('MASTER MENU'!$E$5:$E$504,MATCH(A32,'MASTER MENU'!$A$5:$A$504,0))))</f>
        <v/>
      </c>
      <c r="D32" s="14"/>
      <c r="E32" s="18" t="str">
        <f aca="false">IF(D32="","",IF(COUNTIFS('MASTER BAHAN'!$A$5:$A$504,D32)=0,"BELUM ADA",INDEX('MASTER BAHAN'!$B$5:$B$504,MATCH(D32,'MASTER BAHAN'!$A$5:$A$504,0))))</f>
        <v/>
      </c>
      <c r="F32" s="14"/>
      <c r="G32" s="18" t="str">
        <f aca="false">IF(D32="","",IF(COUNTIFS('MASTER BAHAN'!$A$5:$A$504,D32)=0,"BELUM ADA",INDEX('MASTER BAHAN'!$D$5:$D$504,MATCH(D32,'MASTER BAHAN'!$A$5:$A$504,0))))</f>
        <v/>
      </c>
      <c r="H32" s="17" t="str">
        <f aca="false">IF(D32="","",IF(COUNTIFS('MASTER BAHAN'!$A$5:$A$504,D32)=0,"BELUM ADA",INDEX('MASTER BAHAN'!$I$5:$I$504,MATCH(D32,'MASTER BAHAN'!$A$5:$A$504,0))))</f>
        <v/>
      </c>
      <c r="I32" s="19" t="str">
        <f aca="false">IF(A32="","",IF(OR(NOT(ISNUMBER(F32)),NOT(ISNUMBER(H32))),"BELUM LENGKAP",ROUND(F32*H32,0)))</f>
        <v/>
      </c>
      <c r="J32" s="19" t="str">
        <f aca="false">IF(A32="","",IF(COUNTIFS($A$5:$A$504,A32,$N$5:$N$504,"BELUM LENGKAP")&gt;0,"BELUM LENGKAP",SUMIFS($I$5:$I$504,$A$5:$A$504,A32)))</f>
        <v/>
      </c>
      <c r="K32" s="19" t="str">
        <f aca="false">IF(A32="","",IF(COUNTIFS('MASTER MENU'!$A$5:$A$504,A32)=0,"BELUM ADA",INDEX('MASTER MENU'!$F$5:$F$504,MATCH(A32,'MASTER MENU'!$A$5:$A$504,0))))</f>
        <v/>
      </c>
      <c r="L32" s="19" t="str">
        <f aca="false">IF(A32="","",IF(OR(NOT(ISNUMBER(J32)),NOT(ISNUMBER(K32))),"BELUM LENGKAP",K32-J32))</f>
        <v/>
      </c>
      <c r="M32" s="20" t="str">
        <f aca="false">IF(A32="","",IF(OR(NOT(ISNUMBER(L32)),K32=0),"BELUM LENGKAP",L32/K32))</f>
        <v/>
      </c>
      <c r="N32" s="18" t="str">
        <f aca="false">IF(A32="","",IF(OR(B32="BELUM ADA",E32="BELUM ADA",NOT(ISNUMBER(F32)),F32&lt;=0,NOT(ISNUMBER(H32)),NOT(ISNUMBER(K32))),"BELUM LENGKAP","LENGKAP"))</f>
        <v/>
      </c>
    </row>
    <row r="33" customFormat="false" ht="27" hidden="false" customHeight="true" outlineLevel="0" collapsed="false">
      <c r="A33" s="14"/>
      <c r="B33" s="18" t="str">
        <f aca="false">IF(A33="","",IF(COUNTIFS('MASTER MENU'!$A$5:$A$504,A33)=0,"BELUM ADA",INDEX('MASTER MENU'!$B$5:$B$504,MATCH(A33,'MASTER MENU'!$A$5:$A$504,0))))</f>
        <v/>
      </c>
      <c r="C33" s="18" t="str">
        <f aca="false">IF(A33="","",IF(COUNTIFS('MASTER MENU'!$A$5:$A$504,A33)=0,"BELUM ADA",INDEX('MASTER MENU'!$E$5:$E$504,MATCH(A33,'MASTER MENU'!$A$5:$A$504,0))))</f>
        <v/>
      </c>
      <c r="D33" s="14"/>
      <c r="E33" s="18" t="str">
        <f aca="false">IF(D33="","",IF(COUNTIFS('MASTER BAHAN'!$A$5:$A$504,D33)=0,"BELUM ADA",INDEX('MASTER BAHAN'!$B$5:$B$504,MATCH(D33,'MASTER BAHAN'!$A$5:$A$504,0))))</f>
        <v/>
      </c>
      <c r="F33" s="14"/>
      <c r="G33" s="18" t="str">
        <f aca="false">IF(D33="","",IF(COUNTIFS('MASTER BAHAN'!$A$5:$A$504,D33)=0,"BELUM ADA",INDEX('MASTER BAHAN'!$D$5:$D$504,MATCH(D33,'MASTER BAHAN'!$A$5:$A$504,0))))</f>
        <v/>
      </c>
      <c r="H33" s="17" t="str">
        <f aca="false">IF(D33="","",IF(COUNTIFS('MASTER BAHAN'!$A$5:$A$504,D33)=0,"BELUM ADA",INDEX('MASTER BAHAN'!$I$5:$I$504,MATCH(D33,'MASTER BAHAN'!$A$5:$A$504,0))))</f>
        <v/>
      </c>
      <c r="I33" s="19" t="str">
        <f aca="false">IF(A33="","",IF(OR(NOT(ISNUMBER(F33)),NOT(ISNUMBER(H33))),"BELUM LENGKAP",ROUND(F33*H33,0)))</f>
        <v/>
      </c>
      <c r="J33" s="19" t="str">
        <f aca="false">IF(A33="","",IF(COUNTIFS($A$5:$A$504,A33,$N$5:$N$504,"BELUM LENGKAP")&gt;0,"BELUM LENGKAP",SUMIFS($I$5:$I$504,$A$5:$A$504,A33)))</f>
        <v/>
      </c>
      <c r="K33" s="19" t="str">
        <f aca="false">IF(A33="","",IF(COUNTIFS('MASTER MENU'!$A$5:$A$504,A33)=0,"BELUM ADA",INDEX('MASTER MENU'!$F$5:$F$504,MATCH(A33,'MASTER MENU'!$A$5:$A$504,0))))</f>
        <v/>
      </c>
      <c r="L33" s="19" t="str">
        <f aca="false">IF(A33="","",IF(OR(NOT(ISNUMBER(J33)),NOT(ISNUMBER(K33))),"BELUM LENGKAP",K33-J33))</f>
        <v/>
      </c>
      <c r="M33" s="20" t="str">
        <f aca="false">IF(A33="","",IF(OR(NOT(ISNUMBER(L33)),K33=0),"BELUM LENGKAP",L33/K33))</f>
        <v/>
      </c>
      <c r="N33" s="18" t="str">
        <f aca="false">IF(A33="","",IF(OR(B33="BELUM ADA",E33="BELUM ADA",NOT(ISNUMBER(F33)),F33&lt;=0,NOT(ISNUMBER(H33)),NOT(ISNUMBER(K33))),"BELUM LENGKAP","LENGKAP"))</f>
        <v/>
      </c>
    </row>
    <row r="34" customFormat="false" ht="27" hidden="false" customHeight="true" outlineLevel="0" collapsed="false">
      <c r="A34" s="14"/>
      <c r="B34" s="18" t="str">
        <f aca="false">IF(A34="","",IF(COUNTIFS('MASTER MENU'!$A$5:$A$504,A34)=0,"BELUM ADA",INDEX('MASTER MENU'!$B$5:$B$504,MATCH(A34,'MASTER MENU'!$A$5:$A$504,0))))</f>
        <v/>
      </c>
      <c r="C34" s="18" t="str">
        <f aca="false">IF(A34="","",IF(COUNTIFS('MASTER MENU'!$A$5:$A$504,A34)=0,"BELUM ADA",INDEX('MASTER MENU'!$E$5:$E$504,MATCH(A34,'MASTER MENU'!$A$5:$A$504,0))))</f>
        <v/>
      </c>
      <c r="D34" s="14"/>
      <c r="E34" s="18" t="str">
        <f aca="false">IF(D34="","",IF(COUNTIFS('MASTER BAHAN'!$A$5:$A$504,D34)=0,"BELUM ADA",INDEX('MASTER BAHAN'!$B$5:$B$504,MATCH(D34,'MASTER BAHAN'!$A$5:$A$504,0))))</f>
        <v/>
      </c>
      <c r="F34" s="14"/>
      <c r="G34" s="18" t="str">
        <f aca="false">IF(D34="","",IF(COUNTIFS('MASTER BAHAN'!$A$5:$A$504,D34)=0,"BELUM ADA",INDEX('MASTER BAHAN'!$D$5:$D$504,MATCH(D34,'MASTER BAHAN'!$A$5:$A$504,0))))</f>
        <v/>
      </c>
      <c r="H34" s="17" t="str">
        <f aca="false">IF(D34="","",IF(COUNTIFS('MASTER BAHAN'!$A$5:$A$504,D34)=0,"BELUM ADA",INDEX('MASTER BAHAN'!$I$5:$I$504,MATCH(D34,'MASTER BAHAN'!$A$5:$A$504,0))))</f>
        <v/>
      </c>
      <c r="I34" s="19" t="str">
        <f aca="false">IF(A34="","",IF(OR(NOT(ISNUMBER(F34)),NOT(ISNUMBER(H34))),"BELUM LENGKAP",ROUND(F34*H34,0)))</f>
        <v/>
      </c>
      <c r="J34" s="19" t="str">
        <f aca="false">IF(A34="","",IF(COUNTIFS($A$5:$A$504,A34,$N$5:$N$504,"BELUM LENGKAP")&gt;0,"BELUM LENGKAP",SUMIFS($I$5:$I$504,$A$5:$A$504,A34)))</f>
        <v/>
      </c>
      <c r="K34" s="19" t="str">
        <f aca="false">IF(A34="","",IF(COUNTIFS('MASTER MENU'!$A$5:$A$504,A34)=0,"BELUM ADA",INDEX('MASTER MENU'!$F$5:$F$504,MATCH(A34,'MASTER MENU'!$A$5:$A$504,0))))</f>
        <v/>
      </c>
      <c r="L34" s="19" t="str">
        <f aca="false">IF(A34="","",IF(OR(NOT(ISNUMBER(J34)),NOT(ISNUMBER(K34))),"BELUM LENGKAP",K34-J34))</f>
        <v/>
      </c>
      <c r="M34" s="20" t="str">
        <f aca="false">IF(A34="","",IF(OR(NOT(ISNUMBER(L34)),K34=0),"BELUM LENGKAP",L34/K34))</f>
        <v/>
      </c>
      <c r="N34" s="18" t="str">
        <f aca="false">IF(A34="","",IF(OR(B34="BELUM ADA",E34="BELUM ADA",NOT(ISNUMBER(F34)),F34&lt;=0,NOT(ISNUMBER(H34)),NOT(ISNUMBER(K34))),"BELUM LENGKAP","LENGKAP"))</f>
        <v/>
      </c>
    </row>
    <row r="35" customFormat="false" ht="27" hidden="false" customHeight="true" outlineLevel="0" collapsed="false">
      <c r="A35" s="14"/>
      <c r="B35" s="18" t="str">
        <f aca="false">IF(A35="","",IF(COUNTIFS('MASTER MENU'!$A$5:$A$504,A35)=0,"BELUM ADA",INDEX('MASTER MENU'!$B$5:$B$504,MATCH(A35,'MASTER MENU'!$A$5:$A$504,0))))</f>
        <v/>
      </c>
      <c r="C35" s="18" t="str">
        <f aca="false">IF(A35="","",IF(COUNTIFS('MASTER MENU'!$A$5:$A$504,A35)=0,"BELUM ADA",INDEX('MASTER MENU'!$E$5:$E$504,MATCH(A35,'MASTER MENU'!$A$5:$A$504,0))))</f>
        <v/>
      </c>
      <c r="D35" s="14"/>
      <c r="E35" s="18" t="str">
        <f aca="false">IF(D35="","",IF(COUNTIFS('MASTER BAHAN'!$A$5:$A$504,D35)=0,"BELUM ADA",INDEX('MASTER BAHAN'!$B$5:$B$504,MATCH(D35,'MASTER BAHAN'!$A$5:$A$504,0))))</f>
        <v/>
      </c>
      <c r="F35" s="14"/>
      <c r="G35" s="18" t="str">
        <f aca="false">IF(D35="","",IF(COUNTIFS('MASTER BAHAN'!$A$5:$A$504,D35)=0,"BELUM ADA",INDEX('MASTER BAHAN'!$D$5:$D$504,MATCH(D35,'MASTER BAHAN'!$A$5:$A$504,0))))</f>
        <v/>
      </c>
      <c r="H35" s="17" t="str">
        <f aca="false">IF(D35="","",IF(COUNTIFS('MASTER BAHAN'!$A$5:$A$504,D35)=0,"BELUM ADA",INDEX('MASTER BAHAN'!$I$5:$I$504,MATCH(D35,'MASTER BAHAN'!$A$5:$A$504,0))))</f>
        <v/>
      </c>
      <c r="I35" s="19" t="str">
        <f aca="false">IF(A35="","",IF(OR(NOT(ISNUMBER(F35)),NOT(ISNUMBER(H35))),"BELUM LENGKAP",ROUND(F35*H35,0)))</f>
        <v/>
      </c>
      <c r="J35" s="19" t="str">
        <f aca="false">IF(A35="","",IF(COUNTIFS($A$5:$A$504,A35,$N$5:$N$504,"BELUM LENGKAP")&gt;0,"BELUM LENGKAP",SUMIFS($I$5:$I$504,$A$5:$A$504,A35)))</f>
        <v/>
      </c>
      <c r="K35" s="19" t="str">
        <f aca="false">IF(A35="","",IF(COUNTIFS('MASTER MENU'!$A$5:$A$504,A35)=0,"BELUM ADA",INDEX('MASTER MENU'!$F$5:$F$504,MATCH(A35,'MASTER MENU'!$A$5:$A$504,0))))</f>
        <v/>
      </c>
      <c r="L35" s="19" t="str">
        <f aca="false">IF(A35="","",IF(OR(NOT(ISNUMBER(J35)),NOT(ISNUMBER(K35))),"BELUM LENGKAP",K35-J35))</f>
        <v/>
      </c>
      <c r="M35" s="20" t="str">
        <f aca="false">IF(A35="","",IF(OR(NOT(ISNUMBER(L35)),K35=0),"BELUM LENGKAP",L35/K35))</f>
        <v/>
      </c>
      <c r="N35" s="18" t="str">
        <f aca="false">IF(A35="","",IF(OR(B35="BELUM ADA",E35="BELUM ADA",NOT(ISNUMBER(F35)),F35&lt;=0,NOT(ISNUMBER(H35)),NOT(ISNUMBER(K35))),"BELUM LENGKAP","LENGKAP"))</f>
        <v/>
      </c>
    </row>
    <row r="36" customFormat="false" ht="27" hidden="false" customHeight="true" outlineLevel="0" collapsed="false">
      <c r="A36" s="14"/>
      <c r="B36" s="18" t="str">
        <f aca="false">IF(A36="","",IF(COUNTIFS('MASTER MENU'!$A$5:$A$504,A36)=0,"BELUM ADA",INDEX('MASTER MENU'!$B$5:$B$504,MATCH(A36,'MASTER MENU'!$A$5:$A$504,0))))</f>
        <v/>
      </c>
      <c r="C36" s="18" t="str">
        <f aca="false">IF(A36="","",IF(COUNTIFS('MASTER MENU'!$A$5:$A$504,A36)=0,"BELUM ADA",INDEX('MASTER MENU'!$E$5:$E$504,MATCH(A36,'MASTER MENU'!$A$5:$A$504,0))))</f>
        <v/>
      </c>
      <c r="D36" s="14"/>
      <c r="E36" s="18" t="str">
        <f aca="false">IF(D36="","",IF(COUNTIFS('MASTER BAHAN'!$A$5:$A$504,D36)=0,"BELUM ADA",INDEX('MASTER BAHAN'!$B$5:$B$504,MATCH(D36,'MASTER BAHAN'!$A$5:$A$504,0))))</f>
        <v/>
      </c>
      <c r="F36" s="14"/>
      <c r="G36" s="18" t="str">
        <f aca="false">IF(D36="","",IF(COUNTIFS('MASTER BAHAN'!$A$5:$A$504,D36)=0,"BELUM ADA",INDEX('MASTER BAHAN'!$D$5:$D$504,MATCH(D36,'MASTER BAHAN'!$A$5:$A$504,0))))</f>
        <v/>
      </c>
      <c r="H36" s="17" t="str">
        <f aca="false">IF(D36="","",IF(COUNTIFS('MASTER BAHAN'!$A$5:$A$504,D36)=0,"BELUM ADA",INDEX('MASTER BAHAN'!$I$5:$I$504,MATCH(D36,'MASTER BAHAN'!$A$5:$A$504,0))))</f>
        <v/>
      </c>
      <c r="I36" s="19" t="str">
        <f aca="false">IF(A36="","",IF(OR(NOT(ISNUMBER(F36)),NOT(ISNUMBER(H36))),"BELUM LENGKAP",ROUND(F36*H36,0)))</f>
        <v/>
      </c>
      <c r="J36" s="19" t="str">
        <f aca="false">IF(A36="","",IF(COUNTIFS($A$5:$A$504,A36,$N$5:$N$504,"BELUM LENGKAP")&gt;0,"BELUM LENGKAP",SUMIFS($I$5:$I$504,$A$5:$A$504,A36)))</f>
        <v/>
      </c>
      <c r="K36" s="19" t="str">
        <f aca="false">IF(A36="","",IF(COUNTIFS('MASTER MENU'!$A$5:$A$504,A36)=0,"BELUM ADA",INDEX('MASTER MENU'!$F$5:$F$504,MATCH(A36,'MASTER MENU'!$A$5:$A$504,0))))</f>
        <v/>
      </c>
      <c r="L36" s="19" t="str">
        <f aca="false">IF(A36="","",IF(OR(NOT(ISNUMBER(J36)),NOT(ISNUMBER(K36))),"BELUM LENGKAP",K36-J36))</f>
        <v/>
      </c>
      <c r="M36" s="20" t="str">
        <f aca="false">IF(A36="","",IF(OR(NOT(ISNUMBER(L36)),K36=0),"BELUM LENGKAP",L36/K36))</f>
        <v/>
      </c>
      <c r="N36" s="18" t="str">
        <f aca="false">IF(A36="","",IF(OR(B36="BELUM ADA",E36="BELUM ADA",NOT(ISNUMBER(F36)),F36&lt;=0,NOT(ISNUMBER(H36)),NOT(ISNUMBER(K36))),"BELUM LENGKAP","LENGKAP"))</f>
        <v/>
      </c>
    </row>
    <row r="37" customFormat="false" ht="27" hidden="false" customHeight="true" outlineLevel="0" collapsed="false">
      <c r="A37" s="14"/>
      <c r="B37" s="18" t="str">
        <f aca="false">IF(A37="","",IF(COUNTIFS('MASTER MENU'!$A$5:$A$504,A37)=0,"BELUM ADA",INDEX('MASTER MENU'!$B$5:$B$504,MATCH(A37,'MASTER MENU'!$A$5:$A$504,0))))</f>
        <v/>
      </c>
      <c r="C37" s="18" t="str">
        <f aca="false">IF(A37="","",IF(COUNTIFS('MASTER MENU'!$A$5:$A$504,A37)=0,"BELUM ADA",INDEX('MASTER MENU'!$E$5:$E$504,MATCH(A37,'MASTER MENU'!$A$5:$A$504,0))))</f>
        <v/>
      </c>
      <c r="D37" s="14"/>
      <c r="E37" s="18" t="str">
        <f aca="false">IF(D37="","",IF(COUNTIFS('MASTER BAHAN'!$A$5:$A$504,D37)=0,"BELUM ADA",INDEX('MASTER BAHAN'!$B$5:$B$504,MATCH(D37,'MASTER BAHAN'!$A$5:$A$504,0))))</f>
        <v/>
      </c>
      <c r="F37" s="14"/>
      <c r="G37" s="18" t="str">
        <f aca="false">IF(D37="","",IF(COUNTIFS('MASTER BAHAN'!$A$5:$A$504,D37)=0,"BELUM ADA",INDEX('MASTER BAHAN'!$D$5:$D$504,MATCH(D37,'MASTER BAHAN'!$A$5:$A$504,0))))</f>
        <v/>
      </c>
      <c r="H37" s="17" t="str">
        <f aca="false">IF(D37="","",IF(COUNTIFS('MASTER BAHAN'!$A$5:$A$504,D37)=0,"BELUM ADA",INDEX('MASTER BAHAN'!$I$5:$I$504,MATCH(D37,'MASTER BAHAN'!$A$5:$A$504,0))))</f>
        <v/>
      </c>
      <c r="I37" s="19" t="str">
        <f aca="false">IF(A37="","",IF(OR(NOT(ISNUMBER(F37)),NOT(ISNUMBER(H37))),"BELUM LENGKAP",ROUND(F37*H37,0)))</f>
        <v/>
      </c>
      <c r="J37" s="19" t="str">
        <f aca="false">IF(A37="","",IF(COUNTIFS($A$5:$A$504,A37,$N$5:$N$504,"BELUM LENGKAP")&gt;0,"BELUM LENGKAP",SUMIFS($I$5:$I$504,$A$5:$A$504,A37)))</f>
        <v/>
      </c>
      <c r="K37" s="19" t="str">
        <f aca="false">IF(A37="","",IF(COUNTIFS('MASTER MENU'!$A$5:$A$504,A37)=0,"BELUM ADA",INDEX('MASTER MENU'!$F$5:$F$504,MATCH(A37,'MASTER MENU'!$A$5:$A$504,0))))</f>
        <v/>
      </c>
      <c r="L37" s="19" t="str">
        <f aca="false">IF(A37="","",IF(OR(NOT(ISNUMBER(J37)),NOT(ISNUMBER(K37))),"BELUM LENGKAP",K37-J37))</f>
        <v/>
      </c>
      <c r="M37" s="20" t="str">
        <f aca="false">IF(A37="","",IF(OR(NOT(ISNUMBER(L37)),K37=0),"BELUM LENGKAP",L37/K37))</f>
        <v/>
      </c>
      <c r="N37" s="18" t="str">
        <f aca="false">IF(A37="","",IF(OR(B37="BELUM ADA",E37="BELUM ADA",NOT(ISNUMBER(F37)),F37&lt;=0,NOT(ISNUMBER(H37)),NOT(ISNUMBER(K37))),"BELUM LENGKAP","LENGKAP"))</f>
        <v/>
      </c>
    </row>
    <row r="38" customFormat="false" ht="27" hidden="false" customHeight="true" outlineLevel="0" collapsed="false">
      <c r="A38" s="14"/>
      <c r="B38" s="18" t="str">
        <f aca="false">IF(A38="","",IF(COUNTIFS('MASTER MENU'!$A$5:$A$504,A38)=0,"BELUM ADA",INDEX('MASTER MENU'!$B$5:$B$504,MATCH(A38,'MASTER MENU'!$A$5:$A$504,0))))</f>
        <v/>
      </c>
      <c r="C38" s="18" t="str">
        <f aca="false">IF(A38="","",IF(COUNTIFS('MASTER MENU'!$A$5:$A$504,A38)=0,"BELUM ADA",INDEX('MASTER MENU'!$E$5:$E$504,MATCH(A38,'MASTER MENU'!$A$5:$A$504,0))))</f>
        <v/>
      </c>
      <c r="D38" s="14"/>
      <c r="E38" s="18" t="str">
        <f aca="false">IF(D38="","",IF(COUNTIFS('MASTER BAHAN'!$A$5:$A$504,D38)=0,"BELUM ADA",INDEX('MASTER BAHAN'!$B$5:$B$504,MATCH(D38,'MASTER BAHAN'!$A$5:$A$504,0))))</f>
        <v/>
      </c>
      <c r="F38" s="14"/>
      <c r="G38" s="18" t="str">
        <f aca="false">IF(D38="","",IF(COUNTIFS('MASTER BAHAN'!$A$5:$A$504,D38)=0,"BELUM ADA",INDEX('MASTER BAHAN'!$D$5:$D$504,MATCH(D38,'MASTER BAHAN'!$A$5:$A$504,0))))</f>
        <v/>
      </c>
      <c r="H38" s="17" t="str">
        <f aca="false">IF(D38="","",IF(COUNTIFS('MASTER BAHAN'!$A$5:$A$504,D38)=0,"BELUM ADA",INDEX('MASTER BAHAN'!$I$5:$I$504,MATCH(D38,'MASTER BAHAN'!$A$5:$A$504,0))))</f>
        <v/>
      </c>
      <c r="I38" s="19" t="str">
        <f aca="false">IF(A38="","",IF(OR(NOT(ISNUMBER(F38)),NOT(ISNUMBER(H38))),"BELUM LENGKAP",ROUND(F38*H38,0)))</f>
        <v/>
      </c>
      <c r="J38" s="19" t="str">
        <f aca="false">IF(A38="","",IF(COUNTIFS($A$5:$A$504,A38,$N$5:$N$504,"BELUM LENGKAP")&gt;0,"BELUM LENGKAP",SUMIFS($I$5:$I$504,$A$5:$A$504,A38)))</f>
        <v/>
      </c>
      <c r="K38" s="19" t="str">
        <f aca="false">IF(A38="","",IF(COUNTIFS('MASTER MENU'!$A$5:$A$504,A38)=0,"BELUM ADA",INDEX('MASTER MENU'!$F$5:$F$504,MATCH(A38,'MASTER MENU'!$A$5:$A$504,0))))</f>
        <v/>
      </c>
      <c r="L38" s="19" t="str">
        <f aca="false">IF(A38="","",IF(OR(NOT(ISNUMBER(J38)),NOT(ISNUMBER(K38))),"BELUM LENGKAP",K38-J38))</f>
        <v/>
      </c>
      <c r="M38" s="20" t="str">
        <f aca="false">IF(A38="","",IF(OR(NOT(ISNUMBER(L38)),K38=0),"BELUM LENGKAP",L38/K38))</f>
        <v/>
      </c>
      <c r="N38" s="18" t="str">
        <f aca="false">IF(A38="","",IF(OR(B38="BELUM ADA",E38="BELUM ADA",NOT(ISNUMBER(F38)),F38&lt;=0,NOT(ISNUMBER(H38)),NOT(ISNUMBER(K38))),"BELUM LENGKAP","LENGKAP"))</f>
        <v/>
      </c>
    </row>
    <row r="39" customFormat="false" ht="27" hidden="false" customHeight="true" outlineLevel="0" collapsed="false">
      <c r="A39" s="14"/>
      <c r="B39" s="18" t="str">
        <f aca="false">IF(A39="","",IF(COUNTIFS('MASTER MENU'!$A$5:$A$504,A39)=0,"BELUM ADA",INDEX('MASTER MENU'!$B$5:$B$504,MATCH(A39,'MASTER MENU'!$A$5:$A$504,0))))</f>
        <v/>
      </c>
      <c r="C39" s="18" t="str">
        <f aca="false">IF(A39="","",IF(COUNTIFS('MASTER MENU'!$A$5:$A$504,A39)=0,"BELUM ADA",INDEX('MASTER MENU'!$E$5:$E$504,MATCH(A39,'MASTER MENU'!$A$5:$A$504,0))))</f>
        <v/>
      </c>
      <c r="D39" s="14"/>
      <c r="E39" s="18" t="str">
        <f aca="false">IF(D39="","",IF(COUNTIFS('MASTER BAHAN'!$A$5:$A$504,D39)=0,"BELUM ADA",INDEX('MASTER BAHAN'!$B$5:$B$504,MATCH(D39,'MASTER BAHAN'!$A$5:$A$504,0))))</f>
        <v/>
      </c>
      <c r="F39" s="14"/>
      <c r="G39" s="18" t="str">
        <f aca="false">IF(D39="","",IF(COUNTIFS('MASTER BAHAN'!$A$5:$A$504,D39)=0,"BELUM ADA",INDEX('MASTER BAHAN'!$D$5:$D$504,MATCH(D39,'MASTER BAHAN'!$A$5:$A$504,0))))</f>
        <v/>
      </c>
      <c r="H39" s="17" t="str">
        <f aca="false">IF(D39="","",IF(COUNTIFS('MASTER BAHAN'!$A$5:$A$504,D39)=0,"BELUM ADA",INDEX('MASTER BAHAN'!$I$5:$I$504,MATCH(D39,'MASTER BAHAN'!$A$5:$A$504,0))))</f>
        <v/>
      </c>
      <c r="I39" s="19" t="str">
        <f aca="false">IF(A39="","",IF(OR(NOT(ISNUMBER(F39)),NOT(ISNUMBER(H39))),"BELUM LENGKAP",ROUND(F39*H39,0)))</f>
        <v/>
      </c>
      <c r="J39" s="19" t="str">
        <f aca="false">IF(A39="","",IF(COUNTIFS($A$5:$A$504,A39,$N$5:$N$504,"BELUM LENGKAP")&gt;0,"BELUM LENGKAP",SUMIFS($I$5:$I$504,$A$5:$A$504,A39)))</f>
        <v/>
      </c>
      <c r="K39" s="19" t="str">
        <f aca="false">IF(A39="","",IF(COUNTIFS('MASTER MENU'!$A$5:$A$504,A39)=0,"BELUM ADA",INDEX('MASTER MENU'!$F$5:$F$504,MATCH(A39,'MASTER MENU'!$A$5:$A$504,0))))</f>
        <v/>
      </c>
      <c r="L39" s="19" t="str">
        <f aca="false">IF(A39="","",IF(OR(NOT(ISNUMBER(J39)),NOT(ISNUMBER(K39))),"BELUM LENGKAP",K39-J39))</f>
        <v/>
      </c>
      <c r="M39" s="20" t="str">
        <f aca="false">IF(A39="","",IF(OR(NOT(ISNUMBER(L39)),K39=0),"BELUM LENGKAP",L39/K39))</f>
        <v/>
      </c>
      <c r="N39" s="18" t="str">
        <f aca="false">IF(A39="","",IF(OR(B39="BELUM ADA",E39="BELUM ADA",NOT(ISNUMBER(F39)),F39&lt;=0,NOT(ISNUMBER(H39)),NOT(ISNUMBER(K39))),"BELUM LENGKAP","LENGKAP"))</f>
        <v/>
      </c>
    </row>
    <row r="40" customFormat="false" ht="27" hidden="false" customHeight="true" outlineLevel="0" collapsed="false">
      <c r="A40" s="14"/>
      <c r="B40" s="18" t="str">
        <f aca="false">IF(A40="","",IF(COUNTIFS('MASTER MENU'!$A$5:$A$504,A40)=0,"BELUM ADA",INDEX('MASTER MENU'!$B$5:$B$504,MATCH(A40,'MASTER MENU'!$A$5:$A$504,0))))</f>
        <v/>
      </c>
      <c r="C40" s="18" t="str">
        <f aca="false">IF(A40="","",IF(COUNTIFS('MASTER MENU'!$A$5:$A$504,A40)=0,"BELUM ADA",INDEX('MASTER MENU'!$E$5:$E$504,MATCH(A40,'MASTER MENU'!$A$5:$A$504,0))))</f>
        <v/>
      </c>
      <c r="D40" s="14"/>
      <c r="E40" s="18" t="str">
        <f aca="false">IF(D40="","",IF(COUNTIFS('MASTER BAHAN'!$A$5:$A$504,D40)=0,"BELUM ADA",INDEX('MASTER BAHAN'!$B$5:$B$504,MATCH(D40,'MASTER BAHAN'!$A$5:$A$504,0))))</f>
        <v/>
      </c>
      <c r="F40" s="14"/>
      <c r="G40" s="18" t="str">
        <f aca="false">IF(D40="","",IF(COUNTIFS('MASTER BAHAN'!$A$5:$A$504,D40)=0,"BELUM ADA",INDEX('MASTER BAHAN'!$D$5:$D$504,MATCH(D40,'MASTER BAHAN'!$A$5:$A$504,0))))</f>
        <v/>
      </c>
      <c r="H40" s="17" t="str">
        <f aca="false">IF(D40="","",IF(COUNTIFS('MASTER BAHAN'!$A$5:$A$504,D40)=0,"BELUM ADA",INDEX('MASTER BAHAN'!$I$5:$I$504,MATCH(D40,'MASTER BAHAN'!$A$5:$A$504,0))))</f>
        <v/>
      </c>
      <c r="I40" s="19" t="str">
        <f aca="false">IF(A40="","",IF(OR(NOT(ISNUMBER(F40)),NOT(ISNUMBER(H40))),"BELUM LENGKAP",ROUND(F40*H40,0)))</f>
        <v/>
      </c>
      <c r="J40" s="19" t="str">
        <f aca="false">IF(A40="","",IF(COUNTIFS($A$5:$A$504,A40,$N$5:$N$504,"BELUM LENGKAP")&gt;0,"BELUM LENGKAP",SUMIFS($I$5:$I$504,$A$5:$A$504,A40)))</f>
        <v/>
      </c>
      <c r="K40" s="19" t="str">
        <f aca="false">IF(A40="","",IF(COUNTIFS('MASTER MENU'!$A$5:$A$504,A40)=0,"BELUM ADA",INDEX('MASTER MENU'!$F$5:$F$504,MATCH(A40,'MASTER MENU'!$A$5:$A$504,0))))</f>
        <v/>
      </c>
      <c r="L40" s="19" t="str">
        <f aca="false">IF(A40="","",IF(OR(NOT(ISNUMBER(J40)),NOT(ISNUMBER(K40))),"BELUM LENGKAP",K40-J40))</f>
        <v/>
      </c>
      <c r="M40" s="20" t="str">
        <f aca="false">IF(A40="","",IF(OR(NOT(ISNUMBER(L40)),K40=0),"BELUM LENGKAP",L40/K40))</f>
        <v/>
      </c>
      <c r="N40" s="18" t="str">
        <f aca="false">IF(A40="","",IF(OR(B40="BELUM ADA",E40="BELUM ADA",NOT(ISNUMBER(F40)),F40&lt;=0,NOT(ISNUMBER(H40)),NOT(ISNUMBER(K40))),"BELUM LENGKAP","LENGKAP"))</f>
        <v/>
      </c>
    </row>
    <row r="41" customFormat="false" ht="27" hidden="false" customHeight="true" outlineLevel="0" collapsed="false">
      <c r="A41" s="14"/>
      <c r="B41" s="18" t="str">
        <f aca="false">IF(A41="","",IF(COUNTIFS('MASTER MENU'!$A$5:$A$504,A41)=0,"BELUM ADA",INDEX('MASTER MENU'!$B$5:$B$504,MATCH(A41,'MASTER MENU'!$A$5:$A$504,0))))</f>
        <v/>
      </c>
      <c r="C41" s="18" t="str">
        <f aca="false">IF(A41="","",IF(COUNTIFS('MASTER MENU'!$A$5:$A$504,A41)=0,"BELUM ADA",INDEX('MASTER MENU'!$E$5:$E$504,MATCH(A41,'MASTER MENU'!$A$5:$A$504,0))))</f>
        <v/>
      </c>
      <c r="D41" s="14"/>
      <c r="E41" s="18" t="str">
        <f aca="false">IF(D41="","",IF(COUNTIFS('MASTER BAHAN'!$A$5:$A$504,D41)=0,"BELUM ADA",INDEX('MASTER BAHAN'!$B$5:$B$504,MATCH(D41,'MASTER BAHAN'!$A$5:$A$504,0))))</f>
        <v/>
      </c>
      <c r="F41" s="14"/>
      <c r="G41" s="18" t="str">
        <f aca="false">IF(D41="","",IF(COUNTIFS('MASTER BAHAN'!$A$5:$A$504,D41)=0,"BELUM ADA",INDEX('MASTER BAHAN'!$D$5:$D$504,MATCH(D41,'MASTER BAHAN'!$A$5:$A$504,0))))</f>
        <v/>
      </c>
      <c r="H41" s="17" t="str">
        <f aca="false">IF(D41="","",IF(COUNTIFS('MASTER BAHAN'!$A$5:$A$504,D41)=0,"BELUM ADA",INDEX('MASTER BAHAN'!$I$5:$I$504,MATCH(D41,'MASTER BAHAN'!$A$5:$A$504,0))))</f>
        <v/>
      </c>
      <c r="I41" s="19" t="str">
        <f aca="false">IF(A41="","",IF(OR(NOT(ISNUMBER(F41)),NOT(ISNUMBER(H41))),"BELUM LENGKAP",ROUND(F41*H41,0)))</f>
        <v/>
      </c>
      <c r="J41" s="19" t="str">
        <f aca="false">IF(A41="","",IF(COUNTIFS($A$5:$A$504,A41,$N$5:$N$504,"BELUM LENGKAP")&gt;0,"BELUM LENGKAP",SUMIFS($I$5:$I$504,$A$5:$A$504,A41)))</f>
        <v/>
      </c>
      <c r="K41" s="19" t="str">
        <f aca="false">IF(A41="","",IF(COUNTIFS('MASTER MENU'!$A$5:$A$504,A41)=0,"BELUM ADA",INDEX('MASTER MENU'!$F$5:$F$504,MATCH(A41,'MASTER MENU'!$A$5:$A$504,0))))</f>
        <v/>
      </c>
      <c r="L41" s="19" t="str">
        <f aca="false">IF(A41="","",IF(OR(NOT(ISNUMBER(J41)),NOT(ISNUMBER(K41))),"BELUM LENGKAP",K41-J41))</f>
        <v/>
      </c>
      <c r="M41" s="20" t="str">
        <f aca="false">IF(A41="","",IF(OR(NOT(ISNUMBER(L41)),K41=0),"BELUM LENGKAP",L41/K41))</f>
        <v/>
      </c>
      <c r="N41" s="18" t="str">
        <f aca="false">IF(A41="","",IF(OR(B41="BELUM ADA",E41="BELUM ADA",NOT(ISNUMBER(F41)),F41&lt;=0,NOT(ISNUMBER(H41)),NOT(ISNUMBER(K41))),"BELUM LENGKAP","LENGKAP"))</f>
        <v/>
      </c>
    </row>
    <row r="42" customFormat="false" ht="27" hidden="false" customHeight="true" outlineLevel="0" collapsed="false">
      <c r="A42" s="14"/>
      <c r="B42" s="18" t="str">
        <f aca="false">IF(A42="","",IF(COUNTIFS('MASTER MENU'!$A$5:$A$504,A42)=0,"BELUM ADA",INDEX('MASTER MENU'!$B$5:$B$504,MATCH(A42,'MASTER MENU'!$A$5:$A$504,0))))</f>
        <v/>
      </c>
      <c r="C42" s="18" t="str">
        <f aca="false">IF(A42="","",IF(COUNTIFS('MASTER MENU'!$A$5:$A$504,A42)=0,"BELUM ADA",INDEX('MASTER MENU'!$E$5:$E$504,MATCH(A42,'MASTER MENU'!$A$5:$A$504,0))))</f>
        <v/>
      </c>
      <c r="D42" s="14"/>
      <c r="E42" s="18" t="str">
        <f aca="false">IF(D42="","",IF(COUNTIFS('MASTER BAHAN'!$A$5:$A$504,D42)=0,"BELUM ADA",INDEX('MASTER BAHAN'!$B$5:$B$504,MATCH(D42,'MASTER BAHAN'!$A$5:$A$504,0))))</f>
        <v/>
      </c>
      <c r="F42" s="14"/>
      <c r="G42" s="18" t="str">
        <f aca="false">IF(D42="","",IF(COUNTIFS('MASTER BAHAN'!$A$5:$A$504,D42)=0,"BELUM ADA",INDEX('MASTER BAHAN'!$D$5:$D$504,MATCH(D42,'MASTER BAHAN'!$A$5:$A$504,0))))</f>
        <v/>
      </c>
      <c r="H42" s="17" t="str">
        <f aca="false">IF(D42="","",IF(COUNTIFS('MASTER BAHAN'!$A$5:$A$504,D42)=0,"BELUM ADA",INDEX('MASTER BAHAN'!$I$5:$I$504,MATCH(D42,'MASTER BAHAN'!$A$5:$A$504,0))))</f>
        <v/>
      </c>
      <c r="I42" s="19" t="str">
        <f aca="false">IF(A42="","",IF(OR(NOT(ISNUMBER(F42)),NOT(ISNUMBER(H42))),"BELUM LENGKAP",ROUND(F42*H42,0)))</f>
        <v/>
      </c>
      <c r="J42" s="19" t="str">
        <f aca="false">IF(A42="","",IF(COUNTIFS($A$5:$A$504,A42,$N$5:$N$504,"BELUM LENGKAP")&gt;0,"BELUM LENGKAP",SUMIFS($I$5:$I$504,$A$5:$A$504,A42)))</f>
        <v/>
      </c>
      <c r="K42" s="19" t="str">
        <f aca="false">IF(A42="","",IF(COUNTIFS('MASTER MENU'!$A$5:$A$504,A42)=0,"BELUM ADA",INDEX('MASTER MENU'!$F$5:$F$504,MATCH(A42,'MASTER MENU'!$A$5:$A$504,0))))</f>
        <v/>
      </c>
      <c r="L42" s="19" t="str">
        <f aca="false">IF(A42="","",IF(OR(NOT(ISNUMBER(J42)),NOT(ISNUMBER(K42))),"BELUM LENGKAP",K42-J42))</f>
        <v/>
      </c>
      <c r="M42" s="20" t="str">
        <f aca="false">IF(A42="","",IF(OR(NOT(ISNUMBER(L42)),K42=0),"BELUM LENGKAP",L42/K42))</f>
        <v/>
      </c>
      <c r="N42" s="18" t="str">
        <f aca="false">IF(A42="","",IF(OR(B42="BELUM ADA",E42="BELUM ADA",NOT(ISNUMBER(F42)),F42&lt;=0,NOT(ISNUMBER(H42)),NOT(ISNUMBER(K42))),"BELUM LENGKAP","LENGKAP"))</f>
        <v/>
      </c>
    </row>
    <row r="43" customFormat="false" ht="27" hidden="false" customHeight="true" outlineLevel="0" collapsed="false">
      <c r="A43" s="14"/>
      <c r="B43" s="18" t="str">
        <f aca="false">IF(A43="","",IF(COUNTIFS('MASTER MENU'!$A$5:$A$504,A43)=0,"BELUM ADA",INDEX('MASTER MENU'!$B$5:$B$504,MATCH(A43,'MASTER MENU'!$A$5:$A$504,0))))</f>
        <v/>
      </c>
      <c r="C43" s="18" t="str">
        <f aca="false">IF(A43="","",IF(COUNTIFS('MASTER MENU'!$A$5:$A$504,A43)=0,"BELUM ADA",INDEX('MASTER MENU'!$E$5:$E$504,MATCH(A43,'MASTER MENU'!$A$5:$A$504,0))))</f>
        <v/>
      </c>
      <c r="D43" s="14"/>
      <c r="E43" s="18" t="str">
        <f aca="false">IF(D43="","",IF(COUNTIFS('MASTER BAHAN'!$A$5:$A$504,D43)=0,"BELUM ADA",INDEX('MASTER BAHAN'!$B$5:$B$504,MATCH(D43,'MASTER BAHAN'!$A$5:$A$504,0))))</f>
        <v/>
      </c>
      <c r="F43" s="14"/>
      <c r="G43" s="18" t="str">
        <f aca="false">IF(D43="","",IF(COUNTIFS('MASTER BAHAN'!$A$5:$A$504,D43)=0,"BELUM ADA",INDEX('MASTER BAHAN'!$D$5:$D$504,MATCH(D43,'MASTER BAHAN'!$A$5:$A$504,0))))</f>
        <v/>
      </c>
      <c r="H43" s="17" t="str">
        <f aca="false">IF(D43="","",IF(COUNTIFS('MASTER BAHAN'!$A$5:$A$504,D43)=0,"BELUM ADA",INDEX('MASTER BAHAN'!$I$5:$I$504,MATCH(D43,'MASTER BAHAN'!$A$5:$A$504,0))))</f>
        <v/>
      </c>
      <c r="I43" s="19" t="str">
        <f aca="false">IF(A43="","",IF(OR(NOT(ISNUMBER(F43)),NOT(ISNUMBER(H43))),"BELUM LENGKAP",ROUND(F43*H43,0)))</f>
        <v/>
      </c>
      <c r="J43" s="19" t="str">
        <f aca="false">IF(A43="","",IF(COUNTIFS($A$5:$A$504,A43,$N$5:$N$504,"BELUM LENGKAP")&gt;0,"BELUM LENGKAP",SUMIFS($I$5:$I$504,$A$5:$A$504,A43)))</f>
        <v/>
      </c>
      <c r="K43" s="19" t="str">
        <f aca="false">IF(A43="","",IF(COUNTIFS('MASTER MENU'!$A$5:$A$504,A43)=0,"BELUM ADA",INDEX('MASTER MENU'!$F$5:$F$504,MATCH(A43,'MASTER MENU'!$A$5:$A$504,0))))</f>
        <v/>
      </c>
      <c r="L43" s="19" t="str">
        <f aca="false">IF(A43="","",IF(OR(NOT(ISNUMBER(J43)),NOT(ISNUMBER(K43))),"BELUM LENGKAP",K43-J43))</f>
        <v/>
      </c>
      <c r="M43" s="20" t="str">
        <f aca="false">IF(A43="","",IF(OR(NOT(ISNUMBER(L43)),K43=0),"BELUM LENGKAP",L43/K43))</f>
        <v/>
      </c>
      <c r="N43" s="18" t="str">
        <f aca="false">IF(A43="","",IF(OR(B43="BELUM ADA",E43="BELUM ADA",NOT(ISNUMBER(F43)),F43&lt;=0,NOT(ISNUMBER(H43)),NOT(ISNUMBER(K43))),"BELUM LENGKAP","LENGKAP"))</f>
        <v/>
      </c>
    </row>
    <row r="44" customFormat="false" ht="27" hidden="false" customHeight="true" outlineLevel="0" collapsed="false">
      <c r="A44" s="14"/>
      <c r="B44" s="18" t="str">
        <f aca="false">IF(A44="","",IF(COUNTIFS('MASTER MENU'!$A$5:$A$504,A44)=0,"BELUM ADA",INDEX('MASTER MENU'!$B$5:$B$504,MATCH(A44,'MASTER MENU'!$A$5:$A$504,0))))</f>
        <v/>
      </c>
      <c r="C44" s="18" t="str">
        <f aca="false">IF(A44="","",IF(COUNTIFS('MASTER MENU'!$A$5:$A$504,A44)=0,"BELUM ADA",INDEX('MASTER MENU'!$E$5:$E$504,MATCH(A44,'MASTER MENU'!$A$5:$A$504,0))))</f>
        <v/>
      </c>
      <c r="D44" s="14"/>
      <c r="E44" s="18" t="str">
        <f aca="false">IF(D44="","",IF(COUNTIFS('MASTER BAHAN'!$A$5:$A$504,D44)=0,"BELUM ADA",INDEX('MASTER BAHAN'!$B$5:$B$504,MATCH(D44,'MASTER BAHAN'!$A$5:$A$504,0))))</f>
        <v/>
      </c>
      <c r="F44" s="14"/>
      <c r="G44" s="18" t="str">
        <f aca="false">IF(D44="","",IF(COUNTIFS('MASTER BAHAN'!$A$5:$A$504,D44)=0,"BELUM ADA",INDEX('MASTER BAHAN'!$D$5:$D$504,MATCH(D44,'MASTER BAHAN'!$A$5:$A$504,0))))</f>
        <v/>
      </c>
      <c r="H44" s="17" t="str">
        <f aca="false">IF(D44="","",IF(COUNTIFS('MASTER BAHAN'!$A$5:$A$504,D44)=0,"BELUM ADA",INDEX('MASTER BAHAN'!$I$5:$I$504,MATCH(D44,'MASTER BAHAN'!$A$5:$A$504,0))))</f>
        <v/>
      </c>
      <c r="I44" s="19" t="str">
        <f aca="false">IF(A44="","",IF(OR(NOT(ISNUMBER(F44)),NOT(ISNUMBER(H44))),"BELUM LENGKAP",ROUND(F44*H44,0)))</f>
        <v/>
      </c>
      <c r="J44" s="19" t="str">
        <f aca="false">IF(A44="","",IF(COUNTIFS($A$5:$A$504,A44,$N$5:$N$504,"BELUM LENGKAP")&gt;0,"BELUM LENGKAP",SUMIFS($I$5:$I$504,$A$5:$A$504,A44)))</f>
        <v/>
      </c>
      <c r="K44" s="19" t="str">
        <f aca="false">IF(A44="","",IF(COUNTIFS('MASTER MENU'!$A$5:$A$504,A44)=0,"BELUM ADA",INDEX('MASTER MENU'!$F$5:$F$504,MATCH(A44,'MASTER MENU'!$A$5:$A$504,0))))</f>
        <v/>
      </c>
      <c r="L44" s="19" t="str">
        <f aca="false">IF(A44="","",IF(OR(NOT(ISNUMBER(J44)),NOT(ISNUMBER(K44))),"BELUM LENGKAP",K44-J44))</f>
        <v/>
      </c>
      <c r="M44" s="20" t="str">
        <f aca="false">IF(A44="","",IF(OR(NOT(ISNUMBER(L44)),K44=0),"BELUM LENGKAP",L44/K44))</f>
        <v/>
      </c>
      <c r="N44" s="18" t="str">
        <f aca="false">IF(A44="","",IF(OR(B44="BELUM ADA",E44="BELUM ADA",NOT(ISNUMBER(F44)),F44&lt;=0,NOT(ISNUMBER(H44)),NOT(ISNUMBER(K44))),"BELUM LENGKAP","LENGKAP"))</f>
        <v/>
      </c>
    </row>
    <row r="45" customFormat="false" ht="27" hidden="false" customHeight="true" outlineLevel="0" collapsed="false">
      <c r="A45" s="14"/>
      <c r="B45" s="18" t="str">
        <f aca="false">IF(A45="","",IF(COUNTIFS('MASTER MENU'!$A$5:$A$504,A45)=0,"BELUM ADA",INDEX('MASTER MENU'!$B$5:$B$504,MATCH(A45,'MASTER MENU'!$A$5:$A$504,0))))</f>
        <v/>
      </c>
      <c r="C45" s="18" t="str">
        <f aca="false">IF(A45="","",IF(COUNTIFS('MASTER MENU'!$A$5:$A$504,A45)=0,"BELUM ADA",INDEX('MASTER MENU'!$E$5:$E$504,MATCH(A45,'MASTER MENU'!$A$5:$A$504,0))))</f>
        <v/>
      </c>
      <c r="D45" s="14"/>
      <c r="E45" s="18" t="str">
        <f aca="false">IF(D45="","",IF(COUNTIFS('MASTER BAHAN'!$A$5:$A$504,D45)=0,"BELUM ADA",INDEX('MASTER BAHAN'!$B$5:$B$504,MATCH(D45,'MASTER BAHAN'!$A$5:$A$504,0))))</f>
        <v/>
      </c>
      <c r="F45" s="14"/>
      <c r="G45" s="18" t="str">
        <f aca="false">IF(D45="","",IF(COUNTIFS('MASTER BAHAN'!$A$5:$A$504,D45)=0,"BELUM ADA",INDEX('MASTER BAHAN'!$D$5:$D$504,MATCH(D45,'MASTER BAHAN'!$A$5:$A$504,0))))</f>
        <v/>
      </c>
      <c r="H45" s="17" t="str">
        <f aca="false">IF(D45="","",IF(COUNTIFS('MASTER BAHAN'!$A$5:$A$504,D45)=0,"BELUM ADA",INDEX('MASTER BAHAN'!$I$5:$I$504,MATCH(D45,'MASTER BAHAN'!$A$5:$A$504,0))))</f>
        <v/>
      </c>
      <c r="I45" s="19" t="str">
        <f aca="false">IF(A45="","",IF(OR(NOT(ISNUMBER(F45)),NOT(ISNUMBER(H45))),"BELUM LENGKAP",ROUND(F45*H45,0)))</f>
        <v/>
      </c>
      <c r="J45" s="19" t="str">
        <f aca="false">IF(A45="","",IF(COUNTIFS($A$5:$A$504,A45,$N$5:$N$504,"BELUM LENGKAP")&gt;0,"BELUM LENGKAP",SUMIFS($I$5:$I$504,$A$5:$A$504,A45)))</f>
        <v/>
      </c>
      <c r="K45" s="19" t="str">
        <f aca="false">IF(A45="","",IF(COUNTIFS('MASTER MENU'!$A$5:$A$504,A45)=0,"BELUM ADA",INDEX('MASTER MENU'!$F$5:$F$504,MATCH(A45,'MASTER MENU'!$A$5:$A$504,0))))</f>
        <v/>
      </c>
      <c r="L45" s="19" t="str">
        <f aca="false">IF(A45="","",IF(OR(NOT(ISNUMBER(J45)),NOT(ISNUMBER(K45))),"BELUM LENGKAP",K45-J45))</f>
        <v/>
      </c>
      <c r="M45" s="20" t="str">
        <f aca="false">IF(A45="","",IF(OR(NOT(ISNUMBER(L45)),K45=0),"BELUM LENGKAP",L45/K45))</f>
        <v/>
      </c>
      <c r="N45" s="18" t="str">
        <f aca="false">IF(A45="","",IF(OR(B45="BELUM ADA",E45="BELUM ADA",NOT(ISNUMBER(F45)),F45&lt;=0,NOT(ISNUMBER(H45)),NOT(ISNUMBER(K45))),"BELUM LENGKAP","LENGKAP"))</f>
        <v/>
      </c>
    </row>
    <row r="46" customFormat="false" ht="27" hidden="false" customHeight="true" outlineLevel="0" collapsed="false">
      <c r="A46" s="14"/>
      <c r="B46" s="18" t="str">
        <f aca="false">IF(A46="","",IF(COUNTIFS('MASTER MENU'!$A$5:$A$504,A46)=0,"BELUM ADA",INDEX('MASTER MENU'!$B$5:$B$504,MATCH(A46,'MASTER MENU'!$A$5:$A$504,0))))</f>
        <v/>
      </c>
      <c r="C46" s="18" t="str">
        <f aca="false">IF(A46="","",IF(COUNTIFS('MASTER MENU'!$A$5:$A$504,A46)=0,"BELUM ADA",INDEX('MASTER MENU'!$E$5:$E$504,MATCH(A46,'MASTER MENU'!$A$5:$A$504,0))))</f>
        <v/>
      </c>
      <c r="D46" s="14"/>
      <c r="E46" s="18" t="str">
        <f aca="false">IF(D46="","",IF(COUNTIFS('MASTER BAHAN'!$A$5:$A$504,D46)=0,"BELUM ADA",INDEX('MASTER BAHAN'!$B$5:$B$504,MATCH(D46,'MASTER BAHAN'!$A$5:$A$504,0))))</f>
        <v/>
      </c>
      <c r="F46" s="14"/>
      <c r="G46" s="18" t="str">
        <f aca="false">IF(D46="","",IF(COUNTIFS('MASTER BAHAN'!$A$5:$A$504,D46)=0,"BELUM ADA",INDEX('MASTER BAHAN'!$D$5:$D$504,MATCH(D46,'MASTER BAHAN'!$A$5:$A$504,0))))</f>
        <v/>
      </c>
      <c r="H46" s="17" t="str">
        <f aca="false">IF(D46="","",IF(COUNTIFS('MASTER BAHAN'!$A$5:$A$504,D46)=0,"BELUM ADA",INDEX('MASTER BAHAN'!$I$5:$I$504,MATCH(D46,'MASTER BAHAN'!$A$5:$A$504,0))))</f>
        <v/>
      </c>
      <c r="I46" s="19" t="str">
        <f aca="false">IF(A46="","",IF(OR(NOT(ISNUMBER(F46)),NOT(ISNUMBER(H46))),"BELUM LENGKAP",ROUND(F46*H46,0)))</f>
        <v/>
      </c>
      <c r="J46" s="19" t="str">
        <f aca="false">IF(A46="","",IF(COUNTIFS($A$5:$A$504,A46,$N$5:$N$504,"BELUM LENGKAP")&gt;0,"BELUM LENGKAP",SUMIFS($I$5:$I$504,$A$5:$A$504,A46)))</f>
        <v/>
      </c>
      <c r="K46" s="19" t="str">
        <f aca="false">IF(A46="","",IF(COUNTIFS('MASTER MENU'!$A$5:$A$504,A46)=0,"BELUM ADA",INDEX('MASTER MENU'!$F$5:$F$504,MATCH(A46,'MASTER MENU'!$A$5:$A$504,0))))</f>
        <v/>
      </c>
      <c r="L46" s="19" t="str">
        <f aca="false">IF(A46="","",IF(OR(NOT(ISNUMBER(J46)),NOT(ISNUMBER(K46))),"BELUM LENGKAP",K46-J46))</f>
        <v/>
      </c>
      <c r="M46" s="20" t="str">
        <f aca="false">IF(A46="","",IF(OR(NOT(ISNUMBER(L46)),K46=0),"BELUM LENGKAP",L46/K46))</f>
        <v/>
      </c>
      <c r="N46" s="18" t="str">
        <f aca="false">IF(A46="","",IF(OR(B46="BELUM ADA",E46="BELUM ADA",NOT(ISNUMBER(F46)),F46&lt;=0,NOT(ISNUMBER(H46)),NOT(ISNUMBER(K46))),"BELUM LENGKAP","LENGKAP"))</f>
        <v/>
      </c>
    </row>
    <row r="47" customFormat="false" ht="27" hidden="false" customHeight="true" outlineLevel="0" collapsed="false">
      <c r="A47" s="14"/>
      <c r="B47" s="18" t="str">
        <f aca="false">IF(A47="","",IF(COUNTIFS('MASTER MENU'!$A$5:$A$504,A47)=0,"BELUM ADA",INDEX('MASTER MENU'!$B$5:$B$504,MATCH(A47,'MASTER MENU'!$A$5:$A$504,0))))</f>
        <v/>
      </c>
      <c r="C47" s="18" t="str">
        <f aca="false">IF(A47="","",IF(COUNTIFS('MASTER MENU'!$A$5:$A$504,A47)=0,"BELUM ADA",INDEX('MASTER MENU'!$E$5:$E$504,MATCH(A47,'MASTER MENU'!$A$5:$A$504,0))))</f>
        <v/>
      </c>
      <c r="D47" s="14"/>
      <c r="E47" s="18" t="str">
        <f aca="false">IF(D47="","",IF(COUNTIFS('MASTER BAHAN'!$A$5:$A$504,D47)=0,"BELUM ADA",INDEX('MASTER BAHAN'!$B$5:$B$504,MATCH(D47,'MASTER BAHAN'!$A$5:$A$504,0))))</f>
        <v/>
      </c>
      <c r="F47" s="14"/>
      <c r="G47" s="18" t="str">
        <f aca="false">IF(D47="","",IF(COUNTIFS('MASTER BAHAN'!$A$5:$A$504,D47)=0,"BELUM ADA",INDEX('MASTER BAHAN'!$D$5:$D$504,MATCH(D47,'MASTER BAHAN'!$A$5:$A$504,0))))</f>
        <v/>
      </c>
      <c r="H47" s="17" t="str">
        <f aca="false">IF(D47="","",IF(COUNTIFS('MASTER BAHAN'!$A$5:$A$504,D47)=0,"BELUM ADA",INDEX('MASTER BAHAN'!$I$5:$I$504,MATCH(D47,'MASTER BAHAN'!$A$5:$A$504,0))))</f>
        <v/>
      </c>
      <c r="I47" s="19" t="str">
        <f aca="false">IF(A47="","",IF(OR(NOT(ISNUMBER(F47)),NOT(ISNUMBER(H47))),"BELUM LENGKAP",ROUND(F47*H47,0)))</f>
        <v/>
      </c>
      <c r="J47" s="19" t="str">
        <f aca="false">IF(A47="","",IF(COUNTIFS($A$5:$A$504,A47,$N$5:$N$504,"BELUM LENGKAP")&gt;0,"BELUM LENGKAP",SUMIFS($I$5:$I$504,$A$5:$A$504,A47)))</f>
        <v/>
      </c>
      <c r="K47" s="19" t="str">
        <f aca="false">IF(A47="","",IF(COUNTIFS('MASTER MENU'!$A$5:$A$504,A47)=0,"BELUM ADA",INDEX('MASTER MENU'!$F$5:$F$504,MATCH(A47,'MASTER MENU'!$A$5:$A$504,0))))</f>
        <v/>
      </c>
      <c r="L47" s="19" t="str">
        <f aca="false">IF(A47="","",IF(OR(NOT(ISNUMBER(J47)),NOT(ISNUMBER(K47))),"BELUM LENGKAP",K47-J47))</f>
        <v/>
      </c>
      <c r="M47" s="20" t="str">
        <f aca="false">IF(A47="","",IF(OR(NOT(ISNUMBER(L47)),K47=0),"BELUM LENGKAP",L47/K47))</f>
        <v/>
      </c>
      <c r="N47" s="18" t="str">
        <f aca="false">IF(A47="","",IF(OR(B47="BELUM ADA",E47="BELUM ADA",NOT(ISNUMBER(F47)),F47&lt;=0,NOT(ISNUMBER(H47)),NOT(ISNUMBER(K47))),"BELUM LENGKAP","LENGKAP"))</f>
        <v/>
      </c>
    </row>
    <row r="48" customFormat="false" ht="27" hidden="false" customHeight="true" outlineLevel="0" collapsed="false">
      <c r="A48" s="14"/>
      <c r="B48" s="18" t="str">
        <f aca="false">IF(A48="","",IF(COUNTIFS('MASTER MENU'!$A$5:$A$504,A48)=0,"BELUM ADA",INDEX('MASTER MENU'!$B$5:$B$504,MATCH(A48,'MASTER MENU'!$A$5:$A$504,0))))</f>
        <v/>
      </c>
      <c r="C48" s="18" t="str">
        <f aca="false">IF(A48="","",IF(COUNTIFS('MASTER MENU'!$A$5:$A$504,A48)=0,"BELUM ADA",INDEX('MASTER MENU'!$E$5:$E$504,MATCH(A48,'MASTER MENU'!$A$5:$A$504,0))))</f>
        <v/>
      </c>
      <c r="D48" s="14"/>
      <c r="E48" s="18" t="str">
        <f aca="false">IF(D48="","",IF(COUNTIFS('MASTER BAHAN'!$A$5:$A$504,D48)=0,"BELUM ADA",INDEX('MASTER BAHAN'!$B$5:$B$504,MATCH(D48,'MASTER BAHAN'!$A$5:$A$504,0))))</f>
        <v/>
      </c>
      <c r="F48" s="14"/>
      <c r="G48" s="18" t="str">
        <f aca="false">IF(D48="","",IF(COUNTIFS('MASTER BAHAN'!$A$5:$A$504,D48)=0,"BELUM ADA",INDEX('MASTER BAHAN'!$D$5:$D$504,MATCH(D48,'MASTER BAHAN'!$A$5:$A$504,0))))</f>
        <v/>
      </c>
      <c r="H48" s="17" t="str">
        <f aca="false">IF(D48="","",IF(COUNTIFS('MASTER BAHAN'!$A$5:$A$504,D48)=0,"BELUM ADA",INDEX('MASTER BAHAN'!$I$5:$I$504,MATCH(D48,'MASTER BAHAN'!$A$5:$A$504,0))))</f>
        <v/>
      </c>
      <c r="I48" s="19" t="str">
        <f aca="false">IF(A48="","",IF(OR(NOT(ISNUMBER(F48)),NOT(ISNUMBER(H48))),"BELUM LENGKAP",ROUND(F48*H48,0)))</f>
        <v/>
      </c>
      <c r="J48" s="19" t="str">
        <f aca="false">IF(A48="","",IF(COUNTIFS($A$5:$A$504,A48,$N$5:$N$504,"BELUM LENGKAP")&gt;0,"BELUM LENGKAP",SUMIFS($I$5:$I$504,$A$5:$A$504,A48)))</f>
        <v/>
      </c>
      <c r="K48" s="19" t="str">
        <f aca="false">IF(A48="","",IF(COUNTIFS('MASTER MENU'!$A$5:$A$504,A48)=0,"BELUM ADA",INDEX('MASTER MENU'!$F$5:$F$504,MATCH(A48,'MASTER MENU'!$A$5:$A$504,0))))</f>
        <v/>
      </c>
      <c r="L48" s="19" t="str">
        <f aca="false">IF(A48="","",IF(OR(NOT(ISNUMBER(J48)),NOT(ISNUMBER(K48))),"BELUM LENGKAP",K48-J48))</f>
        <v/>
      </c>
      <c r="M48" s="20" t="str">
        <f aca="false">IF(A48="","",IF(OR(NOT(ISNUMBER(L48)),K48=0),"BELUM LENGKAP",L48/K48))</f>
        <v/>
      </c>
      <c r="N48" s="18" t="str">
        <f aca="false">IF(A48="","",IF(OR(B48="BELUM ADA",E48="BELUM ADA",NOT(ISNUMBER(F48)),F48&lt;=0,NOT(ISNUMBER(H48)),NOT(ISNUMBER(K48))),"BELUM LENGKAP","LENGKAP"))</f>
        <v/>
      </c>
    </row>
    <row r="49" customFormat="false" ht="27" hidden="false" customHeight="true" outlineLevel="0" collapsed="false">
      <c r="A49" s="14"/>
      <c r="B49" s="18" t="str">
        <f aca="false">IF(A49="","",IF(COUNTIFS('MASTER MENU'!$A$5:$A$504,A49)=0,"BELUM ADA",INDEX('MASTER MENU'!$B$5:$B$504,MATCH(A49,'MASTER MENU'!$A$5:$A$504,0))))</f>
        <v/>
      </c>
      <c r="C49" s="18" t="str">
        <f aca="false">IF(A49="","",IF(COUNTIFS('MASTER MENU'!$A$5:$A$504,A49)=0,"BELUM ADA",INDEX('MASTER MENU'!$E$5:$E$504,MATCH(A49,'MASTER MENU'!$A$5:$A$504,0))))</f>
        <v/>
      </c>
      <c r="D49" s="14"/>
      <c r="E49" s="18" t="str">
        <f aca="false">IF(D49="","",IF(COUNTIFS('MASTER BAHAN'!$A$5:$A$504,D49)=0,"BELUM ADA",INDEX('MASTER BAHAN'!$B$5:$B$504,MATCH(D49,'MASTER BAHAN'!$A$5:$A$504,0))))</f>
        <v/>
      </c>
      <c r="F49" s="14"/>
      <c r="G49" s="18" t="str">
        <f aca="false">IF(D49="","",IF(COUNTIFS('MASTER BAHAN'!$A$5:$A$504,D49)=0,"BELUM ADA",INDEX('MASTER BAHAN'!$D$5:$D$504,MATCH(D49,'MASTER BAHAN'!$A$5:$A$504,0))))</f>
        <v/>
      </c>
      <c r="H49" s="17" t="str">
        <f aca="false">IF(D49="","",IF(COUNTIFS('MASTER BAHAN'!$A$5:$A$504,D49)=0,"BELUM ADA",INDEX('MASTER BAHAN'!$I$5:$I$504,MATCH(D49,'MASTER BAHAN'!$A$5:$A$504,0))))</f>
        <v/>
      </c>
      <c r="I49" s="19" t="str">
        <f aca="false">IF(A49="","",IF(OR(NOT(ISNUMBER(F49)),NOT(ISNUMBER(H49))),"BELUM LENGKAP",ROUND(F49*H49,0)))</f>
        <v/>
      </c>
      <c r="J49" s="19" t="str">
        <f aca="false">IF(A49="","",IF(COUNTIFS($A$5:$A$504,A49,$N$5:$N$504,"BELUM LENGKAP")&gt;0,"BELUM LENGKAP",SUMIFS($I$5:$I$504,$A$5:$A$504,A49)))</f>
        <v/>
      </c>
      <c r="K49" s="19" t="str">
        <f aca="false">IF(A49="","",IF(COUNTIFS('MASTER MENU'!$A$5:$A$504,A49)=0,"BELUM ADA",INDEX('MASTER MENU'!$F$5:$F$504,MATCH(A49,'MASTER MENU'!$A$5:$A$504,0))))</f>
        <v/>
      </c>
      <c r="L49" s="19" t="str">
        <f aca="false">IF(A49="","",IF(OR(NOT(ISNUMBER(J49)),NOT(ISNUMBER(K49))),"BELUM LENGKAP",K49-J49))</f>
        <v/>
      </c>
      <c r="M49" s="20" t="str">
        <f aca="false">IF(A49="","",IF(OR(NOT(ISNUMBER(L49)),K49=0),"BELUM LENGKAP",L49/K49))</f>
        <v/>
      </c>
      <c r="N49" s="18" t="str">
        <f aca="false">IF(A49="","",IF(OR(B49="BELUM ADA",E49="BELUM ADA",NOT(ISNUMBER(F49)),F49&lt;=0,NOT(ISNUMBER(H49)),NOT(ISNUMBER(K49))),"BELUM LENGKAP","LENGKAP"))</f>
        <v/>
      </c>
    </row>
    <row r="50" customFormat="false" ht="27" hidden="false" customHeight="true" outlineLevel="0" collapsed="false">
      <c r="A50" s="14"/>
      <c r="B50" s="18" t="str">
        <f aca="false">IF(A50="","",IF(COUNTIFS('MASTER MENU'!$A$5:$A$504,A50)=0,"BELUM ADA",INDEX('MASTER MENU'!$B$5:$B$504,MATCH(A50,'MASTER MENU'!$A$5:$A$504,0))))</f>
        <v/>
      </c>
      <c r="C50" s="18" t="str">
        <f aca="false">IF(A50="","",IF(COUNTIFS('MASTER MENU'!$A$5:$A$504,A50)=0,"BELUM ADA",INDEX('MASTER MENU'!$E$5:$E$504,MATCH(A50,'MASTER MENU'!$A$5:$A$504,0))))</f>
        <v/>
      </c>
      <c r="D50" s="14"/>
      <c r="E50" s="18" t="str">
        <f aca="false">IF(D50="","",IF(COUNTIFS('MASTER BAHAN'!$A$5:$A$504,D50)=0,"BELUM ADA",INDEX('MASTER BAHAN'!$B$5:$B$504,MATCH(D50,'MASTER BAHAN'!$A$5:$A$504,0))))</f>
        <v/>
      </c>
      <c r="F50" s="14"/>
      <c r="G50" s="18" t="str">
        <f aca="false">IF(D50="","",IF(COUNTIFS('MASTER BAHAN'!$A$5:$A$504,D50)=0,"BELUM ADA",INDEX('MASTER BAHAN'!$D$5:$D$504,MATCH(D50,'MASTER BAHAN'!$A$5:$A$504,0))))</f>
        <v/>
      </c>
      <c r="H50" s="17" t="str">
        <f aca="false">IF(D50="","",IF(COUNTIFS('MASTER BAHAN'!$A$5:$A$504,D50)=0,"BELUM ADA",INDEX('MASTER BAHAN'!$I$5:$I$504,MATCH(D50,'MASTER BAHAN'!$A$5:$A$504,0))))</f>
        <v/>
      </c>
      <c r="I50" s="19" t="str">
        <f aca="false">IF(A50="","",IF(OR(NOT(ISNUMBER(F50)),NOT(ISNUMBER(H50))),"BELUM LENGKAP",ROUND(F50*H50,0)))</f>
        <v/>
      </c>
      <c r="J50" s="19" t="str">
        <f aca="false">IF(A50="","",IF(COUNTIFS($A$5:$A$504,A50,$N$5:$N$504,"BELUM LENGKAP")&gt;0,"BELUM LENGKAP",SUMIFS($I$5:$I$504,$A$5:$A$504,A50)))</f>
        <v/>
      </c>
      <c r="K50" s="19" t="str">
        <f aca="false">IF(A50="","",IF(COUNTIFS('MASTER MENU'!$A$5:$A$504,A50)=0,"BELUM ADA",INDEX('MASTER MENU'!$F$5:$F$504,MATCH(A50,'MASTER MENU'!$A$5:$A$504,0))))</f>
        <v/>
      </c>
      <c r="L50" s="19" t="str">
        <f aca="false">IF(A50="","",IF(OR(NOT(ISNUMBER(J50)),NOT(ISNUMBER(K50))),"BELUM LENGKAP",K50-J50))</f>
        <v/>
      </c>
      <c r="M50" s="20" t="str">
        <f aca="false">IF(A50="","",IF(OR(NOT(ISNUMBER(L50)),K50=0),"BELUM LENGKAP",L50/K50))</f>
        <v/>
      </c>
      <c r="N50" s="18" t="str">
        <f aca="false">IF(A50="","",IF(OR(B50="BELUM ADA",E50="BELUM ADA",NOT(ISNUMBER(F50)),F50&lt;=0,NOT(ISNUMBER(H50)),NOT(ISNUMBER(K50))),"BELUM LENGKAP","LENGKAP"))</f>
        <v/>
      </c>
    </row>
    <row r="51" customFormat="false" ht="27" hidden="false" customHeight="true" outlineLevel="0" collapsed="false">
      <c r="A51" s="14"/>
      <c r="B51" s="18" t="str">
        <f aca="false">IF(A51="","",IF(COUNTIFS('MASTER MENU'!$A$5:$A$504,A51)=0,"BELUM ADA",INDEX('MASTER MENU'!$B$5:$B$504,MATCH(A51,'MASTER MENU'!$A$5:$A$504,0))))</f>
        <v/>
      </c>
      <c r="C51" s="18" t="str">
        <f aca="false">IF(A51="","",IF(COUNTIFS('MASTER MENU'!$A$5:$A$504,A51)=0,"BELUM ADA",INDEX('MASTER MENU'!$E$5:$E$504,MATCH(A51,'MASTER MENU'!$A$5:$A$504,0))))</f>
        <v/>
      </c>
      <c r="D51" s="14"/>
      <c r="E51" s="18" t="str">
        <f aca="false">IF(D51="","",IF(COUNTIFS('MASTER BAHAN'!$A$5:$A$504,D51)=0,"BELUM ADA",INDEX('MASTER BAHAN'!$B$5:$B$504,MATCH(D51,'MASTER BAHAN'!$A$5:$A$504,0))))</f>
        <v/>
      </c>
      <c r="F51" s="14"/>
      <c r="G51" s="18" t="str">
        <f aca="false">IF(D51="","",IF(COUNTIFS('MASTER BAHAN'!$A$5:$A$504,D51)=0,"BELUM ADA",INDEX('MASTER BAHAN'!$D$5:$D$504,MATCH(D51,'MASTER BAHAN'!$A$5:$A$504,0))))</f>
        <v/>
      </c>
      <c r="H51" s="17" t="str">
        <f aca="false">IF(D51="","",IF(COUNTIFS('MASTER BAHAN'!$A$5:$A$504,D51)=0,"BELUM ADA",INDEX('MASTER BAHAN'!$I$5:$I$504,MATCH(D51,'MASTER BAHAN'!$A$5:$A$504,0))))</f>
        <v/>
      </c>
      <c r="I51" s="19" t="str">
        <f aca="false">IF(A51="","",IF(OR(NOT(ISNUMBER(F51)),NOT(ISNUMBER(H51))),"BELUM LENGKAP",ROUND(F51*H51,0)))</f>
        <v/>
      </c>
      <c r="J51" s="19" t="str">
        <f aca="false">IF(A51="","",IF(COUNTIFS($A$5:$A$504,A51,$N$5:$N$504,"BELUM LENGKAP")&gt;0,"BELUM LENGKAP",SUMIFS($I$5:$I$504,$A$5:$A$504,A51)))</f>
        <v/>
      </c>
      <c r="K51" s="19" t="str">
        <f aca="false">IF(A51="","",IF(COUNTIFS('MASTER MENU'!$A$5:$A$504,A51)=0,"BELUM ADA",INDEX('MASTER MENU'!$F$5:$F$504,MATCH(A51,'MASTER MENU'!$A$5:$A$504,0))))</f>
        <v/>
      </c>
      <c r="L51" s="19" t="str">
        <f aca="false">IF(A51="","",IF(OR(NOT(ISNUMBER(J51)),NOT(ISNUMBER(K51))),"BELUM LENGKAP",K51-J51))</f>
        <v/>
      </c>
      <c r="M51" s="20" t="str">
        <f aca="false">IF(A51="","",IF(OR(NOT(ISNUMBER(L51)),K51=0),"BELUM LENGKAP",L51/K51))</f>
        <v/>
      </c>
      <c r="N51" s="18" t="str">
        <f aca="false">IF(A51="","",IF(OR(B51="BELUM ADA",E51="BELUM ADA",NOT(ISNUMBER(F51)),F51&lt;=0,NOT(ISNUMBER(H51)),NOT(ISNUMBER(K51))),"BELUM LENGKAP","LENGKAP"))</f>
        <v/>
      </c>
    </row>
    <row r="52" customFormat="false" ht="27" hidden="false" customHeight="true" outlineLevel="0" collapsed="false">
      <c r="A52" s="14"/>
      <c r="B52" s="18" t="str">
        <f aca="false">IF(A52="","",IF(COUNTIFS('MASTER MENU'!$A$5:$A$504,A52)=0,"BELUM ADA",INDEX('MASTER MENU'!$B$5:$B$504,MATCH(A52,'MASTER MENU'!$A$5:$A$504,0))))</f>
        <v/>
      </c>
      <c r="C52" s="18" t="str">
        <f aca="false">IF(A52="","",IF(COUNTIFS('MASTER MENU'!$A$5:$A$504,A52)=0,"BELUM ADA",INDEX('MASTER MENU'!$E$5:$E$504,MATCH(A52,'MASTER MENU'!$A$5:$A$504,0))))</f>
        <v/>
      </c>
      <c r="D52" s="14"/>
      <c r="E52" s="18" t="str">
        <f aca="false">IF(D52="","",IF(COUNTIFS('MASTER BAHAN'!$A$5:$A$504,D52)=0,"BELUM ADA",INDEX('MASTER BAHAN'!$B$5:$B$504,MATCH(D52,'MASTER BAHAN'!$A$5:$A$504,0))))</f>
        <v/>
      </c>
      <c r="F52" s="14"/>
      <c r="G52" s="18" t="str">
        <f aca="false">IF(D52="","",IF(COUNTIFS('MASTER BAHAN'!$A$5:$A$504,D52)=0,"BELUM ADA",INDEX('MASTER BAHAN'!$D$5:$D$504,MATCH(D52,'MASTER BAHAN'!$A$5:$A$504,0))))</f>
        <v/>
      </c>
      <c r="H52" s="17" t="str">
        <f aca="false">IF(D52="","",IF(COUNTIFS('MASTER BAHAN'!$A$5:$A$504,D52)=0,"BELUM ADA",INDEX('MASTER BAHAN'!$I$5:$I$504,MATCH(D52,'MASTER BAHAN'!$A$5:$A$504,0))))</f>
        <v/>
      </c>
      <c r="I52" s="19" t="str">
        <f aca="false">IF(A52="","",IF(OR(NOT(ISNUMBER(F52)),NOT(ISNUMBER(H52))),"BELUM LENGKAP",ROUND(F52*H52,0)))</f>
        <v/>
      </c>
      <c r="J52" s="19" t="str">
        <f aca="false">IF(A52="","",IF(COUNTIFS($A$5:$A$504,A52,$N$5:$N$504,"BELUM LENGKAP")&gt;0,"BELUM LENGKAP",SUMIFS($I$5:$I$504,$A$5:$A$504,A52)))</f>
        <v/>
      </c>
      <c r="K52" s="19" t="str">
        <f aca="false">IF(A52="","",IF(COUNTIFS('MASTER MENU'!$A$5:$A$504,A52)=0,"BELUM ADA",INDEX('MASTER MENU'!$F$5:$F$504,MATCH(A52,'MASTER MENU'!$A$5:$A$504,0))))</f>
        <v/>
      </c>
      <c r="L52" s="19" t="str">
        <f aca="false">IF(A52="","",IF(OR(NOT(ISNUMBER(J52)),NOT(ISNUMBER(K52))),"BELUM LENGKAP",K52-J52))</f>
        <v/>
      </c>
      <c r="M52" s="20" t="str">
        <f aca="false">IF(A52="","",IF(OR(NOT(ISNUMBER(L52)),K52=0),"BELUM LENGKAP",L52/K52))</f>
        <v/>
      </c>
      <c r="N52" s="18" t="str">
        <f aca="false">IF(A52="","",IF(OR(B52="BELUM ADA",E52="BELUM ADA",NOT(ISNUMBER(F52)),F52&lt;=0,NOT(ISNUMBER(H52)),NOT(ISNUMBER(K52))),"BELUM LENGKAP","LENGKAP"))</f>
        <v/>
      </c>
    </row>
    <row r="53" customFormat="false" ht="27" hidden="false" customHeight="true" outlineLevel="0" collapsed="false">
      <c r="A53" s="14"/>
      <c r="B53" s="18" t="str">
        <f aca="false">IF(A53="","",IF(COUNTIFS('MASTER MENU'!$A$5:$A$504,A53)=0,"BELUM ADA",INDEX('MASTER MENU'!$B$5:$B$504,MATCH(A53,'MASTER MENU'!$A$5:$A$504,0))))</f>
        <v/>
      </c>
      <c r="C53" s="18" t="str">
        <f aca="false">IF(A53="","",IF(COUNTIFS('MASTER MENU'!$A$5:$A$504,A53)=0,"BELUM ADA",INDEX('MASTER MENU'!$E$5:$E$504,MATCH(A53,'MASTER MENU'!$A$5:$A$504,0))))</f>
        <v/>
      </c>
      <c r="D53" s="14"/>
      <c r="E53" s="18" t="str">
        <f aca="false">IF(D53="","",IF(COUNTIFS('MASTER BAHAN'!$A$5:$A$504,D53)=0,"BELUM ADA",INDEX('MASTER BAHAN'!$B$5:$B$504,MATCH(D53,'MASTER BAHAN'!$A$5:$A$504,0))))</f>
        <v/>
      </c>
      <c r="F53" s="14"/>
      <c r="G53" s="18" t="str">
        <f aca="false">IF(D53="","",IF(COUNTIFS('MASTER BAHAN'!$A$5:$A$504,D53)=0,"BELUM ADA",INDEX('MASTER BAHAN'!$D$5:$D$504,MATCH(D53,'MASTER BAHAN'!$A$5:$A$504,0))))</f>
        <v/>
      </c>
      <c r="H53" s="17" t="str">
        <f aca="false">IF(D53="","",IF(COUNTIFS('MASTER BAHAN'!$A$5:$A$504,D53)=0,"BELUM ADA",INDEX('MASTER BAHAN'!$I$5:$I$504,MATCH(D53,'MASTER BAHAN'!$A$5:$A$504,0))))</f>
        <v/>
      </c>
      <c r="I53" s="19" t="str">
        <f aca="false">IF(A53="","",IF(OR(NOT(ISNUMBER(F53)),NOT(ISNUMBER(H53))),"BELUM LENGKAP",ROUND(F53*H53,0)))</f>
        <v/>
      </c>
      <c r="J53" s="19" t="str">
        <f aca="false">IF(A53="","",IF(COUNTIFS($A$5:$A$504,A53,$N$5:$N$504,"BELUM LENGKAP")&gt;0,"BELUM LENGKAP",SUMIFS($I$5:$I$504,$A$5:$A$504,A53)))</f>
        <v/>
      </c>
      <c r="K53" s="19" t="str">
        <f aca="false">IF(A53="","",IF(COUNTIFS('MASTER MENU'!$A$5:$A$504,A53)=0,"BELUM ADA",INDEX('MASTER MENU'!$F$5:$F$504,MATCH(A53,'MASTER MENU'!$A$5:$A$504,0))))</f>
        <v/>
      </c>
      <c r="L53" s="19" t="str">
        <f aca="false">IF(A53="","",IF(OR(NOT(ISNUMBER(J53)),NOT(ISNUMBER(K53))),"BELUM LENGKAP",K53-J53))</f>
        <v/>
      </c>
      <c r="M53" s="20" t="str">
        <f aca="false">IF(A53="","",IF(OR(NOT(ISNUMBER(L53)),K53=0),"BELUM LENGKAP",L53/K53))</f>
        <v/>
      </c>
      <c r="N53" s="18" t="str">
        <f aca="false">IF(A53="","",IF(OR(B53="BELUM ADA",E53="BELUM ADA",NOT(ISNUMBER(F53)),F53&lt;=0,NOT(ISNUMBER(H53)),NOT(ISNUMBER(K53))),"BELUM LENGKAP","LENGKAP"))</f>
        <v/>
      </c>
    </row>
    <row r="54" customFormat="false" ht="27" hidden="false" customHeight="true" outlineLevel="0" collapsed="false">
      <c r="A54" s="14"/>
      <c r="B54" s="18" t="str">
        <f aca="false">IF(A54="","",IF(COUNTIFS('MASTER MENU'!$A$5:$A$504,A54)=0,"BELUM ADA",INDEX('MASTER MENU'!$B$5:$B$504,MATCH(A54,'MASTER MENU'!$A$5:$A$504,0))))</f>
        <v/>
      </c>
      <c r="C54" s="18" t="str">
        <f aca="false">IF(A54="","",IF(COUNTIFS('MASTER MENU'!$A$5:$A$504,A54)=0,"BELUM ADA",INDEX('MASTER MENU'!$E$5:$E$504,MATCH(A54,'MASTER MENU'!$A$5:$A$504,0))))</f>
        <v/>
      </c>
      <c r="D54" s="14"/>
      <c r="E54" s="18" t="str">
        <f aca="false">IF(D54="","",IF(COUNTIFS('MASTER BAHAN'!$A$5:$A$504,D54)=0,"BELUM ADA",INDEX('MASTER BAHAN'!$B$5:$B$504,MATCH(D54,'MASTER BAHAN'!$A$5:$A$504,0))))</f>
        <v/>
      </c>
      <c r="F54" s="14"/>
      <c r="G54" s="18" t="str">
        <f aca="false">IF(D54="","",IF(COUNTIFS('MASTER BAHAN'!$A$5:$A$504,D54)=0,"BELUM ADA",INDEX('MASTER BAHAN'!$D$5:$D$504,MATCH(D54,'MASTER BAHAN'!$A$5:$A$504,0))))</f>
        <v/>
      </c>
      <c r="H54" s="17" t="str">
        <f aca="false">IF(D54="","",IF(COUNTIFS('MASTER BAHAN'!$A$5:$A$504,D54)=0,"BELUM ADA",INDEX('MASTER BAHAN'!$I$5:$I$504,MATCH(D54,'MASTER BAHAN'!$A$5:$A$504,0))))</f>
        <v/>
      </c>
      <c r="I54" s="19" t="str">
        <f aca="false">IF(A54="","",IF(OR(NOT(ISNUMBER(F54)),NOT(ISNUMBER(H54))),"BELUM LENGKAP",ROUND(F54*H54,0)))</f>
        <v/>
      </c>
      <c r="J54" s="19" t="str">
        <f aca="false">IF(A54="","",IF(COUNTIFS($A$5:$A$504,A54,$N$5:$N$504,"BELUM LENGKAP")&gt;0,"BELUM LENGKAP",SUMIFS($I$5:$I$504,$A$5:$A$504,A54)))</f>
        <v/>
      </c>
      <c r="K54" s="19" t="str">
        <f aca="false">IF(A54="","",IF(COUNTIFS('MASTER MENU'!$A$5:$A$504,A54)=0,"BELUM ADA",INDEX('MASTER MENU'!$F$5:$F$504,MATCH(A54,'MASTER MENU'!$A$5:$A$504,0))))</f>
        <v/>
      </c>
      <c r="L54" s="19" t="str">
        <f aca="false">IF(A54="","",IF(OR(NOT(ISNUMBER(J54)),NOT(ISNUMBER(K54))),"BELUM LENGKAP",K54-J54))</f>
        <v/>
      </c>
      <c r="M54" s="20" t="str">
        <f aca="false">IF(A54="","",IF(OR(NOT(ISNUMBER(L54)),K54=0),"BELUM LENGKAP",L54/K54))</f>
        <v/>
      </c>
      <c r="N54" s="18" t="str">
        <f aca="false">IF(A54="","",IF(OR(B54="BELUM ADA",E54="BELUM ADA",NOT(ISNUMBER(F54)),F54&lt;=0,NOT(ISNUMBER(H54)),NOT(ISNUMBER(K54))),"BELUM LENGKAP","LENGKAP"))</f>
        <v/>
      </c>
    </row>
    <row r="55" customFormat="false" ht="27" hidden="false" customHeight="true" outlineLevel="0" collapsed="false">
      <c r="A55" s="14"/>
      <c r="B55" s="18" t="str">
        <f aca="false">IF(A55="","",IF(COUNTIFS('MASTER MENU'!$A$5:$A$504,A55)=0,"BELUM ADA",INDEX('MASTER MENU'!$B$5:$B$504,MATCH(A55,'MASTER MENU'!$A$5:$A$504,0))))</f>
        <v/>
      </c>
      <c r="C55" s="18" t="str">
        <f aca="false">IF(A55="","",IF(COUNTIFS('MASTER MENU'!$A$5:$A$504,A55)=0,"BELUM ADA",INDEX('MASTER MENU'!$E$5:$E$504,MATCH(A55,'MASTER MENU'!$A$5:$A$504,0))))</f>
        <v/>
      </c>
      <c r="D55" s="14"/>
      <c r="E55" s="18" t="str">
        <f aca="false">IF(D55="","",IF(COUNTIFS('MASTER BAHAN'!$A$5:$A$504,D55)=0,"BELUM ADA",INDEX('MASTER BAHAN'!$B$5:$B$504,MATCH(D55,'MASTER BAHAN'!$A$5:$A$504,0))))</f>
        <v/>
      </c>
      <c r="F55" s="14"/>
      <c r="G55" s="18" t="str">
        <f aca="false">IF(D55="","",IF(COUNTIFS('MASTER BAHAN'!$A$5:$A$504,D55)=0,"BELUM ADA",INDEX('MASTER BAHAN'!$D$5:$D$504,MATCH(D55,'MASTER BAHAN'!$A$5:$A$504,0))))</f>
        <v/>
      </c>
      <c r="H55" s="17" t="str">
        <f aca="false">IF(D55="","",IF(COUNTIFS('MASTER BAHAN'!$A$5:$A$504,D55)=0,"BELUM ADA",INDEX('MASTER BAHAN'!$I$5:$I$504,MATCH(D55,'MASTER BAHAN'!$A$5:$A$504,0))))</f>
        <v/>
      </c>
      <c r="I55" s="19" t="str">
        <f aca="false">IF(A55="","",IF(OR(NOT(ISNUMBER(F55)),NOT(ISNUMBER(H55))),"BELUM LENGKAP",ROUND(F55*H55,0)))</f>
        <v/>
      </c>
      <c r="J55" s="19" t="str">
        <f aca="false">IF(A55="","",IF(COUNTIFS($A$5:$A$504,A55,$N$5:$N$504,"BELUM LENGKAP")&gt;0,"BELUM LENGKAP",SUMIFS($I$5:$I$504,$A$5:$A$504,A55)))</f>
        <v/>
      </c>
      <c r="K55" s="19" t="str">
        <f aca="false">IF(A55="","",IF(COUNTIFS('MASTER MENU'!$A$5:$A$504,A55)=0,"BELUM ADA",INDEX('MASTER MENU'!$F$5:$F$504,MATCH(A55,'MASTER MENU'!$A$5:$A$504,0))))</f>
        <v/>
      </c>
      <c r="L55" s="19" t="str">
        <f aca="false">IF(A55="","",IF(OR(NOT(ISNUMBER(J55)),NOT(ISNUMBER(K55))),"BELUM LENGKAP",K55-J55))</f>
        <v/>
      </c>
      <c r="M55" s="20" t="str">
        <f aca="false">IF(A55="","",IF(OR(NOT(ISNUMBER(L55)),K55=0),"BELUM LENGKAP",L55/K55))</f>
        <v/>
      </c>
      <c r="N55" s="18" t="str">
        <f aca="false">IF(A55="","",IF(OR(B55="BELUM ADA",E55="BELUM ADA",NOT(ISNUMBER(F55)),F55&lt;=0,NOT(ISNUMBER(H55)),NOT(ISNUMBER(K55))),"BELUM LENGKAP","LENGKAP"))</f>
        <v/>
      </c>
    </row>
    <row r="56" customFormat="false" ht="27" hidden="false" customHeight="true" outlineLevel="0" collapsed="false">
      <c r="A56" s="14"/>
      <c r="B56" s="18" t="str">
        <f aca="false">IF(A56="","",IF(COUNTIFS('MASTER MENU'!$A$5:$A$504,A56)=0,"BELUM ADA",INDEX('MASTER MENU'!$B$5:$B$504,MATCH(A56,'MASTER MENU'!$A$5:$A$504,0))))</f>
        <v/>
      </c>
      <c r="C56" s="18" t="str">
        <f aca="false">IF(A56="","",IF(COUNTIFS('MASTER MENU'!$A$5:$A$504,A56)=0,"BELUM ADA",INDEX('MASTER MENU'!$E$5:$E$504,MATCH(A56,'MASTER MENU'!$A$5:$A$504,0))))</f>
        <v/>
      </c>
      <c r="D56" s="14"/>
      <c r="E56" s="18" t="str">
        <f aca="false">IF(D56="","",IF(COUNTIFS('MASTER BAHAN'!$A$5:$A$504,D56)=0,"BELUM ADA",INDEX('MASTER BAHAN'!$B$5:$B$504,MATCH(D56,'MASTER BAHAN'!$A$5:$A$504,0))))</f>
        <v/>
      </c>
      <c r="F56" s="14"/>
      <c r="G56" s="18" t="str">
        <f aca="false">IF(D56="","",IF(COUNTIFS('MASTER BAHAN'!$A$5:$A$504,D56)=0,"BELUM ADA",INDEX('MASTER BAHAN'!$D$5:$D$504,MATCH(D56,'MASTER BAHAN'!$A$5:$A$504,0))))</f>
        <v/>
      </c>
      <c r="H56" s="17" t="str">
        <f aca="false">IF(D56="","",IF(COUNTIFS('MASTER BAHAN'!$A$5:$A$504,D56)=0,"BELUM ADA",INDEX('MASTER BAHAN'!$I$5:$I$504,MATCH(D56,'MASTER BAHAN'!$A$5:$A$504,0))))</f>
        <v/>
      </c>
      <c r="I56" s="19" t="str">
        <f aca="false">IF(A56="","",IF(OR(NOT(ISNUMBER(F56)),NOT(ISNUMBER(H56))),"BELUM LENGKAP",ROUND(F56*H56,0)))</f>
        <v/>
      </c>
      <c r="J56" s="19" t="str">
        <f aca="false">IF(A56="","",IF(COUNTIFS($A$5:$A$504,A56,$N$5:$N$504,"BELUM LENGKAP")&gt;0,"BELUM LENGKAP",SUMIFS($I$5:$I$504,$A$5:$A$504,A56)))</f>
        <v/>
      </c>
      <c r="K56" s="19" t="str">
        <f aca="false">IF(A56="","",IF(COUNTIFS('MASTER MENU'!$A$5:$A$504,A56)=0,"BELUM ADA",INDEX('MASTER MENU'!$F$5:$F$504,MATCH(A56,'MASTER MENU'!$A$5:$A$504,0))))</f>
        <v/>
      </c>
      <c r="L56" s="19" t="str">
        <f aca="false">IF(A56="","",IF(OR(NOT(ISNUMBER(J56)),NOT(ISNUMBER(K56))),"BELUM LENGKAP",K56-J56))</f>
        <v/>
      </c>
      <c r="M56" s="20" t="str">
        <f aca="false">IF(A56="","",IF(OR(NOT(ISNUMBER(L56)),K56=0),"BELUM LENGKAP",L56/K56))</f>
        <v/>
      </c>
      <c r="N56" s="18" t="str">
        <f aca="false">IF(A56="","",IF(OR(B56="BELUM ADA",E56="BELUM ADA",NOT(ISNUMBER(F56)),F56&lt;=0,NOT(ISNUMBER(H56)),NOT(ISNUMBER(K56))),"BELUM LENGKAP","LENGKAP"))</f>
        <v/>
      </c>
    </row>
    <row r="57" customFormat="false" ht="27" hidden="false" customHeight="true" outlineLevel="0" collapsed="false">
      <c r="A57" s="14"/>
      <c r="B57" s="18" t="str">
        <f aca="false">IF(A57="","",IF(COUNTIFS('MASTER MENU'!$A$5:$A$504,A57)=0,"BELUM ADA",INDEX('MASTER MENU'!$B$5:$B$504,MATCH(A57,'MASTER MENU'!$A$5:$A$504,0))))</f>
        <v/>
      </c>
      <c r="C57" s="18" t="str">
        <f aca="false">IF(A57="","",IF(COUNTIFS('MASTER MENU'!$A$5:$A$504,A57)=0,"BELUM ADA",INDEX('MASTER MENU'!$E$5:$E$504,MATCH(A57,'MASTER MENU'!$A$5:$A$504,0))))</f>
        <v/>
      </c>
      <c r="D57" s="14"/>
      <c r="E57" s="18" t="str">
        <f aca="false">IF(D57="","",IF(COUNTIFS('MASTER BAHAN'!$A$5:$A$504,D57)=0,"BELUM ADA",INDEX('MASTER BAHAN'!$B$5:$B$504,MATCH(D57,'MASTER BAHAN'!$A$5:$A$504,0))))</f>
        <v/>
      </c>
      <c r="F57" s="14"/>
      <c r="G57" s="18" t="str">
        <f aca="false">IF(D57="","",IF(COUNTIFS('MASTER BAHAN'!$A$5:$A$504,D57)=0,"BELUM ADA",INDEX('MASTER BAHAN'!$D$5:$D$504,MATCH(D57,'MASTER BAHAN'!$A$5:$A$504,0))))</f>
        <v/>
      </c>
      <c r="H57" s="17" t="str">
        <f aca="false">IF(D57="","",IF(COUNTIFS('MASTER BAHAN'!$A$5:$A$504,D57)=0,"BELUM ADA",INDEX('MASTER BAHAN'!$I$5:$I$504,MATCH(D57,'MASTER BAHAN'!$A$5:$A$504,0))))</f>
        <v/>
      </c>
      <c r="I57" s="19" t="str">
        <f aca="false">IF(A57="","",IF(OR(NOT(ISNUMBER(F57)),NOT(ISNUMBER(H57))),"BELUM LENGKAP",ROUND(F57*H57,0)))</f>
        <v/>
      </c>
      <c r="J57" s="19" t="str">
        <f aca="false">IF(A57="","",IF(COUNTIFS($A$5:$A$504,A57,$N$5:$N$504,"BELUM LENGKAP")&gt;0,"BELUM LENGKAP",SUMIFS($I$5:$I$504,$A$5:$A$504,A57)))</f>
        <v/>
      </c>
      <c r="K57" s="19" t="str">
        <f aca="false">IF(A57="","",IF(COUNTIFS('MASTER MENU'!$A$5:$A$504,A57)=0,"BELUM ADA",INDEX('MASTER MENU'!$F$5:$F$504,MATCH(A57,'MASTER MENU'!$A$5:$A$504,0))))</f>
        <v/>
      </c>
      <c r="L57" s="19" t="str">
        <f aca="false">IF(A57="","",IF(OR(NOT(ISNUMBER(J57)),NOT(ISNUMBER(K57))),"BELUM LENGKAP",K57-J57))</f>
        <v/>
      </c>
      <c r="M57" s="20" t="str">
        <f aca="false">IF(A57="","",IF(OR(NOT(ISNUMBER(L57)),K57=0),"BELUM LENGKAP",L57/K57))</f>
        <v/>
      </c>
      <c r="N57" s="18" t="str">
        <f aca="false">IF(A57="","",IF(OR(B57="BELUM ADA",E57="BELUM ADA",NOT(ISNUMBER(F57)),F57&lt;=0,NOT(ISNUMBER(H57)),NOT(ISNUMBER(K57))),"BELUM LENGKAP","LENGKAP"))</f>
        <v/>
      </c>
    </row>
    <row r="58" customFormat="false" ht="27" hidden="false" customHeight="true" outlineLevel="0" collapsed="false">
      <c r="A58" s="14"/>
      <c r="B58" s="18" t="str">
        <f aca="false">IF(A58="","",IF(COUNTIFS('MASTER MENU'!$A$5:$A$504,A58)=0,"BELUM ADA",INDEX('MASTER MENU'!$B$5:$B$504,MATCH(A58,'MASTER MENU'!$A$5:$A$504,0))))</f>
        <v/>
      </c>
      <c r="C58" s="18" t="str">
        <f aca="false">IF(A58="","",IF(COUNTIFS('MASTER MENU'!$A$5:$A$504,A58)=0,"BELUM ADA",INDEX('MASTER MENU'!$E$5:$E$504,MATCH(A58,'MASTER MENU'!$A$5:$A$504,0))))</f>
        <v/>
      </c>
      <c r="D58" s="14"/>
      <c r="E58" s="18" t="str">
        <f aca="false">IF(D58="","",IF(COUNTIFS('MASTER BAHAN'!$A$5:$A$504,D58)=0,"BELUM ADA",INDEX('MASTER BAHAN'!$B$5:$B$504,MATCH(D58,'MASTER BAHAN'!$A$5:$A$504,0))))</f>
        <v/>
      </c>
      <c r="F58" s="14"/>
      <c r="G58" s="18" t="str">
        <f aca="false">IF(D58="","",IF(COUNTIFS('MASTER BAHAN'!$A$5:$A$504,D58)=0,"BELUM ADA",INDEX('MASTER BAHAN'!$D$5:$D$504,MATCH(D58,'MASTER BAHAN'!$A$5:$A$504,0))))</f>
        <v/>
      </c>
      <c r="H58" s="17" t="str">
        <f aca="false">IF(D58="","",IF(COUNTIFS('MASTER BAHAN'!$A$5:$A$504,D58)=0,"BELUM ADA",INDEX('MASTER BAHAN'!$I$5:$I$504,MATCH(D58,'MASTER BAHAN'!$A$5:$A$504,0))))</f>
        <v/>
      </c>
      <c r="I58" s="19" t="str">
        <f aca="false">IF(A58="","",IF(OR(NOT(ISNUMBER(F58)),NOT(ISNUMBER(H58))),"BELUM LENGKAP",ROUND(F58*H58,0)))</f>
        <v/>
      </c>
      <c r="J58" s="19" t="str">
        <f aca="false">IF(A58="","",IF(COUNTIFS($A$5:$A$504,A58,$N$5:$N$504,"BELUM LENGKAP")&gt;0,"BELUM LENGKAP",SUMIFS($I$5:$I$504,$A$5:$A$504,A58)))</f>
        <v/>
      </c>
      <c r="K58" s="19" t="str">
        <f aca="false">IF(A58="","",IF(COUNTIFS('MASTER MENU'!$A$5:$A$504,A58)=0,"BELUM ADA",INDEX('MASTER MENU'!$F$5:$F$504,MATCH(A58,'MASTER MENU'!$A$5:$A$504,0))))</f>
        <v/>
      </c>
      <c r="L58" s="19" t="str">
        <f aca="false">IF(A58="","",IF(OR(NOT(ISNUMBER(J58)),NOT(ISNUMBER(K58))),"BELUM LENGKAP",K58-J58))</f>
        <v/>
      </c>
      <c r="M58" s="20" t="str">
        <f aca="false">IF(A58="","",IF(OR(NOT(ISNUMBER(L58)),K58=0),"BELUM LENGKAP",L58/K58))</f>
        <v/>
      </c>
      <c r="N58" s="18" t="str">
        <f aca="false">IF(A58="","",IF(OR(B58="BELUM ADA",E58="BELUM ADA",NOT(ISNUMBER(F58)),F58&lt;=0,NOT(ISNUMBER(H58)),NOT(ISNUMBER(K58))),"BELUM LENGKAP","LENGKAP"))</f>
        <v/>
      </c>
    </row>
    <row r="59" customFormat="false" ht="27" hidden="false" customHeight="true" outlineLevel="0" collapsed="false">
      <c r="A59" s="14"/>
      <c r="B59" s="18" t="str">
        <f aca="false">IF(A59="","",IF(COUNTIFS('MASTER MENU'!$A$5:$A$504,A59)=0,"BELUM ADA",INDEX('MASTER MENU'!$B$5:$B$504,MATCH(A59,'MASTER MENU'!$A$5:$A$504,0))))</f>
        <v/>
      </c>
      <c r="C59" s="18" t="str">
        <f aca="false">IF(A59="","",IF(COUNTIFS('MASTER MENU'!$A$5:$A$504,A59)=0,"BELUM ADA",INDEX('MASTER MENU'!$E$5:$E$504,MATCH(A59,'MASTER MENU'!$A$5:$A$504,0))))</f>
        <v/>
      </c>
      <c r="D59" s="14"/>
      <c r="E59" s="18" t="str">
        <f aca="false">IF(D59="","",IF(COUNTIFS('MASTER BAHAN'!$A$5:$A$504,D59)=0,"BELUM ADA",INDEX('MASTER BAHAN'!$B$5:$B$504,MATCH(D59,'MASTER BAHAN'!$A$5:$A$504,0))))</f>
        <v/>
      </c>
      <c r="F59" s="14"/>
      <c r="G59" s="18" t="str">
        <f aca="false">IF(D59="","",IF(COUNTIFS('MASTER BAHAN'!$A$5:$A$504,D59)=0,"BELUM ADA",INDEX('MASTER BAHAN'!$D$5:$D$504,MATCH(D59,'MASTER BAHAN'!$A$5:$A$504,0))))</f>
        <v/>
      </c>
      <c r="H59" s="17" t="str">
        <f aca="false">IF(D59="","",IF(COUNTIFS('MASTER BAHAN'!$A$5:$A$504,D59)=0,"BELUM ADA",INDEX('MASTER BAHAN'!$I$5:$I$504,MATCH(D59,'MASTER BAHAN'!$A$5:$A$504,0))))</f>
        <v/>
      </c>
      <c r="I59" s="19" t="str">
        <f aca="false">IF(A59="","",IF(OR(NOT(ISNUMBER(F59)),NOT(ISNUMBER(H59))),"BELUM LENGKAP",ROUND(F59*H59,0)))</f>
        <v/>
      </c>
      <c r="J59" s="19" t="str">
        <f aca="false">IF(A59="","",IF(COUNTIFS($A$5:$A$504,A59,$N$5:$N$504,"BELUM LENGKAP")&gt;0,"BELUM LENGKAP",SUMIFS($I$5:$I$504,$A$5:$A$504,A59)))</f>
        <v/>
      </c>
      <c r="K59" s="19" t="str">
        <f aca="false">IF(A59="","",IF(COUNTIFS('MASTER MENU'!$A$5:$A$504,A59)=0,"BELUM ADA",INDEX('MASTER MENU'!$F$5:$F$504,MATCH(A59,'MASTER MENU'!$A$5:$A$504,0))))</f>
        <v/>
      </c>
      <c r="L59" s="19" t="str">
        <f aca="false">IF(A59="","",IF(OR(NOT(ISNUMBER(J59)),NOT(ISNUMBER(K59))),"BELUM LENGKAP",K59-J59))</f>
        <v/>
      </c>
      <c r="M59" s="20" t="str">
        <f aca="false">IF(A59="","",IF(OR(NOT(ISNUMBER(L59)),K59=0),"BELUM LENGKAP",L59/K59))</f>
        <v/>
      </c>
      <c r="N59" s="18" t="str">
        <f aca="false">IF(A59="","",IF(OR(B59="BELUM ADA",E59="BELUM ADA",NOT(ISNUMBER(F59)),F59&lt;=0,NOT(ISNUMBER(H59)),NOT(ISNUMBER(K59))),"BELUM LENGKAP","LENGKAP"))</f>
        <v/>
      </c>
    </row>
    <row r="60" customFormat="false" ht="27" hidden="false" customHeight="true" outlineLevel="0" collapsed="false">
      <c r="A60" s="14"/>
      <c r="B60" s="18" t="str">
        <f aca="false">IF(A60="","",IF(COUNTIFS('MASTER MENU'!$A$5:$A$504,A60)=0,"BELUM ADA",INDEX('MASTER MENU'!$B$5:$B$504,MATCH(A60,'MASTER MENU'!$A$5:$A$504,0))))</f>
        <v/>
      </c>
      <c r="C60" s="18" t="str">
        <f aca="false">IF(A60="","",IF(COUNTIFS('MASTER MENU'!$A$5:$A$504,A60)=0,"BELUM ADA",INDEX('MASTER MENU'!$E$5:$E$504,MATCH(A60,'MASTER MENU'!$A$5:$A$504,0))))</f>
        <v/>
      </c>
      <c r="D60" s="14"/>
      <c r="E60" s="18" t="str">
        <f aca="false">IF(D60="","",IF(COUNTIFS('MASTER BAHAN'!$A$5:$A$504,D60)=0,"BELUM ADA",INDEX('MASTER BAHAN'!$B$5:$B$504,MATCH(D60,'MASTER BAHAN'!$A$5:$A$504,0))))</f>
        <v/>
      </c>
      <c r="F60" s="14"/>
      <c r="G60" s="18" t="str">
        <f aca="false">IF(D60="","",IF(COUNTIFS('MASTER BAHAN'!$A$5:$A$504,D60)=0,"BELUM ADA",INDEX('MASTER BAHAN'!$D$5:$D$504,MATCH(D60,'MASTER BAHAN'!$A$5:$A$504,0))))</f>
        <v/>
      </c>
      <c r="H60" s="17" t="str">
        <f aca="false">IF(D60="","",IF(COUNTIFS('MASTER BAHAN'!$A$5:$A$504,D60)=0,"BELUM ADA",INDEX('MASTER BAHAN'!$I$5:$I$504,MATCH(D60,'MASTER BAHAN'!$A$5:$A$504,0))))</f>
        <v/>
      </c>
      <c r="I60" s="19" t="str">
        <f aca="false">IF(A60="","",IF(OR(NOT(ISNUMBER(F60)),NOT(ISNUMBER(H60))),"BELUM LENGKAP",ROUND(F60*H60,0)))</f>
        <v/>
      </c>
      <c r="J60" s="19" t="str">
        <f aca="false">IF(A60="","",IF(COUNTIFS($A$5:$A$504,A60,$N$5:$N$504,"BELUM LENGKAP")&gt;0,"BELUM LENGKAP",SUMIFS($I$5:$I$504,$A$5:$A$504,A60)))</f>
        <v/>
      </c>
      <c r="K60" s="19" t="str">
        <f aca="false">IF(A60="","",IF(COUNTIFS('MASTER MENU'!$A$5:$A$504,A60)=0,"BELUM ADA",INDEX('MASTER MENU'!$F$5:$F$504,MATCH(A60,'MASTER MENU'!$A$5:$A$504,0))))</f>
        <v/>
      </c>
      <c r="L60" s="19" t="str">
        <f aca="false">IF(A60="","",IF(OR(NOT(ISNUMBER(J60)),NOT(ISNUMBER(K60))),"BELUM LENGKAP",K60-J60))</f>
        <v/>
      </c>
      <c r="M60" s="20" t="str">
        <f aca="false">IF(A60="","",IF(OR(NOT(ISNUMBER(L60)),K60=0),"BELUM LENGKAP",L60/K60))</f>
        <v/>
      </c>
      <c r="N60" s="18" t="str">
        <f aca="false">IF(A60="","",IF(OR(B60="BELUM ADA",E60="BELUM ADA",NOT(ISNUMBER(F60)),F60&lt;=0,NOT(ISNUMBER(H60)),NOT(ISNUMBER(K60))),"BELUM LENGKAP","LENGKAP"))</f>
        <v/>
      </c>
    </row>
    <row r="61" customFormat="false" ht="27" hidden="false" customHeight="true" outlineLevel="0" collapsed="false">
      <c r="A61" s="14"/>
      <c r="B61" s="18" t="str">
        <f aca="false">IF(A61="","",IF(COUNTIFS('MASTER MENU'!$A$5:$A$504,A61)=0,"BELUM ADA",INDEX('MASTER MENU'!$B$5:$B$504,MATCH(A61,'MASTER MENU'!$A$5:$A$504,0))))</f>
        <v/>
      </c>
      <c r="C61" s="18" t="str">
        <f aca="false">IF(A61="","",IF(COUNTIFS('MASTER MENU'!$A$5:$A$504,A61)=0,"BELUM ADA",INDEX('MASTER MENU'!$E$5:$E$504,MATCH(A61,'MASTER MENU'!$A$5:$A$504,0))))</f>
        <v/>
      </c>
      <c r="D61" s="14"/>
      <c r="E61" s="18" t="str">
        <f aca="false">IF(D61="","",IF(COUNTIFS('MASTER BAHAN'!$A$5:$A$504,D61)=0,"BELUM ADA",INDEX('MASTER BAHAN'!$B$5:$B$504,MATCH(D61,'MASTER BAHAN'!$A$5:$A$504,0))))</f>
        <v/>
      </c>
      <c r="F61" s="14"/>
      <c r="G61" s="18" t="str">
        <f aca="false">IF(D61="","",IF(COUNTIFS('MASTER BAHAN'!$A$5:$A$504,D61)=0,"BELUM ADA",INDEX('MASTER BAHAN'!$D$5:$D$504,MATCH(D61,'MASTER BAHAN'!$A$5:$A$504,0))))</f>
        <v/>
      </c>
      <c r="H61" s="17" t="str">
        <f aca="false">IF(D61="","",IF(COUNTIFS('MASTER BAHAN'!$A$5:$A$504,D61)=0,"BELUM ADA",INDEX('MASTER BAHAN'!$I$5:$I$504,MATCH(D61,'MASTER BAHAN'!$A$5:$A$504,0))))</f>
        <v/>
      </c>
      <c r="I61" s="19" t="str">
        <f aca="false">IF(A61="","",IF(OR(NOT(ISNUMBER(F61)),NOT(ISNUMBER(H61))),"BELUM LENGKAP",ROUND(F61*H61,0)))</f>
        <v/>
      </c>
      <c r="J61" s="19" t="str">
        <f aca="false">IF(A61="","",IF(COUNTIFS($A$5:$A$504,A61,$N$5:$N$504,"BELUM LENGKAP")&gt;0,"BELUM LENGKAP",SUMIFS($I$5:$I$504,$A$5:$A$504,A61)))</f>
        <v/>
      </c>
      <c r="K61" s="19" t="str">
        <f aca="false">IF(A61="","",IF(COUNTIFS('MASTER MENU'!$A$5:$A$504,A61)=0,"BELUM ADA",INDEX('MASTER MENU'!$F$5:$F$504,MATCH(A61,'MASTER MENU'!$A$5:$A$504,0))))</f>
        <v/>
      </c>
      <c r="L61" s="19" t="str">
        <f aca="false">IF(A61="","",IF(OR(NOT(ISNUMBER(J61)),NOT(ISNUMBER(K61))),"BELUM LENGKAP",K61-J61))</f>
        <v/>
      </c>
      <c r="M61" s="20" t="str">
        <f aca="false">IF(A61="","",IF(OR(NOT(ISNUMBER(L61)),K61=0),"BELUM LENGKAP",L61/K61))</f>
        <v/>
      </c>
      <c r="N61" s="18" t="str">
        <f aca="false">IF(A61="","",IF(OR(B61="BELUM ADA",E61="BELUM ADA",NOT(ISNUMBER(F61)),F61&lt;=0,NOT(ISNUMBER(H61)),NOT(ISNUMBER(K61))),"BELUM LENGKAP","LENGKAP"))</f>
        <v/>
      </c>
    </row>
    <row r="62" customFormat="false" ht="27" hidden="false" customHeight="true" outlineLevel="0" collapsed="false">
      <c r="A62" s="14"/>
      <c r="B62" s="18" t="str">
        <f aca="false">IF(A62="","",IF(COUNTIFS('MASTER MENU'!$A$5:$A$504,A62)=0,"BELUM ADA",INDEX('MASTER MENU'!$B$5:$B$504,MATCH(A62,'MASTER MENU'!$A$5:$A$504,0))))</f>
        <v/>
      </c>
      <c r="C62" s="18" t="str">
        <f aca="false">IF(A62="","",IF(COUNTIFS('MASTER MENU'!$A$5:$A$504,A62)=0,"BELUM ADA",INDEX('MASTER MENU'!$E$5:$E$504,MATCH(A62,'MASTER MENU'!$A$5:$A$504,0))))</f>
        <v/>
      </c>
      <c r="D62" s="14"/>
      <c r="E62" s="18" t="str">
        <f aca="false">IF(D62="","",IF(COUNTIFS('MASTER BAHAN'!$A$5:$A$504,D62)=0,"BELUM ADA",INDEX('MASTER BAHAN'!$B$5:$B$504,MATCH(D62,'MASTER BAHAN'!$A$5:$A$504,0))))</f>
        <v/>
      </c>
      <c r="F62" s="14"/>
      <c r="G62" s="18" t="str">
        <f aca="false">IF(D62="","",IF(COUNTIFS('MASTER BAHAN'!$A$5:$A$504,D62)=0,"BELUM ADA",INDEX('MASTER BAHAN'!$D$5:$D$504,MATCH(D62,'MASTER BAHAN'!$A$5:$A$504,0))))</f>
        <v/>
      </c>
      <c r="H62" s="17" t="str">
        <f aca="false">IF(D62="","",IF(COUNTIFS('MASTER BAHAN'!$A$5:$A$504,D62)=0,"BELUM ADA",INDEX('MASTER BAHAN'!$I$5:$I$504,MATCH(D62,'MASTER BAHAN'!$A$5:$A$504,0))))</f>
        <v/>
      </c>
      <c r="I62" s="19" t="str">
        <f aca="false">IF(A62="","",IF(OR(NOT(ISNUMBER(F62)),NOT(ISNUMBER(H62))),"BELUM LENGKAP",ROUND(F62*H62,0)))</f>
        <v/>
      </c>
      <c r="J62" s="19" t="str">
        <f aca="false">IF(A62="","",IF(COUNTIFS($A$5:$A$504,A62,$N$5:$N$504,"BELUM LENGKAP")&gt;0,"BELUM LENGKAP",SUMIFS($I$5:$I$504,$A$5:$A$504,A62)))</f>
        <v/>
      </c>
      <c r="K62" s="19" t="str">
        <f aca="false">IF(A62="","",IF(COUNTIFS('MASTER MENU'!$A$5:$A$504,A62)=0,"BELUM ADA",INDEX('MASTER MENU'!$F$5:$F$504,MATCH(A62,'MASTER MENU'!$A$5:$A$504,0))))</f>
        <v/>
      </c>
      <c r="L62" s="19" t="str">
        <f aca="false">IF(A62="","",IF(OR(NOT(ISNUMBER(J62)),NOT(ISNUMBER(K62))),"BELUM LENGKAP",K62-J62))</f>
        <v/>
      </c>
      <c r="M62" s="20" t="str">
        <f aca="false">IF(A62="","",IF(OR(NOT(ISNUMBER(L62)),K62=0),"BELUM LENGKAP",L62/K62))</f>
        <v/>
      </c>
      <c r="N62" s="18" t="str">
        <f aca="false">IF(A62="","",IF(OR(B62="BELUM ADA",E62="BELUM ADA",NOT(ISNUMBER(F62)),F62&lt;=0,NOT(ISNUMBER(H62)),NOT(ISNUMBER(K62))),"BELUM LENGKAP","LENGKAP"))</f>
        <v/>
      </c>
    </row>
    <row r="63" customFormat="false" ht="27" hidden="false" customHeight="true" outlineLevel="0" collapsed="false">
      <c r="A63" s="14"/>
      <c r="B63" s="18" t="str">
        <f aca="false">IF(A63="","",IF(COUNTIFS('MASTER MENU'!$A$5:$A$504,A63)=0,"BELUM ADA",INDEX('MASTER MENU'!$B$5:$B$504,MATCH(A63,'MASTER MENU'!$A$5:$A$504,0))))</f>
        <v/>
      </c>
      <c r="C63" s="18" t="str">
        <f aca="false">IF(A63="","",IF(COUNTIFS('MASTER MENU'!$A$5:$A$504,A63)=0,"BELUM ADA",INDEX('MASTER MENU'!$E$5:$E$504,MATCH(A63,'MASTER MENU'!$A$5:$A$504,0))))</f>
        <v/>
      </c>
      <c r="D63" s="14"/>
      <c r="E63" s="18" t="str">
        <f aca="false">IF(D63="","",IF(COUNTIFS('MASTER BAHAN'!$A$5:$A$504,D63)=0,"BELUM ADA",INDEX('MASTER BAHAN'!$B$5:$B$504,MATCH(D63,'MASTER BAHAN'!$A$5:$A$504,0))))</f>
        <v/>
      </c>
      <c r="F63" s="14"/>
      <c r="G63" s="18" t="str">
        <f aca="false">IF(D63="","",IF(COUNTIFS('MASTER BAHAN'!$A$5:$A$504,D63)=0,"BELUM ADA",INDEX('MASTER BAHAN'!$D$5:$D$504,MATCH(D63,'MASTER BAHAN'!$A$5:$A$504,0))))</f>
        <v/>
      </c>
      <c r="H63" s="17" t="str">
        <f aca="false">IF(D63="","",IF(COUNTIFS('MASTER BAHAN'!$A$5:$A$504,D63)=0,"BELUM ADA",INDEX('MASTER BAHAN'!$I$5:$I$504,MATCH(D63,'MASTER BAHAN'!$A$5:$A$504,0))))</f>
        <v/>
      </c>
      <c r="I63" s="19" t="str">
        <f aca="false">IF(A63="","",IF(OR(NOT(ISNUMBER(F63)),NOT(ISNUMBER(H63))),"BELUM LENGKAP",ROUND(F63*H63,0)))</f>
        <v/>
      </c>
      <c r="J63" s="19" t="str">
        <f aca="false">IF(A63="","",IF(COUNTIFS($A$5:$A$504,A63,$N$5:$N$504,"BELUM LENGKAP")&gt;0,"BELUM LENGKAP",SUMIFS($I$5:$I$504,$A$5:$A$504,A63)))</f>
        <v/>
      </c>
      <c r="K63" s="19" t="str">
        <f aca="false">IF(A63="","",IF(COUNTIFS('MASTER MENU'!$A$5:$A$504,A63)=0,"BELUM ADA",INDEX('MASTER MENU'!$F$5:$F$504,MATCH(A63,'MASTER MENU'!$A$5:$A$504,0))))</f>
        <v/>
      </c>
      <c r="L63" s="19" t="str">
        <f aca="false">IF(A63="","",IF(OR(NOT(ISNUMBER(J63)),NOT(ISNUMBER(K63))),"BELUM LENGKAP",K63-J63))</f>
        <v/>
      </c>
      <c r="M63" s="20" t="str">
        <f aca="false">IF(A63="","",IF(OR(NOT(ISNUMBER(L63)),K63=0),"BELUM LENGKAP",L63/K63))</f>
        <v/>
      </c>
      <c r="N63" s="18" t="str">
        <f aca="false">IF(A63="","",IF(OR(B63="BELUM ADA",E63="BELUM ADA",NOT(ISNUMBER(F63)),F63&lt;=0,NOT(ISNUMBER(H63)),NOT(ISNUMBER(K63))),"BELUM LENGKAP","LENGKAP"))</f>
        <v/>
      </c>
    </row>
    <row r="64" customFormat="false" ht="27" hidden="false" customHeight="true" outlineLevel="0" collapsed="false">
      <c r="A64" s="14"/>
      <c r="B64" s="18" t="str">
        <f aca="false">IF(A64="","",IF(COUNTIFS('MASTER MENU'!$A$5:$A$504,A64)=0,"BELUM ADA",INDEX('MASTER MENU'!$B$5:$B$504,MATCH(A64,'MASTER MENU'!$A$5:$A$504,0))))</f>
        <v/>
      </c>
      <c r="C64" s="18" t="str">
        <f aca="false">IF(A64="","",IF(COUNTIFS('MASTER MENU'!$A$5:$A$504,A64)=0,"BELUM ADA",INDEX('MASTER MENU'!$E$5:$E$504,MATCH(A64,'MASTER MENU'!$A$5:$A$504,0))))</f>
        <v/>
      </c>
      <c r="D64" s="14"/>
      <c r="E64" s="18" t="str">
        <f aca="false">IF(D64="","",IF(COUNTIFS('MASTER BAHAN'!$A$5:$A$504,D64)=0,"BELUM ADA",INDEX('MASTER BAHAN'!$B$5:$B$504,MATCH(D64,'MASTER BAHAN'!$A$5:$A$504,0))))</f>
        <v/>
      </c>
      <c r="F64" s="14"/>
      <c r="G64" s="18" t="str">
        <f aca="false">IF(D64="","",IF(COUNTIFS('MASTER BAHAN'!$A$5:$A$504,D64)=0,"BELUM ADA",INDEX('MASTER BAHAN'!$D$5:$D$504,MATCH(D64,'MASTER BAHAN'!$A$5:$A$504,0))))</f>
        <v/>
      </c>
      <c r="H64" s="17" t="str">
        <f aca="false">IF(D64="","",IF(COUNTIFS('MASTER BAHAN'!$A$5:$A$504,D64)=0,"BELUM ADA",INDEX('MASTER BAHAN'!$I$5:$I$504,MATCH(D64,'MASTER BAHAN'!$A$5:$A$504,0))))</f>
        <v/>
      </c>
      <c r="I64" s="19" t="str">
        <f aca="false">IF(A64="","",IF(OR(NOT(ISNUMBER(F64)),NOT(ISNUMBER(H64))),"BELUM LENGKAP",ROUND(F64*H64,0)))</f>
        <v/>
      </c>
      <c r="J64" s="19" t="str">
        <f aca="false">IF(A64="","",IF(COUNTIFS($A$5:$A$504,A64,$N$5:$N$504,"BELUM LENGKAP")&gt;0,"BELUM LENGKAP",SUMIFS($I$5:$I$504,$A$5:$A$504,A64)))</f>
        <v/>
      </c>
      <c r="K64" s="19" t="str">
        <f aca="false">IF(A64="","",IF(COUNTIFS('MASTER MENU'!$A$5:$A$504,A64)=0,"BELUM ADA",INDEX('MASTER MENU'!$F$5:$F$504,MATCH(A64,'MASTER MENU'!$A$5:$A$504,0))))</f>
        <v/>
      </c>
      <c r="L64" s="19" t="str">
        <f aca="false">IF(A64="","",IF(OR(NOT(ISNUMBER(J64)),NOT(ISNUMBER(K64))),"BELUM LENGKAP",K64-J64))</f>
        <v/>
      </c>
      <c r="M64" s="20" t="str">
        <f aca="false">IF(A64="","",IF(OR(NOT(ISNUMBER(L64)),K64=0),"BELUM LENGKAP",L64/K64))</f>
        <v/>
      </c>
      <c r="N64" s="18" t="str">
        <f aca="false">IF(A64="","",IF(OR(B64="BELUM ADA",E64="BELUM ADA",NOT(ISNUMBER(F64)),F64&lt;=0,NOT(ISNUMBER(H64)),NOT(ISNUMBER(K64))),"BELUM LENGKAP","LENGKAP"))</f>
        <v/>
      </c>
    </row>
  </sheetData>
  <conditionalFormatting sqref="N5:N64">
    <cfRule type="containsText" priority="2" operator="containsText" aboveAverage="0" equalAverage="0" bottom="0" percent="0" rank="0" text="BELUM LENGKAP" dxfId="11">
      <formula>NOT(ISERROR(SEARCH("BELUM LENGKAP",N5)))</formula>
    </cfRule>
    <cfRule type="containsText" priority="3" operator="containsText" aboveAverage="0" equalAverage="0" bottom="0" percent="0" rank="0" text="BELUM LENGKAP" dxfId="12">
      <formula>NOT(ISERROR(SEARCH("BELUM LENGKAP",N5)))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7"/>
    <col collapsed="false" customWidth="true" hidden="false" outlineLevel="0" max="3" min="3" style="0" width="30"/>
    <col collapsed="false" customWidth="true" hidden="false" outlineLevel="0" max="5" min="4" style="0" width="21"/>
    <col collapsed="false" customWidth="true" hidden="false" outlineLevel="0" max="6" min="6" style="0" width="30"/>
    <col collapsed="false" customWidth="true" hidden="false" outlineLevel="0" max="8" min="7" style="0" width="18"/>
    <col collapsed="false" customWidth="true" hidden="false" outlineLevel="0" max="10" min="9" style="0" width="21"/>
    <col collapsed="false" customWidth="true" hidden="false" outlineLevel="0" max="11" min="11" style="0" width="18"/>
    <col collapsed="false" customWidth="true" hidden="false" outlineLevel="0" max="12" min="12" style="0" width="42"/>
    <col collapsed="false" customWidth="true" hidden="false" outlineLevel="0" max="14" min="13" style="0" width="13"/>
  </cols>
  <sheetData>
    <row r="1" customFormat="false" ht="38" hidden="false" customHeight="true" outlineLevel="0" collapsed="false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29" hidden="false" customHeight="true" outlineLevel="0" collapsed="false">
      <c r="A2" s="9" t="s">
        <v>172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173</v>
      </c>
      <c r="B4" s="13" t="s">
        <v>174</v>
      </c>
      <c r="C4" s="13" t="s">
        <v>126</v>
      </c>
      <c r="D4" s="13" t="s">
        <v>175</v>
      </c>
      <c r="E4" s="13" t="s">
        <v>117</v>
      </c>
      <c r="F4" s="13" t="s">
        <v>118</v>
      </c>
      <c r="G4" s="13" t="s">
        <v>176</v>
      </c>
      <c r="H4" s="13" t="s">
        <v>164</v>
      </c>
      <c r="I4" s="13" t="s">
        <v>123</v>
      </c>
      <c r="J4" s="13" t="s">
        <v>177</v>
      </c>
      <c r="K4" s="13" t="s">
        <v>178</v>
      </c>
      <c r="L4" s="13" t="s">
        <v>79</v>
      </c>
      <c r="M4" s="21" t="s">
        <v>179</v>
      </c>
      <c r="N4" s="21" t="s">
        <v>180</v>
      </c>
    </row>
    <row r="5" customFormat="false" ht="27" hidden="false" customHeight="true" outlineLevel="0" collapsed="false">
      <c r="A5" s="14" t="s">
        <v>181</v>
      </c>
      <c r="B5" s="22" t="n">
        <v>46325.3333333333</v>
      </c>
      <c r="C5" s="14" t="s">
        <v>131</v>
      </c>
      <c r="D5" s="14" t="s">
        <v>182</v>
      </c>
      <c r="E5" s="14" t="s">
        <v>128</v>
      </c>
      <c r="F5" s="18" t="str">
        <f aca="false">IF(E5="","",IF(COUNTIFS('MASTER BAHAN'!$A$5:$A$504,E5)=0,"BELUM ADA",INDEX('MASTER BAHAN'!$B$5:$B$504,MATCH(E5,'MASTER BAHAN'!$A$5:$A$504,0))))</f>
        <v>Biji kopi</v>
      </c>
      <c r="G5" s="14" t="n">
        <v>100</v>
      </c>
      <c r="H5" s="18" t="str">
        <f aca="false">IF(E5="","",IF(COUNTIFS('MASTER BAHAN'!$A$5:$A$504,E5)=0,"BELUM ADA",INDEX('MASTER BAHAN'!$D$5:$D$504,MATCH(E5,'MASTER BAHAN'!$A$5:$A$504,0))))</f>
        <v>gram</v>
      </c>
      <c r="I5" s="23" t="n">
        <v>15000</v>
      </c>
      <c r="J5" s="19" t="n">
        <f aca="false">IF(A5="","",IF(OR(NOT(ISNUMBER(G5)),NOT(ISNUMBER(I5))),"BELUM LENGKAP",ROUND(G5*I5,0)))</f>
        <v>1500000</v>
      </c>
      <c r="K5" s="14" t="s">
        <v>183</v>
      </c>
      <c r="L5" s="14" t="s">
        <v>184</v>
      </c>
      <c r="M5" s="24" t="n">
        <f aca="false">IF(A5="","",COUNTIF($A$5:A5,A5))</f>
        <v>1</v>
      </c>
      <c r="N5" s="24" t="str">
        <f aca="false">IF(A5="","",A5&amp;"|"&amp;M5)</f>
        <v>CONTOH-S1|1</v>
      </c>
    </row>
    <row r="6" customFormat="false" ht="27" hidden="false" customHeight="true" outlineLevel="0" collapsed="false">
      <c r="A6" s="14" t="s">
        <v>185</v>
      </c>
      <c r="B6" s="22" t="n">
        <v>46325.3333333333</v>
      </c>
      <c r="C6" s="14" t="s">
        <v>131</v>
      </c>
      <c r="D6" s="14" t="s">
        <v>186</v>
      </c>
      <c r="E6" s="14" t="s">
        <v>132</v>
      </c>
      <c r="F6" s="18" t="str">
        <f aca="false">IF(E6="","",IF(COUNTIFS('MASTER BAHAN'!$A$5:$A$504,E6)=0,"BELUM ADA",INDEX('MASTER BAHAN'!$B$5:$B$504,MATCH(E6,'MASTER BAHAN'!$A$5:$A$504,0))))</f>
        <v>Susu UHT</v>
      </c>
      <c r="G6" s="14" t="n">
        <v>100</v>
      </c>
      <c r="H6" s="18" t="str">
        <f aca="false">IF(E6="","",IF(COUNTIFS('MASTER BAHAN'!$A$5:$A$504,E6)=0,"BELUM ADA",INDEX('MASTER BAHAN'!$D$5:$D$504,MATCH(E6,'MASTER BAHAN'!$A$5:$A$504,0))))</f>
        <v>ml</v>
      </c>
      <c r="I6" s="23" t="n">
        <v>2400</v>
      </c>
      <c r="J6" s="19" t="n">
        <f aca="false">IF(A6="","",IF(OR(NOT(ISNUMBER(G6)),NOT(ISNUMBER(I6))),"BELUM LENGKAP",ROUND(G6*I6,0)))</f>
        <v>240000</v>
      </c>
      <c r="K6" s="14" t="s">
        <v>183</v>
      </c>
      <c r="L6" s="14" t="s">
        <v>184</v>
      </c>
      <c r="M6" s="24" t="n">
        <f aca="false">IF(A6="","",COUNTIF($A$5:A6,A6))</f>
        <v>1</v>
      </c>
      <c r="N6" s="24" t="str">
        <f aca="false">IF(A6="","",A6&amp;"|"&amp;M6)</f>
        <v>CONTOH-S2|1</v>
      </c>
    </row>
    <row r="7" customFormat="false" ht="27" hidden="false" customHeight="true" outlineLevel="0" collapsed="false">
      <c r="A7" s="14" t="s">
        <v>187</v>
      </c>
      <c r="B7" s="22" t="n">
        <v>46325.3333333333</v>
      </c>
      <c r="C7" s="14" t="s">
        <v>131</v>
      </c>
      <c r="D7" s="14" t="s">
        <v>188</v>
      </c>
      <c r="E7" s="14" t="s">
        <v>136</v>
      </c>
      <c r="F7" s="18" t="str">
        <f aca="false">IF(E7="","",IF(COUNTIFS('MASTER BAHAN'!$A$5:$A$504,E7)=0,"BELUM ADA",INDEX('MASTER BAHAN'!$B$5:$B$504,MATCH(E7,'MASTER BAHAN'!$A$5:$A$504,0))))</f>
        <v>Gula aren</v>
      </c>
      <c r="G7" s="14" t="n">
        <v>100</v>
      </c>
      <c r="H7" s="18" t="str">
        <f aca="false">IF(E7="","",IF(COUNTIFS('MASTER BAHAN'!$A$5:$A$504,E7)=0,"BELUM ADA",INDEX('MASTER BAHAN'!$D$5:$D$504,MATCH(E7,'MASTER BAHAN'!$A$5:$A$504,0))))</f>
        <v>ml</v>
      </c>
      <c r="I7" s="23" t="n">
        <v>4000</v>
      </c>
      <c r="J7" s="19" t="n">
        <f aca="false">IF(A7="","",IF(OR(NOT(ISNUMBER(G7)),NOT(ISNUMBER(I7))),"BELUM LENGKAP",ROUND(G7*I7,0)))</f>
        <v>400000</v>
      </c>
      <c r="K7" s="14" t="s">
        <v>183</v>
      </c>
      <c r="L7" s="14" t="s">
        <v>184</v>
      </c>
      <c r="M7" s="24" t="n">
        <f aca="false">IF(A7="","",COUNTIF($A$5:A7,A7))</f>
        <v>1</v>
      </c>
      <c r="N7" s="24" t="str">
        <f aca="false">IF(A7="","",A7&amp;"|"&amp;M7)</f>
        <v>CONTOH-S3|1</v>
      </c>
    </row>
    <row r="8" customFormat="false" ht="27" hidden="false" customHeight="true" outlineLevel="0" collapsed="false">
      <c r="A8" s="14" t="s">
        <v>189</v>
      </c>
      <c r="B8" s="22" t="n">
        <v>46325.3333333333</v>
      </c>
      <c r="C8" s="14" t="s">
        <v>131</v>
      </c>
      <c r="D8" s="14" t="s">
        <v>190</v>
      </c>
      <c r="E8" s="14" t="s">
        <v>139</v>
      </c>
      <c r="F8" s="18" t="str">
        <f aca="false">IF(E8="","",IF(COUNTIFS('MASTER BAHAN'!$A$5:$A$504,E8)=0,"BELUM ADA",INDEX('MASTER BAHAN'!$B$5:$B$504,MATCH(E8,'MASTER BAHAN'!$A$5:$A$504,0))))</f>
        <v>Air mineral</v>
      </c>
      <c r="G8" s="14" t="n">
        <v>100</v>
      </c>
      <c r="H8" s="18" t="str">
        <f aca="false">IF(E8="","",IF(COUNTIFS('MASTER BAHAN'!$A$5:$A$504,E8)=0,"BELUM ADA",INDEX('MASTER BAHAN'!$D$5:$D$504,MATCH(E8,'MASTER BAHAN'!$A$5:$A$504,0))))</f>
        <v>ml</v>
      </c>
      <c r="I8" s="23" t="n">
        <v>80</v>
      </c>
      <c r="J8" s="19" t="n">
        <f aca="false">IF(A8="","",IF(OR(NOT(ISNUMBER(G8)),NOT(ISNUMBER(I8))),"BELUM LENGKAP",ROUND(G8*I8,0)))</f>
        <v>8000</v>
      </c>
      <c r="K8" s="14" t="s">
        <v>183</v>
      </c>
      <c r="L8" s="14" t="s">
        <v>184</v>
      </c>
      <c r="M8" s="24" t="n">
        <f aca="false">IF(A8="","",COUNTIF($A$5:A8,A8))</f>
        <v>1</v>
      </c>
      <c r="N8" s="24" t="str">
        <f aca="false">IF(A8="","",A8&amp;"|"&amp;M8)</f>
        <v>CONTOH-S4|1</v>
      </c>
    </row>
    <row r="9" customFormat="false" ht="27" hidden="false" customHeight="true" outlineLevel="0" collapsed="false">
      <c r="A9" s="14" t="s">
        <v>191</v>
      </c>
      <c r="B9" s="22" t="n">
        <v>46325.3333333333</v>
      </c>
      <c r="C9" s="14" t="s">
        <v>131</v>
      </c>
      <c r="D9" s="14" t="s">
        <v>192</v>
      </c>
      <c r="E9" s="14" t="s">
        <v>142</v>
      </c>
      <c r="F9" s="18" t="str">
        <f aca="false">IF(E9="","",IF(COUNTIFS('MASTER BAHAN'!$A$5:$A$504,E9)=0,"BELUM ADA",INDEX('MASTER BAHAN'!$B$5:$B$504,MATCH(E9,'MASTER BAHAN'!$A$5:$A$504,0))))</f>
        <v>Bubuk matcha</v>
      </c>
      <c r="G9" s="14" t="n">
        <v>100</v>
      </c>
      <c r="H9" s="18" t="str">
        <f aca="false">IF(E9="","",IF(COUNTIFS('MASTER BAHAN'!$A$5:$A$504,E9)=0,"BELUM ADA",INDEX('MASTER BAHAN'!$D$5:$D$504,MATCH(E9,'MASTER BAHAN'!$A$5:$A$504,0))))</f>
        <v>gram</v>
      </c>
      <c r="I9" s="23" t="n">
        <v>22000</v>
      </c>
      <c r="J9" s="19" t="n">
        <f aca="false">IF(A9="","",IF(OR(NOT(ISNUMBER(G9)),NOT(ISNUMBER(I9))),"BELUM LENGKAP",ROUND(G9*I9,0)))</f>
        <v>2200000</v>
      </c>
      <c r="K9" s="14" t="s">
        <v>183</v>
      </c>
      <c r="L9" s="14" t="s">
        <v>184</v>
      </c>
      <c r="M9" s="24" t="n">
        <f aca="false">IF(A9="","",COUNTIF($A$5:A9,A9))</f>
        <v>1</v>
      </c>
      <c r="N9" s="24" t="str">
        <f aca="false">IF(A9="","",A9&amp;"|"&amp;M9)</f>
        <v>CONTOH-S5|1</v>
      </c>
    </row>
    <row r="10" customFormat="false" ht="27" hidden="false" customHeight="true" outlineLevel="0" collapsed="false">
      <c r="A10" s="14" t="s">
        <v>193</v>
      </c>
      <c r="B10" s="22" t="n">
        <v>46325.3333333333</v>
      </c>
      <c r="C10" s="14" t="s">
        <v>131</v>
      </c>
      <c r="D10" s="14" t="s">
        <v>194</v>
      </c>
      <c r="E10" s="14" t="s">
        <v>145</v>
      </c>
      <c r="F10" s="18" t="str">
        <f aca="false">IF(E10="","",IF(COUNTIFS('MASTER BAHAN'!$A$5:$A$504,E10)=0,"BELUM ADA",INDEX('MASTER BAHAN'!$B$5:$B$504,MATCH(E10,'MASTER BAHAN'!$A$5:$A$504,0))))</f>
        <v>Teh celup</v>
      </c>
      <c r="G10" s="14" t="n">
        <v>100</v>
      </c>
      <c r="H10" s="18" t="str">
        <f aca="false">IF(E10="","",IF(COUNTIFS('MASTER BAHAN'!$A$5:$A$504,E10)=0,"BELUM ADA",INDEX('MASTER BAHAN'!$D$5:$D$504,MATCH(E10,'MASTER BAHAN'!$A$5:$A$504,0))))</f>
        <v>pcs</v>
      </c>
      <c r="I10" s="23" t="n">
        <v>40000</v>
      </c>
      <c r="J10" s="19" t="n">
        <f aca="false">IF(A10="","",IF(OR(NOT(ISNUMBER(G10)),NOT(ISNUMBER(I10))),"BELUM LENGKAP",ROUND(G10*I10,0)))</f>
        <v>4000000</v>
      </c>
      <c r="K10" s="14" t="s">
        <v>183</v>
      </c>
      <c r="L10" s="14" t="s">
        <v>184</v>
      </c>
      <c r="M10" s="24" t="n">
        <f aca="false">IF(A10="","",COUNTIF($A$5:A10,A10))</f>
        <v>1</v>
      </c>
      <c r="N10" s="24" t="str">
        <f aca="false">IF(A10="","",A10&amp;"|"&amp;M10)</f>
        <v>CONTOH-S6|1</v>
      </c>
    </row>
    <row r="11" customFormat="false" ht="27" hidden="false" customHeight="true" outlineLevel="0" collapsed="false">
      <c r="A11" s="14" t="s">
        <v>195</v>
      </c>
      <c r="B11" s="22" t="n">
        <v>46325.3333333333</v>
      </c>
      <c r="C11" s="14" t="s">
        <v>131</v>
      </c>
      <c r="D11" s="14" t="s">
        <v>196</v>
      </c>
      <c r="E11" s="14" t="s">
        <v>148</v>
      </c>
      <c r="F11" s="18" t="str">
        <f aca="false">IF(E11="","",IF(COUNTIFS('MASTER BAHAN'!$A$5:$A$504,E11)=0,"BELUM ADA",INDEX('MASTER BAHAN'!$B$5:$B$504,MATCH(E11,'MASTER BAHAN'!$A$5:$A$504,0))))</f>
        <v>Lemon</v>
      </c>
      <c r="G11" s="14" t="n">
        <v>100</v>
      </c>
      <c r="H11" s="18" t="str">
        <f aca="false">IF(E11="","",IF(COUNTIFS('MASTER BAHAN'!$A$5:$A$504,E11)=0,"BELUM ADA",INDEX('MASTER BAHAN'!$D$5:$D$504,MATCH(E11,'MASTER BAHAN'!$A$5:$A$504,0))))</f>
        <v>gram</v>
      </c>
      <c r="I11" s="23" t="n">
        <v>3000</v>
      </c>
      <c r="J11" s="19" t="n">
        <f aca="false">IF(A11="","",IF(OR(NOT(ISNUMBER(G11)),NOT(ISNUMBER(I11))),"BELUM LENGKAP",ROUND(G11*I11,0)))</f>
        <v>300000</v>
      </c>
      <c r="K11" s="14" t="s">
        <v>183</v>
      </c>
      <c r="L11" s="14" t="s">
        <v>184</v>
      </c>
      <c r="M11" s="24" t="n">
        <f aca="false">IF(A11="","",COUNTIF($A$5:A11,A11))</f>
        <v>1</v>
      </c>
      <c r="N11" s="24" t="str">
        <f aca="false">IF(A11="","",A11&amp;"|"&amp;M11)</f>
        <v>CONTOH-S7|1</v>
      </c>
    </row>
    <row r="12" customFormat="false" ht="27" hidden="false" customHeight="true" outlineLevel="0" collapsed="false">
      <c r="A12" s="14" t="s">
        <v>197</v>
      </c>
      <c r="B12" s="22" t="n">
        <v>46325.3333333333</v>
      </c>
      <c r="C12" s="14" t="s">
        <v>131</v>
      </c>
      <c r="D12" s="14" t="s">
        <v>198</v>
      </c>
      <c r="E12" s="14" t="s">
        <v>151</v>
      </c>
      <c r="F12" s="18" t="str">
        <f aca="false">IF(E12="","",IF(COUNTIFS('MASTER BAHAN'!$A$5:$A$504,E12)=0,"BELUM ADA",INDEX('MASTER BAHAN'!$B$5:$B$504,MATCH(E12,'MASTER BAHAN'!$A$5:$A$504,0))))</f>
        <v>Croissant beku</v>
      </c>
      <c r="G12" s="14" t="n">
        <v>100</v>
      </c>
      <c r="H12" s="18" t="str">
        <f aca="false">IF(E12="","",IF(COUNTIFS('MASTER BAHAN'!$A$5:$A$504,E12)=0,"BELUM ADA",INDEX('MASTER BAHAN'!$D$5:$D$504,MATCH(E12,'MASTER BAHAN'!$A$5:$A$504,0))))</f>
        <v>pcs</v>
      </c>
      <c r="I12" s="23" t="n">
        <v>750000</v>
      </c>
      <c r="J12" s="19" t="n">
        <f aca="false">IF(A12="","",IF(OR(NOT(ISNUMBER(G12)),NOT(ISNUMBER(I12))),"BELUM LENGKAP",ROUND(G12*I12,0)))</f>
        <v>75000000</v>
      </c>
      <c r="K12" s="14" t="s">
        <v>183</v>
      </c>
      <c r="L12" s="14" t="s">
        <v>184</v>
      </c>
      <c r="M12" s="24" t="n">
        <f aca="false">IF(A12="","",COUNTIF($A$5:A12,A12))</f>
        <v>1</v>
      </c>
      <c r="N12" s="24" t="str">
        <f aca="false">IF(A12="","",A12&amp;"|"&amp;M12)</f>
        <v>CONTOH-S8|1</v>
      </c>
    </row>
    <row r="13" customFormat="false" ht="27" hidden="false" customHeight="true" outlineLevel="0" collapsed="false">
      <c r="A13" s="14" t="s">
        <v>199</v>
      </c>
      <c r="B13" s="22" t="n">
        <v>46325.3333333333</v>
      </c>
      <c r="C13" s="14" t="s">
        <v>131</v>
      </c>
      <c r="D13" s="14" t="s">
        <v>200</v>
      </c>
      <c r="E13" s="14" t="s">
        <v>153</v>
      </c>
      <c r="F13" s="18" t="str">
        <f aca="false">IF(E13="","",IF(COUNTIFS('MASTER BAHAN'!$A$5:$A$504,E13)=0,"BELUM ADA",INDEX('MASTER BAHAN'!$B$5:$B$504,MATCH(E13,'MASTER BAHAN'!$A$5:$A$504,0))))</f>
        <v>Beras</v>
      </c>
      <c r="G13" s="14" t="n">
        <v>100</v>
      </c>
      <c r="H13" s="18" t="str">
        <f aca="false">IF(E13="","",IF(COUNTIFS('MASTER BAHAN'!$A$5:$A$504,E13)=0,"BELUM ADA",INDEX('MASTER BAHAN'!$D$5:$D$504,MATCH(E13,'MASTER BAHAN'!$A$5:$A$504,0))))</f>
        <v>gram</v>
      </c>
      <c r="I13" s="23" t="n">
        <v>1700</v>
      </c>
      <c r="J13" s="19" t="n">
        <f aca="false">IF(A13="","",IF(OR(NOT(ISNUMBER(G13)),NOT(ISNUMBER(I13))),"BELUM LENGKAP",ROUND(G13*I13,0)))</f>
        <v>170000</v>
      </c>
      <c r="K13" s="14" t="s">
        <v>183</v>
      </c>
      <c r="L13" s="14" t="s">
        <v>184</v>
      </c>
      <c r="M13" s="24" t="n">
        <f aca="false">IF(A13="","",COUNTIF($A$5:A13,A13))</f>
        <v>1</v>
      </c>
      <c r="N13" s="24" t="str">
        <f aca="false">IF(A13="","",A13&amp;"|"&amp;M13)</f>
        <v>CONTOH-S9|1</v>
      </c>
    </row>
    <row r="14" customFormat="false" ht="27" hidden="false" customHeight="true" outlineLevel="0" collapsed="false">
      <c r="A14" s="14" t="s">
        <v>201</v>
      </c>
      <c r="B14" s="22" t="n">
        <v>46325.3333333333</v>
      </c>
      <c r="C14" s="14" t="s">
        <v>131</v>
      </c>
      <c r="D14" s="14" t="s">
        <v>202</v>
      </c>
      <c r="E14" s="14" t="s">
        <v>156</v>
      </c>
      <c r="F14" s="18" t="str">
        <f aca="false">IF(E14="","",IF(COUNTIFS('MASTER BAHAN'!$A$5:$A$504,E14)=0,"BELUM ADA",INDEX('MASTER BAHAN'!$B$5:$B$504,MATCH(E14,'MASTER BAHAN'!$A$5:$A$504,0))))</f>
        <v>Telur</v>
      </c>
      <c r="G14" s="14" t="n">
        <v>100</v>
      </c>
      <c r="H14" s="18" t="str">
        <f aca="false">IF(E14="","",IF(COUNTIFS('MASTER BAHAN'!$A$5:$A$504,E14)=0,"BELUM ADA",INDEX('MASTER BAHAN'!$D$5:$D$504,MATCH(E14,'MASTER BAHAN'!$A$5:$A$504,0))))</f>
        <v>pcs</v>
      </c>
      <c r="I14" s="23" t="n">
        <v>100000</v>
      </c>
      <c r="J14" s="19" t="n">
        <f aca="false">IF(A14="","",IF(OR(NOT(ISNUMBER(G14)),NOT(ISNUMBER(I14))),"BELUM LENGKAP",ROUND(G14*I14,0)))</f>
        <v>10000000</v>
      </c>
      <c r="K14" s="14" t="s">
        <v>183</v>
      </c>
      <c r="L14" s="14" t="s">
        <v>184</v>
      </c>
      <c r="M14" s="24" t="n">
        <f aca="false">IF(A14="","",COUNTIF($A$5:A14,A14))</f>
        <v>1</v>
      </c>
      <c r="N14" s="24" t="str">
        <f aca="false">IF(A14="","",A14&amp;"|"&amp;M14)</f>
        <v>CONTOH-S10|1</v>
      </c>
    </row>
    <row r="15" customFormat="false" ht="27" hidden="false" customHeight="true" outlineLevel="0" collapsed="false">
      <c r="A15" s="14"/>
      <c r="B15" s="22"/>
      <c r="C15" s="14"/>
      <c r="D15" s="14"/>
      <c r="E15" s="14"/>
      <c r="F15" s="18" t="str">
        <f aca="false">IF(E15="","",IF(COUNTIFS('MASTER BAHAN'!$A$5:$A$504,E15)=0,"BELUM ADA",INDEX('MASTER BAHAN'!$B$5:$B$504,MATCH(E15,'MASTER BAHAN'!$A$5:$A$504,0))))</f>
        <v/>
      </c>
      <c r="G15" s="14"/>
      <c r="H15" s="18" t="str">
        <f aca="false">IF(E15="","",IF(COUNTIFS('MASTER BAHAN'!$A$5:$A$504,E15)=0,"BELUM ADA",INDEX('MASTER BAHAN'!$D$5:$D$504,MATCH(E15,'MASTER BAHAN'!$A$5:$A$504,0))))</f>
        <v/>
      </c>
      <c r="I15" s="23"/>
      <c r="J15" s="19" t="str">
        <f aca="false">IF(A15="","",IF(OR(NOT(ISNUMBER(G15)),NOT(ISNUMBER(I15))),"BELUM LENGKAP",ROUND(G15*I15,0)))</f>
        <v/>
      </c>
      <c r="K15" s="14"/>
      <c r="L15" s="14"/>
      <c r="M15" s="24" t="str">
        <f aca="false">IF(A15="","",COUNTIF($A$5:A15,A15))</f>
        <v/>
      </c>
      <c r="N15" s="24" t="str">
        <f aca="false">IF(A15="","",A15&amp;"|"&amp;M15)</f>
        <v/>
      </c>
    </row>
    <row r="16" customFormat="false" ht="27" hidden="false" customHeight="true" outlineLevel="0" collapsed="false">
      <c r="A16" s="14"/>
      <c r="B16" s="22"/>
      <c r="C16" s="14"/>
      <c r="D16" s="14"/>
      <c r="E16" s="14"/>
      <c r="F16" s="18" t="str">
        <f aca="false">IF(E16="","",IF(COUNTIFS('MASTER BAHAN'!$A$5:$A$504,E16)=0,"BELUM ADA",INDEX('MASTER BAHAN'!$B$5:$B$504,MATCH(E16,'MASTER BAHAN'!$A$5:$A$504,0))))</f>
        <v/>
      </c>
      <c r="G16" s="14"/>
      <c r="H16" s="18" t="str">
        <f aca="false">IF(E16="","",IF(COUNTIFS('MASTER BAHAN'!$A$5:$A$504,E16)=0,"BELUM ADA",INDEX('MASTER BAHAN'!$D$5:$D$504,MATCH(E16,'MASTER BAHAN'!$A$5:$A$504,0))))</f>
        <v/>
      </c>
      <c r="I16" s="23"/>
      <c r="J16" s="19" t="str">
        <f aca="false">IF(A16="","",IF(OR(NOT(ISNUMBER(G16)),NOT(ISNUMBER(I16))),"BELUM LENGKAP",ROUND(G16*I16,0)))</f>
        <v/>
      </c>
      <c r="K16" s="14"/>
      <c r="L16" s="14"/>
      <c r="M16" s="24" t="str">
        <f aca="false">IF(A16="","",COUNTIF($A$5:A16,A16))</f>
        <v/>
      </c>
      <c r="N16" s="24" t="str">
        <f aca="false">IF(A16="","",A16&amp;"|"&amp;M16)</f>
        <v/>
      </c>
    </row>
    <row r="17" customFormat="false" ht="27" hidden="false" customHeight="true" outlineLevel="0" collapsed="false">
      <c r="A17" s="14"/>
      <c r="B17" s="22"/>
      <c r="C17" s="14"/>
      <c r="D17" s="14"/>
      <c r="E17" s="14"/>
      <c r="F17" s="18" t="str">
        <f aca="false">IF(E17="","",IF(COUNTIFS('MASTER BAHAN'!$A$5:$A$504,E17)=0,"BELUM ADA",INDEX('MASTER BAHAN'!$B$5:$B$504,MATCH(E17,'MASTER BAHAN'!$A$5:$A$504,0))))</f>
        <v/>
      </c>
      <c r="G17" s="14"/>
      <c r="H17" s="18" t="str">
        <f aca="false">IF(E17="","",IF(COUNTIFS('MASTER BAHAN'!$A$5:$A$504,E17)=0,"BELUM ADA",INDEX('MASTER BAHAN'!$D$5:$D$504,MATCH(E17,'MASTER BAHAN'!$A$5:$A$504,0))))</f>
        <v/>
      </c>
      <c r="I17" s="23"/>
      <c r="J17" s="19" t="str">
        <f aca="false">IF(A17="","",IF(OR(NOT(ISNUMBER(G17)),NOT(ISNUMBER(I17))),"BELUM LENGKAP",ROUND(G17*I17,0)))</f>
        <v/>
      </c>
      <c r="K17" s="14"/>
      <c r="L17" s="14"/>
      <c r="M17" s="24" t="str">
        <f aca="false">IF(A17="","",COUNTIF($A$5:A17,A17))</f>
        <v/>
      </c>
      <c r="N17" s="24" t="str">
        <f aca="false">IF(A17="","",A17&amp;"|"&amp;M17)</f>
        <v/>
      </c>
    </row>
    <row r="18" customFormat="false" ht="27" hidden="false" customHeight="true" outlineLevel="0" collapsed="false">
      <c r="A18" s="14"/>
      <c r="B18" s="22"/>
      <c r="C18" s="14"/>
      <c r="D18" s="14"/>
      <c r="E18" s="14"/>
      <c r="F18" s="18" t="str">
        <f aca="false">IF(E18="","",IF(COUNTIFS('MASTER BAHAN'!$A$5:$A$504,E18)=0,"BELUM ADA",INDEX('MASTER BAHAN'!$B$5:$B$504,MATCH(E18,'MASTER BAHAN'!$A$5:$A$504,0))))</f>
        <v/>
      </c>
      <c r="G18" s="14"/>
      <c r="H18" s="18" t="str">
        <f aca="false">IF(E18="","",IF(COUNTIFS('MASTER BAHAN'!$A$5:$A$504,E18)=0,"BELUM ADA",INDEX('MASTER BAHAN'!$D$5:$D$504,MATCH(E18,'MASTER BAHAN'!$A$5:$A$504,0))))</f>
        <v/>
      </c>
      <c r="I18" s="23"/>
      <c r="J18" s="19" t="str">
        <f aca="false">IF(A18="","",IF(OR(NOT(ISNUMBER(G18)),NOT(ISNUMBER(I18))),"BELUM LENGKAP",ROUND(G18*I18,0)))</f>
        <v/>
      </c>
      <c r="K18" s="14"/>
      <c r="L18" s="14"/>
      <c r="M18" s="24" t="str">
        <f aca="false">IF(A18="","",COUNTIF($A$5:A18,A18))</f>
        <v/>
      </c>
      <c r="N18" s="24" t="str">
        <f aca="false">IF(A18="","",A18&amp;"|"&amp;M18)</f>
        <v/>
      </c>
    </row>
    <row r="19" customFormat="false" ht="27" hidden="false" customHeight="true" outlineLevel="0" collapsed="false">
      <c r="A19" s="14"/>
      <c r="B19" s="22"/>
      <c r="C19" s="14"/>
      <c r="D19" s="14"/>
      <c r="E19" s="14"/>
      <c r="F19" s="18" t="str">
        <f aca="false">IF(E19="","",IF(COUNTIFS('MASTER BAHAN'!$A$5:$A$504,E19)=0,"BELUM ADA",INDEX('MASTER BAHAN'!$B$5:$B$504,MATCH(E19,'MASTER BAHAN'!$A$5:$A$504,0))))</f>
        <v/>
      </c>
      <c r="G19" s="14"/>
      <c r="H19" s="18" t="str">
        <f aca="false">IF(E19="","",IF(COUNTIFS('MASTER BAHAN'!$A$5:$A$504,E19)=0,"BELUM ADA",INDEX('MASTER BAHAN'!$D$5:$D$504,MATCH(E19,'MASTER BAHAN'!$A$5:$A$504,0))))</f>
        <v/>
      </c>
      <c r="I19" s="23"/>
      <c r="J19" s="19" t="str">
        <f aca="false">IF(A19="","",IF(OR(NOT(ISNUMBER(G19)),NOT(ISNUMBER(I19))),"BELUM LENGKAP",ROUND(G19*I19,0)))</f>
        <v/>
      </c>
      <c r="K19" s="14"/>
      <c r="L19" s="14"/>
      <c r="M19" s="24" t="str">
        <f aca="false">IF(A19="","",COUNTIF($A$5:A19,A19))</f>
        <v/>
      </c>
      <c r="N19" s="24" t="str">
        <f aca="false">IF(A19="","",A19&amp;"|"&amp;M19)</f>
        <v/>
      </c>
    </row>
    <row r="20" customFormat="false" ht="27" hidden="false" customHeight="true" outlineLevel="0" collapsed="false">
      <c r="A20" s="14"/>
      <c r="B20" s="22"/>
      <c r="C20" s="14"/>
      <c r="D20" s="14"/>
      <c r="E20" s="14"/>
      <c r="F20" s="18" t="str">
        <f aca="false">IF(E20="","",IF(COUNTIFS('MASTER BAHAN'!$A$5:$A$504,E20)=0,"BELUM ADA",INDEX('MASTER BAHAN'!$B$5:$B$504,MATCH(E20,'MASTER BAHAN'!$A$5:$A$504,0))))</f>
        <v/>
      </c>
      <c r="G20" s="14"/>
      <c r="H20" s="18" t="str">
        <f aca="false">IF(E20="","",IF(COUNTIFS('MASTER BAHAN'!$A$5:$A$504,E20)=0,"BELUM ADA",INDEX('MASTER BAHAN'!$D$5:$D$504,MATCH(E20,'MASTER BAHAN'!$A$5:$A$504,0))))</f>
        <v/>
      </c>
      <c r="I20" s="23"/>
      <c r="J20" s="19" t="str">
        <f aca="false">IF(A20="","",IF(OR(NOT(ISNUMBER(G20)),NOT(ISNUMBER(I20))),"BELUM LENGKAP",ROUND(G20*I20,0)))</f>
        <v/>
      </c>
      <c r="K20" s="14"/>
      <c r="L20" s="14"/>
      <c r="M20" s="24" t="str">
        <f aca="false">IF(A20="","",COUNTIF($A$5:A20,A20))</f>
        <v/>
      </c>
      <c r="N20" s="24" t="str">
        <f aca="false">IF(A20="","",A20&amp;"|"&amp;M20)</f>
        <v/>
      </c>
    </row>
    <row r="21" customFormat="false" ht="27" hidden="false" customHeight="true" outlineLevel="0" collapsed="false">
      <c r="A21" s="14"/>
      <c r="B21" s="22"/>
      <c r="C21" s="14"/>
      <c r="D21" s="14"/>
      <c r="E21" s="14"/>
      <c r="F21" s="18" t="str">
        <f aca="false">IF(E21="","",IF(COUNTIFS('MASTER BAHAN'!$A$5:$A$504,E21)=0,"BELUM ADA",INDEX('MASTER BAHAN'!$B$5:$B$504,MATCH(E21,'MASTER BAHAN'!$A$5:$A$504,0))))</f>
        <v/>
      </c>
      <c r="G21" s="14"/>
      <c r="H21" s="18" t="str">
        <f aca="false">IF(E21="","",IF(COUNTIFS('MASTER BAHAN'!$A$5:$A$504,E21)=0,"BELUM ADA",INDEX('MASTER BAHAN'!$D$5:$D$504,MATCH(E21,'MASTER BAHAN'!$A$5:$A$504,0))))</f>
        <v/>
      </c>
      <c r="I21" s="23"/>
      <c r="J21" s="19" t="str">
        <f aca="false">IF(A21="","",IF(OR(NOT(ISNUMBER(G21)),NOT(ISNUMBER(I21))),"BELUM LENGKAP",ROUND(G21*I21,0)))</f>
        <v/>
      </c>
      <c r="K21" s="14"/>
      <c r="L21" s="14"/>
      <c r="M21" s="24" t="str">
        <f aca="false">IF(A21="","",COUNTIF($A$5:A21,A21))</f>
        <v/>
      </c>
      <c r="N21" s="24" t="str">
        <f aca="false">IF(A21="","",A21&amp;"|"&amp;M21)</f>
        <v/>
      </c>
    </row>
    <row r="22" customFormat="false" ht="27" hidden="false" customHeight="true" outlineLevel="0" collapsed="false">
      <c r="A22" s="14"/>
      <c r="B22" s="22"/>
      <c r="C22" s="14"/>
      <c r="D22" s="14"/>
      <c r="E22" s="14"/>
      <c r="F22" s="18" t="str">
        <f aca="false">IF(E22="","",IF(COUNTIFS('MASTER BAHAN'!$A$5:$A$504,E22)=0,"BELUM ADA",INDEX('MASTER BAHAN'!$B$5:$B$504,MATCH(E22,'MASTER BAHAN'!$A$5:$A$504,0))))</f>
        <v/>
      </c>
      <c r="G22" s="14"/>
      <c r="H22" s="18" t="str">
        <f aca="false">IF(E22="","",IF(COUNTIFS('MASTER BAHAN'!$A$5:$A$504,E22)=0,"BELUM ADA",INDEX('MASTER BAHAN'!$D$5:$D$504,MATCH(E22,'MASTER BAHAN'!$A$5:$A$504,0))))</f>
        <v/>
      </c>
      <c r="I22" s="23"/>
      <c r="J22" s="19" t="str">
        <f aca="false">IF(A22="","",IF(OR(NOT(ISNUMBER(G22)),NOT(ISNUMBER(I22))),"BELUM LENGKAP",ROUND(G22*I22,0)))</f>
        <v/>
      </c>
      <c r="K22" s="14"/>
      <c r="L22" s="14"/>
      <c r="M22" s="24" t="str">
        <f aca="false">IF(A22="","",COUNTIF($A$5:A22,A22))</f>
        <v/>
      </c>
      <c r="N22" s="24" t="str">
        <f aca="false">IF(A22="","",A22&amp;"|"&amp;M22)</f>
        <v/>
      </c>
    </row>
    <row r="23" customFormat="false" ht="27" hidden="false" customHeight="true" outlineLevel="0" collapsed="false">
      <c r="A23" s="14"/>
      <c r="B23" s="22"/>
      <c r="C23" s="14"/>
      <c r="D23" s="14"/>
      <c r="E23" s="14"/>
      <c r="F23" s="18" t="str">
        <f aca="false">IF(E23="","",IF(COUNTIFS('MASTER BAHAN'!$A$5:$A$504,E23)=0,"BELUM ADA",INDEX('MASTER BAHAN'!$B$5:$B$504,MATCH(E23,'MASTER BAHAN'!$A$5:$A$504,0))))</f>
        <v/>
      </c>
      <c r="G23" s="14"/>
      <c r="H23" s="18" t="str">
        <f aca="false">IF(E23="","",IF(COUNTIFS('MASTER BAHAN'!$A$5:$A$504,E23)=0,"BELUM ADA",INDEX('MASTER BAHAN'!$D$5:$D$504,MATCH(E23,'MASTER BAHAN'!$A$5:$A$504,0))))</f>
        <v/>
      </c>
      <c r="I23" s="23"/>
      <c r="J23" s="19" t="str">
        <f aca="false">IF(A23="","",IF(OR(NOT(ISNUMBER(G23)),NOT(ISNUMBER(I23))),"BELUM LENGKAP",ROUND(G23*I23,0)))</f>
        <v/>
      </c>
      <c r="K23" s="14"/>
      <c r="L23" s="14"/>
      <c r="M23" s="24" t="str">
        <f aca="false">IF(A23="","",COUNTIF($A$5:A23,A23))</f>
        <v/>
      </c>
      <c r="N23" s="24" t="str">
        <f aca="false">IF(A23="","",A23&amp;"|"&amp;M23)</f>
        <v/>
      </c>
    </row>
    <row r="24" customFormat="false" ht="27" hidden="false" customHeight="true" outlineLevel="0" collapsed="false">
      <c r="A24" s="14"/>
      <c r="B24" s="22"/>
      <c r="C24" s="14"/>
      <c r="D24" s="14"/>
      <c r="E24" s="14"/>
      <c r="F24" s="18" t="str">
        <f aca="false">IF(E24="","",IF(COUNTIFS('MASTER BAHAN'!$A$5:$A$504,E24)=0,"BELUM ADA",INDEX('MASTER BAHAN'!$B$5:$B$504,MATCH(E24,'MASTER BAHAN'!$A$5:$A$504,0))))</f>
        <v/>
      </c>
      <c r="G24" s="14"/>
      <c r="H24" s="18" t="str">
        <f aca="false">IF(E24="","",IF(COUNTIFS('MASTER BAHAN'!$A$5:$A$504,E24)=0,"BELUM ADA",INDEX('MASTER BAHAN'!$D$5:$D$504,MATCH(E24,'MASTER BAHAN'!$A$5:$A$504,0))))</f>
        <v/>
      </c>
      <c r="I24" s="23"/>
      <c r="J24" s="19" t="str">
        <f aca="false">IF(A24="","",IF(OR(NOT(ISNUMBER(G24)),NOT(ISNUMBER(I24))),"BELUM LENGKAP",ROUND(G24*I24,0)))</f>
        <v/>
      </c>
      <c r="K24" s="14"/>
      <c r="L24" s="14"/>
      <c r="M24" s="24" t="str">
        <f aca="false">IF(A24="","",COUNTIF($A$5:A24,A24))</f>
        <v/>
      </c>
      <c r="N24" s="24" t="str">
        <f aca="false">IF(A24="","",A24&amp;"|"&amp;M24)</f>
        <v/>
      </c>
    </row>
    <row r="25" customFormat="false" ht="27" hidden="false" customHeight="true" outlineLevel="0" collapsed="false">
      <c r="A25" s="14"/>
      <c r="B25" s="22"/>
      <c r="C25" s="14"/>
      <c r="D25" s="14"/>
      <c r="E25" s="14"/>
      <c r="F25" s="18" t="str">
        <f aca="false">IF(E25="","",IF(COUNTIFS('MASTER BAHAN'!$A$5:$A$504,E25)=0,"BELUM ADA",INDEX('MASTER BAHAN'!$B$5:$B$504,MATCH(E25,'MASTER BAHAN'!$A$5:$A$504,0))))</f>
        <v/>
      </c>
      <c r="G25" s="14"/>
      <c r="H25" s="18" t="str">
        <f aca="false">IF(E25="","",IF(COUNTIFS('MASTER BAHAN'!$A$5:$A$504,E25)=0,"BELUM ADA",INDEX('MASTER BAHAN'!$D$5:$D$504,MATCH(E25,'MASTER BAHAN'!$A$5:$A$504,0))))</f>
        <v/>
      </c>
      <c r="I25" s="23"/>
      <c r="J25" s="19" t="str">
        <f aca="false">IF(A25="","",IF(OR(NOT(ISNUMBER(G25)),NOT(ISNUMBER(I25))),"BELUM LENGKAP",ROUND(G25*I25,0)))</f>
        <v/>
      </c>
      <c r="K25" s="14"/>
      <c r="L25" s="14"/>
      <c r="M25" s="24" t="str">
        <f aca="false">IF(A25="","",COUNTIF($A$5:A25,A25))</f>
        <v/>
      </c>
      <c r="N25" s="24" t="str">
        <f aca="false">IF(A25="","",A25&amp;"|"&amp;M25)</f>
        <v/>
      </c>
    </row>
    <row r="26" customFormat="false" ht="27" hidden="false" customHeight="true" outlineLevel="0" collapsed="false">
      <c r="A26" s="14"/>
      <c r="B26" s="22"/>
      <c r="C26" s="14"/>
      <c r="D26" s="14"/>
      <c r="E26" s="14"/>
      <c r="F26" s="18" t="str">
        <f aca="false">IF(E26="","",IF(COUNTIFS('MASTER BAHAN'!$A$5:$A$504,E26)=0,"BELUM ADA",INDEX('MASTER BAHAN'!$B$5:$B$504,MATCH(E26,'MASTER BAHAN'!$A$5:$A$504,0))))</f>
        <v/>
      </c>
      <c r="G26" s="14"/>
      <c r="H26" s="18" t="str">
        <f aca="false">IF(E26="","",IF(COUNTIFS('MASTER BAHAN'!$A$5:$A$504,E26)=0,"BELUM ADA",INDEX('MASTER BAHAN'!$D$5:$D$504,MATCH(E26,'MASTER BAHAN'!$A$5:$A$504,0))))</f>
        <v/>
      </c>
      <c r="I26" s="23"/>
      <c r="J26" s="19" t="str">
        <f aca="false">IF(A26="","",IF(OR(NOT(ISNUMBER(G26)),NOT(ISNUMBER(I26))),"BELUM LENGKAP",ROUND(G26*I26,0)))</f>
        <v/>
      </c>
      <c r="K26" s="14"/>
      <c r="L26" s="14"/>
      <c r="M26" s="24" t="str">
        <f aca="false">IF(A26="","",COUNTIF($A$5:A26,A26))</f>
        <v/>
      </c>
      <c r="N26" s="24" t="str">
        <f aca="false">IF(A26="","",A26&amp;"|"&amp;M26)</f>
        <v/>
      </c>
    </row>
    <row r="27" customFormat="false" ht="27" hidden="false" customHeight="true" outlineLevel="0" collapsed="false">
      <c r="A27" s="14"/>
      <c r="B27" s="22"/>
      <c r="C27" s="14"/>
      <c r="D27" s="14"/>
      <c r="E27" s="14"/>
      <c r="F27" s="18" t="str">
        <f aca="false">IF(E27="","",IF(COUNTIFS('MASTER BAHAN'!$A$5:$A$504,E27)=0,"BELUM ADA",INDEX('MASTER BAHAN'!$B$5:$B$504,MATCH(E27,'MASTER BAHAN'!$A$5:$A$504,0))))</f>
        <v/>
      </c>
      <c r="G27" s="14"/>
      <c r="H27" s="18" t="str">
        <f aca="false">IF(E27="","",IF(COUNTIFS('MASTER BAHAN'!$A$5:$A$504,E27)=0,"BELUM ADA",INDEX('MASTER BAHAN'!$D$5:$D$504,MATCH(E27,'MASTER BAHAN'!$A$5:$A$504,0))))</f>
        <v/>
      </c>
      <c r="I27" s="23"/>
      <c r="J27" s="19" t="str">
        <f aca="false">IF(A27="","",IF(OR(NOT(ISNUMBER(G27)),NOT(ISNUMBER(I27))),"BELUM LENGKAP",ROUND(G27*I27,0)))</f>
        <v/>
      </c>
      <c r="K27" s="14"/>
      <c r="L27" s="14"/>
      <c r="M27" s="24" t="str">
        <f aca="false">IF(A27="","",COUNTIF($A$5:A27,A27))</f>
        <v/>
      </c>
      <c r="N27" s="24" t="str">
        <f aca="false">IF(A27="","",A27&amp;"|"&amp;M27)</f>
        <v/>
      </c>
    </row>
    <row r="28" customFormat="false" ht="27" hidden="false" customHeight="true" outlineLevel="0" collapsed="false">
      <c r="A28" s="14"/>
      <c r="B28" s="22"/>
      <c r="C28" s="14"/>
      <c r="D28" s="14"/>
      <c r="E28" s="14"/>
      <c r="F28" s="18" t="str">
        <f aca="false">IF(E28="","",IF(COUNTIFS('MASTER BAHAN'!$A$5:$A$504,E28)=0,"BELUM ADA",INDEX('MASTER BAHAN'!$B$5:$B$504,MATCH(E28,'MASTER BAHAN'!$A$5:$A$504,0))))</f>
        <v/>
      </c>
      <c r="G28" s="14"/>
      <c r="H28" s="18" t="str">
        <f aca="false">IF(E28="","",IF(COUNTIFS('MASTER BAHAN'!$A$5:$A$504,E28)=0,"BELUM ADA",INDEX('MASTER BAHAN'!$D$5:$D$504,MATCH(E28,'MASTER BAHAN'!$A$5:$A$504,0))))</f>
        <v/>
      </c>
      <c r="I28" s="23"/>
      <c r="J28" s="19" t="str">
        <f aca="false">IF(A28="","",IF(OR(NOT(ISNUMBER(G28)),NOT(ISNUMBER(I28))),"BELUM LENGKAP",ROUND(G28*I28,0)))</f>
        <v/>
      </c>
      <c r="K28" s="14"/>
      <c r="L28" s="14"/>
      <c r="M28" s="24" t="str">
        <f aca="false">IF(A28="","",COUNTIF($A$5:A28,A28))</f>
        <v/>
      </c>
      <c r="N28" s="24" t="str">
        <f aca="false">IF(A28="","",A28&amp;"|"&amp;M28)</f>
        <v/>
      </c>
    </row>
    <row r="29" customFormat="false" ht="27" hidden="false" customHeight="true" outlineLevel="0" collapsed="false">
      <c r="A29" s="14"/>
      <c r="B29" s="22"/>
      <c r="C29" s="14"/>
      <c r="D29" s="14"/>
      <c r="E29" s="14"/>
      <c r="F29" s="18" t="str">
        <f aca="false">IF(E29="","",IF(COUNTIFS('MASTER BAHAN'!$A$5:$A$504,E29)=0,"BELUM ADA",INDEX('MASTER BAHAN'!$B$5:$B$504,MATCH(E29,'MASTER BAHAN'!$A$5:$A$504,0))))</f>
        <v/>
      </c>
      <c r="G29" s="14"/>
      <c r="H29" s="18" t="str">
        <f aca="false">IF(E29="","",IF(COUNTIFS('MASTER BAHAN'!$A$5:$A$504,E29)=0,"BELUM ADA",INDEX('MASTER BAHAN'!$D$5:$D$504,MATCH(E29,'MASTER BAHAN'!$A$5:$A$504,0))))</f>
        <v/>
      </c>
      <c r="I29" s="23"/>
      <c r="J29" s="19" t="str">
        <f aca="false">IF(A29="","",IF(OR(NOT(ISNUMBER(G29)),NOT(ISNUMBER(I29))),"BELUM LENGKAP",ROUND(G29*I29,0)))</f>
        <v/>
      </c>
      <c r="K29" s="14"/>
      <c r="L29" s="14"/>
      <c r="M29" s="24" t="str">
        <f aca="false">IF(A29="","",COUNTIF($A$5:A29,A29))</f>
        <v/>
      </c>
      <c r="N29" s="24" t="str">
        <f aca="false">IF(A29="","",A29&amp;"|"&amp;M29)</f>
        <v/>
      </c>
    </row>
    <row r="30" customFormat="false" ht="27" hidden="false" customHeight="true" outlineLevel="0" collapsed="false">
      <c r="A30" s="14"/>
      <c r="B30" s="22"/>
      <c r="C30" s="14"/>
      <c r="D30" s="14"/>
      <c r="E30" s="14"/>
      <c r="F30" s="18" t="str">
        <f aca="false">IF(E30="","",IF(COUNTIFS('MASTER BAHAN'!$A$5:$A$504,E30)=0,"BELUM ADA",INDEX('MASTER BAHAN'!$B$5:$B$504,MATCH(E30,'MASTER BAHAN'!$A$5:$A$504,0))))</f>
        <v/>
      </c>
      <c r="G30" s="14"/>
      <c r="H30" s="18" t="str">
        <f aca="false">IF(E30="","",IF(COUNTIFS('MASTER BAHAN'!$A$5:$A$504,E30)=0,"BELUM ADA",INDEX('MASTER BAHAN'!$D$5:$D$504,MATCH(E30,'MASTER BAHAN'!$A$5:$A$504,0))))</f>
        <v/>
      </c>
      <c r="I30" s="23"/>
      <c r="J30" s="19" t="str">
        <f aca="false">IF(A30="","",IF(OR(NOT(ISNUMBER(G30)),NOT(ISNUMBER(I30))),"BELUM LENGKAP",ROUND(G30*I30,0)))</f>
        <v/>
      </c>
      <c r="K30" s="14"/>
      <c r="L30" s="14"/>
      <c r="M30" s="24" t="str">
        <f aca="false">IF(A30="","",COUNTIF($A$5:A30,A30))</f>
        <v/>
      </c>
      <c r="N30" s="24" t="str">
        <f aca="false">IF(A30="","",A30&amp;"|"&amp;M30)</f>
        <v/>
      </c>
    </row>
    <row r="31" customFormat="false" ht="27" hidden="false" customHeight="true" outlineLevel="0" collapsed="false">
      <c r="A31" s="14"/>
      <c r="B31" s="22"/>
      <c r="C31" s="14"/>
      <c r="D31" s="14"/>
      <c r="E31" s="14"/>
      <c r="F31" s="18" t="str">
        <f aca="false">IF(E31="","",IF(COUNTIFS('MASTER BAHAN'!$A$5:$A$504,E31)=0,"BELUM ADA",INDEX('MASTER BAHAN'!$B$5:$B$504,MATCH(E31,'MASTER BAHAN'!$A$5:$A$504,0))))</f>
        <v/>
      </c>
      <c r="G31" s="14"/>
      <c r="H31" s="18" t="str">
        <f aca="false">IF(E31="","",IF(COUNTIFS('MASTER BAHAN'!$A$5:$A$504,E31)=0,"BELUM ADA",INDEX('MASTER BAHAN'!$D$5:$D$504,MATCH(E31,'MASTER BAHAN'!$A$5:$A$504,0))))</f>
        <v/>
      </c>
      <c r="I31" s="23"/>
      <c r="J31" s="19" t="str">
        <f aca="false">IF(A31="","",IF(OR(NOT(ISNUMBER(G31)),NOT(ISNUMBER(I31))),"BELUM LENGKAP",ROUND(G31*I31,0)))</f>
        <v/>
      </c>
      <c r="K31" s="14"/>
      <c r="L31" s="14"/>
      <c r="M31" s="24" t="str">
        <f aca="false">IF(A31="","",COUNTIF($A$5:A31,A31))</f>
        <v/>
      </c>
      <c r="N31" s="24" t="str">
        <f aca="false">IF(A31="","",A31&amp;"|"&amp;M31)</f>
        <v/>
      </c>
    </row>
    <row r="32" customFormat="false" ht="27" hidden="false" customHeight="true" outlineLevel="0" collapsed="false">
      <c r="A32" s="14"/>
      <c r="B32" s="22"/>
      <c r="C32" s="14"/>
      <c r="D32" s="14"/>
      <c r="E32" s="14"/>
      <c r="F32" s="18" t="str">
        <f aca="false">IF(E32="","",IF(COUNTIFS('MASTER BAHAN'!$A$5:$A$504,E32)=0,"BELUM ADA",INDEX('MASTER BAHAN'!$B$5:$B$504,MATCH(E32,'MASTER BAHAN'!$A$5:$A$504,0))))</f>
        <v/>
      </c>
      <c r="G32" s="14"/>
      <c r="H32" s="18" t="str">
        <f aca="false">IF(E32="","",IF(COUNTIFS('MASTER BAHAN'!$A$5:$A$504,E32)=0,"BELUM ADA",INDEX('MASTER BAHAN'!$D$5:$D$504,MATCH(E32,'MASTER BAHAN'!$A$5:$A$504,0))))</f>
        <v/>
      </c>
      <c r="I32" s="23"/>
      <c r="J32" s="19" t="str">
        <f aca="false">IF(A32="","",IF(OR(NOT(ISNUMBER(G32)),NOT(ISNUMBER(I32))),"BELUM LENGKAP",ROUND(G32*I32,0)))</f>
        <v/>
      </c>
      <c r="K32" s="14"/>
      <c r="L32" s="14"/>
      <c r="M32" s="24" t="str">
        <f aca="false">IF(A32="","",COUNTIF($A$5:A32,A32))</f>
        <v/>
      </c>
      <c r="N32" s="24" t="str">
        <f aca="false">IF(A32="","",A32&amp;"|"&amp;M32)</f>
        <v/>
      </c>
    </row>
    <row r="33" customFormat="false" ht="27" hidden="false" customHeight="true" outlineLevel="0" collapsed="false">
      <c r="A33" s="14"/>
      <c r="B33" s="22"/>
      <c r="C33" s="14"/>
      <c r="D33" s="14"/>
      <c r="E33" s="14"/>
      <c r="F33" s="18" t="str">
        <f aca="false">IF(E33="","",IF(COUNTIFS('MASTER BAHAN'!$A$5:$A$504,E33)=0,"BELUM ADA",INDEX('MASTER BAHAN'!$B$5:$B$504,MATCH(E33,'MASTER BAHAN'!$A$5:$A$504,0))))</f>
        <v/>
      </c>
      <c r="G33" s="14"/>
      <c r="H33" s="18" t="str">
        <f aca="false">IF(E33="","",IF(COUNTIFS('MASTER BAHAN'!$A$5:$A$504,E33)=0,"BELUM ADA",INDEX('MASTER BAHAN'!$D$5:$D$504,MATCH(E33,'MASTER BAHAN'!$A$5:$A$504,0))))</f>
        <v/>
      </c>
      <c r="I33" s="23"/>
      <c r="J33" s="19" t="str">
        <f aca="false">IF(A33="","",IF(OR(NOT(ISNUMBER(G33)),NOT(ISNUMBER(I33))),"BELUM LENGKAP",ROUND(G33*I33,0)))</f>
        <v/>
      </c>
      <c r="K33" s="14"/>
      <c r="L33" s="14"/>
      <c r="M33" s="24" t="str">
        <f aca="false">IF(A33="","",COUNTIF($A$5:A33,A33))</f>
        <v/>
      </c>
      <c r="N33" s="24" t="str">
        <f aca="false">IF(A33="","",A33&amp;"|"&amp;M33)</f>
        <v/>
      </c>
    </row>
    <row r="34" customFormat="false" ht="27" hidden="false" customHeight="true" outlineLevel="0" collapsed="false">
      <c r="A34" s="14"/>
      <c r="B34" s="22"/>
      <c r="C34" s="14"/>
      <c r="D34" s="14"/>
      <c r="E34" s="14"/>
      <c r="F34" s="18" t="str">
        <f aca="false">IF(E34="","",IF(COUNTIFS('MASTER BAHAN'!$A$5:$A$504,E34)=0,"BELUM ADA",INDEX('MASTER BAHAN'!$B$5:$B$504,MATCH(E34,'MASTER BAHAN'!$A$5:$A$504,0))))</f>
        <v/>
      </c>
      <c r="G34" s="14"/>
      <c r="H34" s="18" t="str">
        <f aca="false">IF(E34="","",IF(COUNTIFS('MASTER BAHAN'!$A$5:$A$504,E34)=0,"BELUM ADA",INDEX('MASTER BAHAN'!$D$5:$D$504,MATCH(E34,'MASTER BAHAN'!$A$5:$A$504,0))))</f>
        <v/>
      </c>
      <c r="I34" s="23"/>
      <c r="J34" s="19" t="str">
        <f aca="false">IF(A34="","",IF(OR(NOT(ISNUMBER(G34)),NOT(ISNUMBER(I34))),"BELUM LENGKAP",ROUND(G34*I34,0)))</f>
        <v/>
      </c>
      <c r="K34" s="14"/>
      <c r="L34" s="14"/>
      <c r="M34" s="24" t="str">
        <f aca="false">IF(A34="","",COUNTIF($A$5:A34,A34))</f>
        <v/>
      </c>
      <c r="N34" s="24" t="str">
        <f aca="false">IF(A34="","",A34&amp;"|"&amp;M34)</f>
        <v/>
      </c>
    </row>
    <row r="35" customFormat="false" ht="27" hidden="false" customHeight="true" outlineLevel="0" collapsed="false">
      <c r="A35" s="14"/>
      <c r="B35" s="22"/>
      <c r="C35" s="14"/>
      <c r="D35" s="14"/>
      <c r="E35" s="14"/>
      <c r="F35" s="18" t="str">
        <f aca="false">IF(E35="","",IF(COUNTIFS('MASTER BAHAN'!$A$5:$A$504,E35)=0,"BELUM ADA",INDEX('MASTER BAHAN'!$B$5:$B$504,MATCH(E35,'MASTER BAHAN'!$A$5:$A$504,0))))</f>
        <v/>
      </c>
      <c r="G35" s="14"/>
      <c r="H35" s="18" t="str">
        <f aca="false">IF(E35="","",IF(COUNTIFS('MASTER BAHAN'!$A$5:$A$504,E35)=0,"BELUM ADA",INDEX('MASTER BAHAN'!$D$5:$D$504,MATCH(E35,'MASTER BAHAN'!$A$5:$A$504,0))))</f>
        <v/>
      </c>
      <c r="I35" s="23"/>
      <c r="J35" s="19" t="str">
        <f aca="false">IF(A35="","",IF(OR(NOT(ISNUMBER(G35)),NOT(ISNUMBER(I35))),"BELUM LENGKAP",ROUND(G35*I35,0)))</f>
        <v/>
      </c>
      <c r="K35" s="14"/>
      <c r="L35" s="14"/>
      <c r="M35" s="24" t="str">
        <f aca="false">IF(A35="","",COUNTIF($A$5:A35,A35))</f>
        <v/>
      </c>
      <c r="N35" s="24" t="str">
        <f aca="false">IF(A35="","",A35&amp;"|"&amp;M35)</f>
        <v/>
      </c>
    </row>
    <row r="36" customFormat="false" ht="27" hidden="false" customHeight="true" outlineLevel="0" collapsed="false">
      <c r="A36" s="14"/>
      <c r="B36" s="22"/>
      <c r="C36" s="14"/>
      <c r="D36" s="14"/>
      <c r="E36" s="14"/>
      <c r="F36" s="18" t="str">
        <f aca="false">IF(E36="","",IF(COUNTIFS('MASTER BAHAN'!$A$5:$A$504,E36)=0,"BELUM ADA",INDEX('MASTER BAHAN'!$B$5:$B$504,MATCH(E36,'MASTER BAHAN'!$A$5:$A$504,0))))</f>
        <v/>
      </c>
      <c r="G36" s="14"/>
      <c r="H36" s="18" t="str">
        <f aca="false">IF(E36="","",IF(COUNTIFS('MASTER BAHAN'!$A$5:$A$504,E36)=0,"BELUM ADA",INDEX('MASTER BAHAN'!$D$5:$D$504,MATCH(E36,'MASTER BAHAN'!$A$5:$A$504,0))))</f>
        <v/>
      </c>
      <c r="I36" s="23"/>
      <c r="J36" s="19" t="str">
        <f aca="false">IF(A36="","",IF(OR(NOT(ISNUMBER(G36)),NOT(ISNUMBER(I36))),"BELUM LENGKAP",ROUND(G36*I36,0)))</f>
        <v/>
      </c>
      <c r="K36" s="14"/>
      <c r="L36" s="14"/>
      <c r="M36" s="24" t="str">
        <f aca="false">IF(A36="","",COUNTIF($A$5:A36,A36))</f>
        <v/>
      </c>
      <c r="N36" s="24" t="str">
        <f aca="false">IF(A36="","",A36&amp;"|"&amp;M36)</f>
        <v/>
      </c>
    </row>
    <row r="37" customFormat="false" ht="27" hidden="false" customHeight="true" outlineLevel="0" collapsed="false">
      <c r="A37" s="14"/>
      <c r="B37" s="22"/>
      <c r="C37" s="14"/>
      <c r="D37" s="14"/>
      <c r="E37" s="14"/>
      <c r="F37" s="18" t="str">
        <f aca="false">IF(E37="","",IF(COUNTIFS('MASTER BAHAN'!$A$5:$A$504,E37)=0,"BELUM ADA",INDEX('MASTER BAHAN'!$B$5:$B$504,MATCH(E37,'MASTER BAHAN'!$A$5:$A$504,0))))</f>
        <v/>
      </c>
      <c r="G37" s="14"/>
      <c r="H37" s="18" t="str">
        <f aca="false">IF(E37="","",IF(COUNTIFS('MASTER BAHAN'!$A$5:$A$504,E37)=0,"BELUM ADA",INDEX('MASTER BAHAN'!$D$5:$D$504,MATCH(E37,'MASTER BAHAN'!$A$5:$A$504,0))))</f>
        <v/>
      </c>
      <c r="I37" s="23"/>
      <c r="J37" s="19" t="str">
        <f aca="false">IF(A37="","",IF(OR(NOT(ISNUMBER(G37)),NOT(ISNUMBER(I37))),"BELUM LENGKAP",ROUND(G37*I37,0)))</f>
        <v/>
      </c>
      <c r="K37" s="14"/>
      <c r="L37" s="14"/>
      <c r="M37" s="24" t="str">
        <f aca="false">IF(A37="","",COUNTIF($A$5:A37,A37))</f>
        <v/>
      </c>
      <c r="N37" s="24" t="str">
        <f aca="false">IF(A37="","",A37&amp;"|"&amp;M37)</f>
        <v/>
      </c>
    </row>
    <row r="38" customFormat="false" ht="27" hidden="false" customHeight="true" outlineLevel="0" collapsed="false">
      <c r="A38" s="14"/>
      <c r="B38" s="22"/>
      <c r="C38" s="14"/>
      <c r="D38" s="14"/>
      <c r="E38" s="14"/>
      <c r="F38" s="18" t="str">
        <f aca="false">IF(E38="","",IF(COUNTIFS('MASTER BAHAN'!$A$5:$A$504,E38)=0,"BELUM ADA",INDEX('MASTER BAHAN'!$B$5:$B$504,MATCH(E38,'MASTER BAHAN'!$A$5:$A$504,0))))</f>
        <v/>
      </c>
      <c r="G38" s="14"/>
      <c r="H38" s="18" t="str">
        <f aca="false">IF(E38="","",IF(COUNTIFS('MASTER BAHAN'!$A$5:$A$504,E38)=0,"BELUM ADA",INDEX('MASTER BAHAN'!$D$5:$D$504,MATCH(E38,'MASTER BAHAN'!$A$5:$A$504,0))))</f>
        <v/>
      </c>
      <c r="I38" s="23"/>
      <c r="J38" s="19" t="str">
        <f aca="false">IF(A38="","",IF(OR(NOT(ISNUMBER(G38)),NOT(ISNUMBER(I38))),"BELUM LENGKAP",ROUND(G38*I38,0)))</f>
        <v/>
      </c>
      <c r="K38" s="14"/>
      <c r="L38" s="14"/>
      <c r="M38" s="24" t="str">
        <f aca="false">IF(A38="","",COUNTIF($A$5:A38,A38))</f>
        <v/>
      </c>
      <c r="N38" s="24" t="str">
        <f aca="false">IF(A38="","",A38&amp;"|"&amp;M38)</f>
        <v/>
      </c>
    </row>
    <row r="39" customFormat="false" ht="27" hidden="false" customHeight="true" outlineLevel="0" collapsed="false">
      <c r="A39" s="14"/>
      <c r="B39" s="22"/>
      <c r="C39" s="14"/>
      <c r="D39" s="14"/>
      <c r="E39" s="14"/>
      <c r="F39" s="18" t="str">
        <f aca="false">IF(E39="","",IF(COUNTIFS('MASTER BAHAN'!$A$5:$A$504,E39)=0,"BELUM ADA",INDEX('MASTER BAHAN'!$B$5:$B$504,MATCH(E39,'MASTER BAHAN'!$A$5:$A$504,0))))</f>
        <v/>
      </c>
      <c r="G39" s="14"/>
      <c r="H39" s="18" t="str">
        <f aca="false">IF(E39="","",IF(COUNTIFS('MASTER BAHAN'!$A$5:$A$504,E39)=0,"BELUM ADA",INDEX('MASTER BAHAN'!$D$5:$D$504,MATCH(E39,'MASTER BAHAN'!$A$5:$A$504,0))))</f>
        <v/>
      </c>
      <c r="I39" s="23"/>
      <c r="J39" s="19" t="str">
        <f aca="false">IF(A39="","",IF(OR(NOT(ISNUMBER(G39)),NOT(ISNUMBER(I39))),"BELUM LENGKAP",ROUND(G39*I39,0)))</f>
        <v/>
      </c>
      <c r="K39" s="14"/>
      <c r="L39" s="14"/>
      <c r="M39" s="24" t="str">
        <f aca="false">IF(A39="","",COUNTIF($A$5:A39,A39))</f>
        <v/>
      </c>
      <c r="N39" s="24" t="str">
        <f aca="false">IF(A39="","",A39&amp;"|"&amp;M39)</f>
        <v/>
      </c>
    </row>
    <row r="40" customFormat="false" ht="27" hidden="false" customHeight="true" outlineLevel="0" collapsed="false">
      <c r="A40" s="14"/>
      <c r="B40" s="22"/>
      <c r="C40" s="14"/>
      <c r="D40" s="14"/>
      <c r="E40" s="14"/>
      <c r="F40" s="18" t="str">
        <f aca="false">IF(E40="","",IF(COUNTIFS('MASTER BAHAN'!$A$5:$A$504,E40)=0,"BELUM ADA",INDEX('MASTER BAHAN'!$B$5:$B$504,MATCH(E40,'MASTER BAHAN'!$A$5:$A$504,0))))</f>
        <v/>
      </c>
      <c r="G40" s="14"/>
      <c r="H40" s="18" t="str">
        <f aca="false">IF(E40="","",IF(COUNTIFS('MASTER BAHAN'!$A$5:$A$504,E40)=0,"BELUM ADA",INDEX('MASTER BAHAN'!$D$5:$D$504,MATCH(E40,'MASTER BAHAN'!$A$5:$A$504,0))))</f>
        <v/>
      </c>
      <c r="I40" s="23"/>
      <c r="J40" s="19" t="str">
        <f aca="false">IF(A40="","",IF(OR(NOT(ISNUMBER(G40)),NOT(ISNUMBER(I40))),"BELUM LENGKAP",ROUND(G40*I40,0)))</f>
        <v/>
      </c>
      <c r="K40" s="14"/>
      <c r="L40" s="14"/>
      <c r="M40" s="24" t="str">
        <f aca="false">IF(A40="","",COUNTIF($A$5:A40,A40))</f>
        <v/>
      </c>
      <c r="N40" s="24" t="str">
        <f aca="false">IF(A40="","",A40&amp;"|"&amp;M40)</f>
        <v/>
      </c>
    </row>
    <row r="41" customFormat="false" ht="27" hidden="false" customHeight="true" outlineLevel="0" collapsed="false">
      <c r="A41" s="14"/>
      <c r="B41" s="22"/>
      <c r="C41" s="14"/>
      <c r="D41" s="14"/>
      <c r="E41" s="14"/>
      <c r="F41" s="18" t="str">
        <f aca="false">IF(E41="","",IF(COUNTIFS('MASTER BAHAN'!$A$5:$A$504,E41)=0,"BELUM ADA",INDEX('MASTER BAHAN'!$B$5:$B$504,MATCH(E41,'MASTER BAHAN'!$A$5:$A$504,0))))</f>
        <v/>
      </c>
      <c r="G41" s="14"/>
      <c r="H41" s="18" t="str">
        <f aca="false">IF(E41="","",IF(COUNTIFS('MASTER BAHAN'!$A$5:$A$504,E41)=0,"BELUM ADA",INDEX('MASTER BAHAN'!$D$5:$D$504,MATCH(E41,'MASTER BAHAN'!$A$5:$A$504,0))))</f>
        <v/>
      </c>
      <c r="I41" s="23"/>
      <c r="J41" s="19" t="str">
        <f aca="false">IF(A41="","",IF(OR(NOT(ISNUMBER(G41)),NOT(ISNUMBER(I41))),"BELUM LENGKAP",ROUND(G41*I41,0)))</f>
        <v/>
      </c>
      <c r="K41" s="14"/>
      <c r="L41" s="14"/>
      <c r="M41" s="24" t="str">
        <f aca="false">IF(A41="","",COUNTIF($A$5:A41,A41))</f>
        <v/>
      </c>
      <c r="N41" s="24" t="str">
        <f aca="false">IF(A41="","",A41&amp;"|"&amp;M41)</f>
        <v/>
      </c>
    </row>
    <row r="42" customFormat="false" ht="27" hidden="false" customHeight="true" outlineLevel="0" collapsed="false">
      <c r="A42" s="14"/>
      <c r="B42" s="22"/>
      <c r="C42" s="14"/>
      <c r="D42" s="14"/>
      <c r="E42" s="14"/>
      <c r="F42" s="18" t="str">
        <f aca="false">IF(E42="","",IF(COUNTIFS('MASTER BAHAN'!$A$5:$A$504,E42)=0,"BELUM ADA",INDEX('MASTER BAHAN'!$B$5:$B$504,MATCH(E42,'MASTER BAHAN'!$A$5:$A$504,0))))</f>
        <v/>
      </c>
      <c r="G42" s="14"/>
      <c r="H42" s="18" t="str">
        <f aca="false">IF(E42="","",IF(COUNTIFS('MASTER BAHAN'!$A$5:$A$504,E42)=0,"BELUM ADA",INDEX('MASTER BAHAN'!$D$5:$D$504,MATCH(E42,'MASTER BAHAN'!$A$5:$A$504,0))))</f>
        <v/>
      </c>
      <c r="I42" s="23"/>
      <c r="J42" s="19" t="str">
        <f aca="false">IF(A42="","",IF(OR(NOT(ISNUMBER(G42)),NOT(ISNUMBER(I42))),"BELUM LENGKAP",ROUND(G42*I42,0)))</f>
        <v/>
      </c>
      <c r="K42" s="14"/>
      <c r="L42" s="14"/>
      <c r="M42" s="24" t="str">
        <f aca="false">IF(A42="","",COUNTIF($A$5:A42,A42))</f>
        <v/>
      </c>
      <c r="N42" s="24" t="str">
        <f aca="false">IF(A42="","",A42&amp;"|"&amp;M42)</f>
        <v/>
      </c>
    </row>
    <row r="43" customFormat="false" ht="27" hidden="false" customHeight="true" outlineLevel="0" collapsed="false">
      <c r="A43" s="14"/>
      <c r="B43" s="22"/>
      <c r="C43" s="14"/>
      <c r="D43" s="14"/>
      <c r="E43" s="14"/>
      <c r="F43" s="18" t="str">
        <f aca="false">IF(E43="","",IF(COUNTIFS('MASTER BAHAN'!$A$5:$A$504,E43)=0,"BELUM ADA",INDEX('MASTER BAHAN'!$B$5:$B$504,MATCH(E43,'MASTER BAHAN'!$A$5:$A$504,0))))</f>
        <v/>
      </c>
      <c r="G43" s="14"/>
      <c r="H43" s="18" t="str">
        <f aca="false">IF(E43="","",IF(COUNTIFS('MASTER BAHAN'!$A$5:$A$504,E43)=0,"BELUM ADA",INDEX('MASTER BAHAN'!$D$5:$D$504,MATCH(E43,'MASTER BAHAN'!$A$5:$A$504,0))))</f>
        <v/>
      </c>
      <c r="I43" s="23"/>
      <c r="J43" s="19" t="str">
        <f aca="false">IF(A43="","",IF(OR(NOT(ISNUMBER(G43)),NOT(ISNUMBER(I43))),"BELUM LENGKAP",ROUND(G43*I43,0)))</f>
        <v/>
      </c>
      <c r="K43" s="14"/>
      <c r="L43" s="14"/>
      <c r="M43" s="24" t="str">
        <f aca="false">IF(A43="","",COUNTIF($A$5:A43,A43))</f>
        <v/>
      </c>
      <c r="N43" s="24" t="str">
        <f aca="false">IF(A43="","",A43&amp;"|"&amp;M43)</f>
        <v/>
      </c>
    </row>
    <row r="44" customFormat="false" ht="27" hidden="false" customHeight="true" outlineLevel="0" collapsed="false">
      <c r="A44" s="14"/>
      <c r="B44" s="22"/>
      <c r="C44" s="14"/>
      <c r="D44" s="14"/>
      <c r="E44" s="14"/>
      <c r="F44" s="18" t="str">
        <f aca="false">IF(E44="","",IF(COUNTIFS('MASTER BAHAN'!$A$5:$A$504,E44)=0,"BELUM ADA",INDEX('MASTER BAHAN'!$B$5:$B$504,MATCH(E44,'MASTER BAHAN'!$A$5:$A$504,0))))</f>
        <v/>
      </c>
      <c r="G44" s="14"/>
      <c r="H44" s="18" t="str">
        <f aca="false">IF(E44="","",IF(COUNTIFS('MASTER BAHAN'!$A$5:$A$504,E44)=0,"BELUM ADA",INDEX('MASTER BAHAN'!$D$5:$D$504,MATCH(E44,'MASTER BAHAN'!$A$5:$A$504,0))))</f>
        <v/>
      </c>
      <c r="I44" s="23"/>
      <c r="J44" s="19" t="str">
        <f aca="false">IF(A44="","",IF(OR(NOT(ISNUMBER(G44)),NOT(ISNUMBER(I44))),"BELUM LENGKAP",ROUND(G44*I44,0)))</f>
        <v/>
      </c>
      <c r="K44" s="14"/>
      <c r="L44" s="14"/>
      <c r="M44" s="24" t="str">
        <f aca="false">IF(A44="","",COUNTIF($A$5:A44,A44))</f>
        <v/>
      </c>
      <c r="N44" s="24" t="str">
        <f aca="false">IF(A44="","",A44&amp;"|"&amp;M44)</f>
        <v/>
      </c>
    </row>
    <row r="45" customFormat="false" ht="27" hidden="false" customHeight="true" outlineLevel="0" collapsed="false">
      <c r="A45" s="14"/>
      <c r="B45" s="22"/>
      <c r="C45" s="14"/>
      <c r="D45" s="14"/>
      <c r="E45" s="14"/>
      <c r="F45" s="18" t="str">
        <f aca="false">IF(E45="","",IF(COUNTIFS('MASTER BAHAN'!$A$5:$A$504,E45)=0,"BELUM ADA",INDEX('MASTER BAHAN'!$B$5:$B$504,MATCH(E45,'MASTER BAHAN'!$A$5:$A$504,0))))</f>
        <v/>
      </c>
      <c r="G45" s="14"/>
      <c r="H45" s="18" t="str">
        <f aca="false">IF(E45="","",IF(COUNTIFS('MASTER BAHAN'!$A$5:$A$504,E45)=0,"BELUM ADA",INDEX('MASTER BAHAN'!$D$5:$D$504,MATCH(E45,'MASTER BAHAN'!$A$5:$A$504,0))))</f>
        <v/>
      </c>
      <c r="I45" s="23"/>
      <c r="J45" s="19" t="str">
        <f aca="false">IF(A45="","",IF(OR(NOT(ISNUMBER(G45)),NOT(ISNUMBER(I45))),"BELUM LENGKAP",ROUND(G45*I45,0)))</f>
        <v/>
      </c>
      <c r="K45" s="14"/>
      <c r="L45" s="14"/>
      <c r="M45" s="24" t="str">
        <f aca="false">IF(A45="","",COUNTIF($A$5:A45,A45))</f>
        <v/>
      </c>
      <c r="N45" s="24" t="str">
        <f aca="false">IF(A45="","",A45&amp;"|"&amp;M45)</f>
        <v/>
      </c>
    </row>
    <row r="46" customFormat="false" ht="27" hidden="false" customHeight="true" outlineLevel="0" collapsed="false">
      <c r="A46" s="14"/>
      <c r="B46" s="22"/>
      <c r="C46" s="14"/>
      <c r="D46" s="14"/>
      <c r="E46" s="14"/>
      <c r="F46" s="18" t="str">
        <f aca="false">IF(E46="","",IF(COUNTIFS('MASTER BAHAN'!$A$5:$A$504,E46)=0,"BELUM ADA",INDEX('MASTER BAHAN'!$B$5:$B$504,MATCH(E46,'MASTER BAHAN'!$A$5:$A$504,0))))</f>
        <v/>
      </c>
      <c r="G46" s="14"/>
      <c r="H46" s="18" t="str">
        <f aca="false">IF(E46="","",IF(COUNTIFS('MASTER BAHAN'!$A$5:$A$504,E46)=0,"BELUM ADA",INDEX('MASTER BAHAN'!$D$5:$D$504,MATCH(E46,'MASTER BAHAN'!$A$5:$A$504,0))))</f>
        <v/>
      </c>
      <c r="I46" s="23"/>
      <c r="J46" s="19" t="str">
        <f aca="false">IF(A46="","",IF(OR(NOT(ISNUMBER(G46)),NOT(ISNUMBER(I46))),"BELUM LENGKAP",ROUND(G46*I46,0)))</f>
        <v/>
      </c>
      <c r="K46" s="14"/>
      <c r="L46" s="14"/>
      <c r="M46" s="24" t="str">
        <f aca="false">IF(A46="","",COUNTIF($A$5:A46,A46))</f>
        <v/>
      </c>
      <c r="N46" s="24" t="str">
        <f aca="false">IF(A46="","",A46&amp;"|"&amp;M46)</f>
        <v/>
      </c>
    </row>
    <row r="47" customFormat="false" ht="27" hidden="false" customHeight="true" outlineLevel="0" collapsed="false">
      <c r="A47" s="14"/>
      <c r="B47" s="22"/>
      <c r="C47" s="14"/>
      <c r="D47" s="14"/>
      <c r="E47" s="14"/>
      <c r="F47" s="18" t="str">
        <f aca="false">IF(E47="","",IF(COUNTIFS('MASTER BAHAN'!$A$5:$A$504,E47)=0,"BELUM ADA",INDEX('MASTER BAHAN'!$B$5:$B$504,MATCH(E47,'MASTER BAHAN'!$A$5:$A$504,0))))</f>
        <v/>
      </c>
      <c r="G47" s="14"/>
      <c r="H47" s="18" t="str">
        <f aca="false">IF(E47="","",IF(COUNTIFS('MASTER BAHAN'!$A$5:$A$504,E47)=0,"BELUM ADA",INDEX('MASTER BAHAN'!$D$5:$D$504,MATCH(E47,'MASTER BAHAN'!$A$5:$A$504,0))))</f>
        <v/>
      </c>
      <c r="I47" s="23"/>
      <c r="J47" s="19" t="str">
        <f aca="false">IF(A47="","",IF(OR(NOT(ISNUMBER(G47)),NOT(ISNUMBER(I47))),"BELUM LENGKAP",ROUND(G47*I47,0)))</f>
        <v/>
      </c>
      <c r="K47" s="14"/>
      <c r="L47" s="14"/>
      <c r="M47" s="24" t="str">
        <f aca="false">IF(A47="","",COUNTIF($A$5:A47,A47))</f>
        <v/>
      </c>
      <c r="N47" s="24" t="str">
        <f aca="false">IF(A47="","",A47&amp;"|"&amp;M47)</f>
        <v/>
      </c>
    </row>
    <row r="48" customFormat="false" ht="27" hidden="false" customHeight="true" outlineLevel="0" collapsed="false">
      <c r="A48" s="14"/>
      <c r="B48" s="22"/>
      <c r="C48" s="14"/>
      <c r="D48" s="14"/>
      <c r="E48" s="14"/>
      <c r="F48" s="18" t="str">
        <f aca="false">IF(E48="","",IF(COUNTIFS('MASTER BAHAN'!$A$5:$A$504,E48)=0,"BELUM ADA",INDEX('MASTER BAHAN'!$B$5:$B$504,MATCH(E48,'MASTER BAHAN'!$A$5:$A$504,0))))</f>
        <v/>
      </c>
      <c r="G48" s="14"/>
      <c r="H48" s="18" t="str">
        <f aca="false">IF(E48="","",IF(COUNTIFS('MASTER BAHAN'!$A$5:$A$504,E48)=0,"BELUM ADA",INDEX('MASTER BAHAN'!$D$5:$D$504,MATCH(E48,'MASTER BAHAN'!$A$5:$A$504,0))))</f>
        <v/>
      </c>
      <c r="I48" s="23"/>
      <c r="J48" s="19" t="str">
        <f aca="false">IF(A48="","",IF(OR(NOT(ISNUMBER(G48)),NOT(ISNUMBER(I48))),"BELUM LENGKAP",ROUND(G48*I48,0)))</f>
        <v/>
      </c>
      <c r="K48" s="14"/>
      <c r="L48" s="14"/>
      <c r="M48" s="24" t="str">
        <f aca="false">IF(A48="","",COUNTIF($A$5:A48,A48))</f>
        <v/>
      </c>
      <c r="N48" s="24" t="str">
        <f aca="false">IF(A48="","",A48&amp;"|"&amp;M48)</f>
        <v/>
      </c>
    </row>
    <row r="49" customFormat="false" ht="27" hidden="false" customHeight="true" outlineLevel="0" collapsed="false">
      <c r="A49" s="14"/>
      <c r="B49" s="22"/>
      <c r="C49" s="14"/>
      <c r="D49" s="14"/>
      <c r="E49" s="14"/>
      <c r="F49" s="18" t="str">
        <f aca="false">IF(E49="","",IF(COUNTIFS('MASTER BAHAN'!$A$5:$A$504,E49)=0,"BELUM ADA",INDEX('MASTER BAHAN'!$B$5:$B$504,MATCH(E49,'MASTER BAHAN'!$A$5:$A$504,0))))</f>
        <v/>
      </c>
      <c r="G49" s="14"/>
      <c r="H49" s="18" t="str">
        <f aca="false">IF(E49="","",IF(COUNTIFS('MASTER BAHAN'!$A$5:$A$504,E49)=0,"BELUM ADA",INDEX('MASTER BAHAN'!$D$5:$D$504,MATCH(E49,'MASTER BAHAN'!$A$5:$A$504,0))))</f>
        <v/>
      </c>
      <c r="I49" s="23"/>
      <c r="J49" s="19" t="str">
        <f aca="false">IF(A49="","",IF(OR(NOT(ISNUMBER(G49)),NOT(ISNUMBER(I49))),"BELUM LENGKAP",ROUND(G49*I49,0)))</f>
        <v/>
      </c>
      <c r="K49" s="14"/>
      <c r="L49" s="14"/>
      <c r="M49" s="24" t="str">
        <f aca="false">IF(A49="","",COUNTIF($A$5:A49,A49))</f>
        <v/>
      </c>
      <c r="N49" s="24" t="str">
        <f aca="false">IF(A49="","",A49&amp;"|"&amp;M49)</f>
        <v/>
      </c>
    </row>
    <row r="50" customFormat="false" ht="27" hidden="false" customHeight="true" outlineLevel="0" collapsed="false">
      <c r="A50" s="14"/>
      <c r="B50" s="22"/>
      <c r="C50" s="14"/>
      <c r="D50" s="14"/>
      <c r="E50" s="14"/>
      <c r="F50" s="18" t="str">
        <f aca="false">IF(E50="","",IF(COUNTIFS('MASTER BAHAN'!$A$5:$A$504,E50)=0,"BELUM ADA",INDEX('MASTER BAHAN'!$B$5:$B$504,MATCH(E50,'MASTER BAHAN'!$A$5:$A$504,0))))</f>
        <v/>
      </c>
      <c r="G50" s="14"/>
      <c r="H50" s="18" t="str">
        <f aca="false">IF(E50="","",IF(COUNTIFS('MASTER BAHAN'!$A$5:$A$504,E50)=0,"BELUM ADA",INDEX('MASTER BAHAN'!$D$5:$D$504,MATCH(E50,'MASTER BAHAN'!$A$5:$A$504,0))))</f>
        <v/>
      </c>
      <c r="I50" s="23"/>
      <c r="J50" s="19" t="str">
        <f aca="false">IF(A50="","",IF(OR(NOT(ISNUMBER(G50)),NOT(ISNUMBER(I50))),"BELUM LENGKAP",ROUND(G50*I50,0)))</f>
        <v/>
      </c>
      <c r="K50" s="14"/>
      <c r="L50" s="14"/>
      <c r="M50" s="24" t="str">
        <f aca="false">IF(A50="","",COUNTIF($A$5:A50,A50))</f>
        <v/>
      </c>
      <c r="N50" s="24" t="str">
        <f aca="false">IF(A50="","",A50&amp;"|"&amp;M50)</f>
        <v/>
      </c>
    </row>
    <row r="51" customFormat="false" ht="27" hidden="false" customHeight="true" outlineLevel="0" collapsed="false">
      <c r="A51" s="14"/>
      <c r="B51" s="22"/>
      <c r="C51" s="14"/>
      <c r="D51" s="14"/>
      <c r="E51" s="14"/>
      <c r="F51" s="18" t="str">
        <f aca="false">IF(E51="","",IF(COUNTIFS('MASTER BAHAN'!$A$5:$A$504,E51)=0,"BELUM ADA",INDEX('MASTER BAHAN'!$B$5:$B$504,MATCH(E51,'MASTER BAHAN'!$A$5:$A$504,0))))</f>
        <v/>
      </c>
      <c r="G51" s="14"/>
      <c r="H51" s="18" t="str">
        <f aca="false">IF(E51="","",IF(COUNTIFS('MASTER BAHAN'!$A$5:$A$504,E51)=0,"BELUM ADA",INDEX('MASTER BAHAN'!$D$5:$D$504,MATCH(E51,'MASTER BAHAN'!$A$5:$A$504,0))))</f>
        <v/>
      </c>
      <c r="I51" s="23"/>
      <c r="J51" s="19" t="str">
        <f aca="false">IF(A51="","",IF(OR(NOT(ISNUMBER(G51)),NOT(ISNUMBER(I51))),"BELUM LENGKAP",ROUND(G51*I51,0)))</f>
        <v/>
      </c>
      <c r="K51" s="14"/>
      <c r="L51" s="14"/>
      <c r="M51" s="24" t="str">
        <f aca="false">IF(A51="","",COUNTIF($A$5:A51,A51))</f>
        <v/>
      </c>
      <c r="N51" s="24" t="str">
        <f aca="false">IF(A51="","",A51&amp;"|"&amp;M51)</f>
        <v/>
      </c>
    </row>
    <row r="52" customFormat="false" ht="27" hidden="false" customHeight="true" outlineLevel="0" collapsed="false">
      <c r="A52" s="14"/>
      <c r="B52" s="22"/>
      <c r="C52" s="14"/>
      <c r="D52" s="14"/>
      <c r="E52" s="14"/>
      <c r="F52" s="18" t="str">
        <f aca="false">IF(E52="","",IF(COUNTIFS('MASTER BAHAN'!$A$5:$A$504,E52)=0,"BELUM ADA",INDEX('MASTER BAHAN'!$B$5:$B$504,MATCH(E52,'MASTER BAHAN'!$A$5:$A$504,0))))</f>
        <v/>
      </c>
      <c r="G52" s="14"/>
      <c r="H52" s="18" t="str">
        <f aca="false">IF(E52="","",IF(COUNTIFS('MASTER BAHAN'!$A$5:$A$504,E52)=0,"BELUM ADA",INDEX('MASTER BAHAN'!$D$5:$D$504,MATCH(E52,'MASTER BAHAN'!$A$5:$A$504,0))))</f>
        <v/>
      </c>
      <c r="I52" s="23"/>
      <c r="J52" s="19" t="str">
        <f aca="false">IF(A52="","",IF(OR(NOT(ISNUMBER(G52)),NOT(ISNUMBER(I52))),"BELUM LENGKAP",ROUND(G52*I52,0)))</f>
        <v/>
      </c>
      <c r="K52" s="14"/>
      <c r="L52" s="14"/>
      <c r="M52" s="24" t="str">
        <f aca="false">IF(A52="","",COUNTIF($A$5:A52,A52))</f>
        <v/>
      </c>
      <c r="N52" s="24" t="str">
        <f aca="false">IF(A52="","",A52&amp;"|"&amp;M52)</f>
        <v/>
      </c>
    </row>
    <row r="53" customFormat="false" ht="27" hidden="false" customHeight="true" outlineLevel="0" collapsed="false">
      <c r="A53" s="14"/>
      <c r="B53" s="22"/>
      <c r="C53" s="14"/>
      <c r="D53" s="14"/>
      <c r="E53" s="14"/>
      <c r="F53" s="18" t="str">
        <f aca="false">IF(E53="","",IF(COUNTIFS('MASTER BAHAN'!$A$5:$A$504,E53)=0,"BELUM ADA",INDEX('MASTER BAHAN'!$B$5:$B$504,MATCH(E53,'MASTER BAHAN'!$A$5:$A$504,0))))</f>
        <v/>
      </c>
      <c r="G53" s="14"/>
      <c r="H53" s="18" t="str">
        <f aca="false">IF(E53="","",IF(COUNTIFS('MASTER BAHAN'!$A$5:$A$504,E53)=0,"BELUM ADA",INDEX('MASTER BAHAN'!$D$5:$D$504,MATCH(E53,'MASTER BAHAN'!$A$5:$A$504,0))))</f>
        <v/>
      </c>
      <c r="I53" s="23"/>
      <c r="J53" s="19" t="str">
        <f aca="false">IF(A53="","",IF(OR(NOT(ISNUMBER(G53)),NOT(ISNUMBER(I53))),"BELUM LENGKAP",ROUND(G53*I53,0)))</f>
        <v/>
      </c>
      <c r="K53" s="14"/>
      <c r="L53" s="14"/>
      <c r="M53" s="24" t="str">
        <f aca="false">IF(A53="","",COUNTIF($A$5:A53,A53))</f>
        <v/>
      </c>
      <c r="N53" s="24" t="str">
        <f aca="false">IF(A53="","",A53&amp;"|"&amp;M53)</f>
        <v/>
      </c>
    </row>
    <row r="54" customFormat="false" ht="27" hidden="false" customHeight="true" outlineLevel="0" collapsed="false">
      <c r="A54" s="14"/>
      <c r="B54" s="22"/>
      <c r="C54" s="14"/>
      <c r="D54" s="14"/>
      <c r="E54" s="14"/>
      <c r="F54" s="18" t="str">
        <f aca="false">IF(E54="","",IF(COUNTIFS('MASTER BAHAN'!$A$5:$A$504,E54)=0,"BELUM ADA",INDEX('MASTER BAHAN'!$B$5:$B$504,MATCH(E54,'MASTER BAHAN'!$A$5:$A$504,0))))</f>
        <v/>
      </c>
      <c r="G54" s="14"/>
      <c r="H54" s="18" t="str">
        <f aca="false">IF(E54="","",IF(COUNTIFS('MASTER BAHAN'!$A$5:$A$504,E54)=0,"BELUM ADA",INDEX('MASTER BAHAN'!$D$5:$D$504,MATCH(E54,'MASTER BAHAN'!$A$5:$A$504,0))))</f>
        <v/>
      </c>
      <c r="I54" s="23"/>
      <c r="J54" s="19" t="str">
        <f aca="false">IF(A54="","",IF(OR(NOT(ISNUMBER(G54)),NOT(ISNUMBER(I54))),"BELUM LENGKAP",ROUND(G54*I54,0)))</f>
        <v/>
      </c>
      <c r="K54" s="14"/>
      <c r="L54" s="14"/>
      <c r="M54" s="24" t="str">
        <f aca="false">IF(A54="","",COUNTIF($A$5:A54,A54))</f>
        <v/>
      </c>
      <c r="N54" s="24" t="str">
        <f aca="false">IF(A54="","",A54&amp;"|"&amp;M54)</f>
        <v/>
      </c>
    </row>
    <row r="55" customFormat="false" ht="27" hidden="false" customHeight="true" outlineLevel="0" collapsed="false">
      <c r="A55" s="14"/>
      <c r="B55" s="22"/>
      <c r="C55" s="14"/>
      <c r="D55" s="14"/>
      <c r="E55" s="14"/>
      <c r="F55" s="18" t="str">
        <f aca="false">IF(E55="","",IF(COUNTIFS('MASTER BAHAN'!$A$5:$A$504,E55)=0,"BELUM ADA",INDEX('MASTER BAHAN'!$B$5:$B$504,MATCH(E55,'MASTER BAHAN'!$A$5:$A$504,0))))</f>
        <v/>
      </c>
      <c r="G55" s="14"/>
      <c r="H55" s="18" t="str">
        <f aca="false">IF(E55="","",IF(COUNTIFS('MASTER BAHAN'!$A$5:$A$504,E55)=0,"BELUM ADA",INDEX('MASTER BAHAN'!$D$5:$D$504,MATCH(E55,'MASTER BAHAN'!$A$5:$A$504,0))))</f>
        <v/>
      </c>
      <c r="I55" s="23"/>
      <c r="J55" s="19" t="str">
        <f aca="false">IF(A55="","",IF(OR(NOT(ISNUMBER(G55)),NOT(ISNUMBER(I55))),"BELUM LENGKAP",ROUND(G55*I55,0)))</f>
        <v/>
      </c>
      <c r="K55" s="14"/>
      <c r="L55" s="14"/>
      <c r="M55" s="24" t="str">
        <f aca="false">IF(A55="","",COUNTIF($A$5:A55,A55))</f>
        <v/>
      </c>
      <c r="N55" s="24" t="str">
        <f aca="false">IF(A55="","",A55&amp;"|"&amp;M55)</f>
        <v/>
      </c>
    </row>
    <row r="56" customFormat="false" ht="27" hidden="false" customHeight="true" outlineLevel="0" collapsed="false">
      <c r="A56" s="14"/>
      <c r="B56" s="22"/>
      <c r="C56" s="14"/>
      <c r="D56" s="14"/>
      <c r="E56" s="14"/>
      <c r="F56" s="18" t="str">
        <f aca="false">IF(E56="","",IF(COUNTIFS('MASTER BAHAN'!$A$5:$A$504,E56)=0,"BELUM ADA",INDEX('MASTER BAHAN'!$B$5:$B$504,MATCH(E56,'MASTER BAHAN'!$A$5:$A$504,0))))</f>
        <v/>
      </c>
      <c r="G56" s="14"/>
      <c r="H56" s="18" t="str">
        <f aca="false">IF(E56="","",IF(COUNTIFS('MASTER BAHAN'!$A$5:$A$504,E56)=0,"BELUM ADA",INDEX('MASTER BAHAN'!$D$5:$D$504,MATCH(E56,'MASTER BAHAN'!$A$5:$A$504,0))))</f>
        <v/>
      </c>
      <c r="I56" s="23"/>
      <c r="J56" s="19" t="str">
        <f aca="false">IF(A56="","",IF(OR(NOT(ISNUMBER(G56)),NOT(ISNUMBER(I56))),"BELUM LENGKAP",ROUND(G56*I56,0)))</f>
        <v/>
      </c>
      <c r="K56" s="14"/>
      <c r="L56" s="14"/>
      <c r="M56" s="24" t="str">
        <f aca="false">IF(A56="","",COUNTIF($A$5:A56,A56))</f>
        <v/>
      </c>
      <c r="N56" s="24" t="str">
        <f aca="false">IF(A56="","",A56&amp;"|"&amp;M56)</f>
        <v/>
      </c>
    </row>
    <row r="57" customFormat="false" ht="27" hidden="false" customHeight="true" outlineLevel="0" collapsed="false">
      <c r="A57" s="14"/>
      <c r="B57" s="22"/>
      <c r="C57" s="14"/>
      <c r="D57" s="14"/>
      <c r="E57" s="14"/>
      <c r="F57" s="18" t="str">
        <f aca="false">IF(E57="","",IF(COUNTIFS('MASTER BAHAN'!$A$5:$A$504,E57)=0,"BELUM ADA",INDEX('MASTER BAHAN'!$B$5:$B$504,MATCH(E57,'MASTER BAHAN'!$A$5:$A$504,0))))</f>
        <v/>
      </c>
      <c r="G57" s="14"/>
      <c r="H57" s="18" t="str">
        <f aca="false">IF(E57="","",IF(COUNTIFS('MASTER BAHAN'!$A$5:$A$504,E57)=0,"BELUM ADA",INDEX('MASTER BAHAN'!$D$5:$D$504,MATCH(E57,'MASTER BAHAN'!$A$5:$A$504,0))))</f>
        <v/>
      </c>
      <c r="I57" s="23"/>
      <c r="J57" s="19" t="str">
        <f aca="false">IF(A57="","",IF(OR(NOT(ISNUMBER(G57)),NOT(ISNUMBER(I57))),"BELUM LENGKAP",ROUND(G57*I57,0)))</f>
        <v/>
      </c>
      <c r="K57" s="14"/>
      <c r="L57" s="14"/>
      <c r="M57" s="24" t="str">
        <f aca="false">IF(A57="","",COUNTIF($A$5:A57,A57))</f>
        <v/>
      </c>
      <c r="N57" s="24" t="str">
        <f aca="false">IF(A57="","",A57&amp;"|"&amp;M57)</f>
        <v/>
      </c>
    </row>
    <row r="58" customFormat="false" ht="27" hidden="false" customHeight="true" outlineLevel="0" collapsed="false">
      <c r="A58" s="14"/>
      <c r="B58" s="22"/>
      <c r="C58" s="14"/>
      <c r="D58" s="14"/>
      <c r="E58" s="14"/>
      <c r="F58" s="18" t="str">
        <f aca="false">IF(E58="","",IF(COUNTIFS('MASTER BAHAN'!$A$5:$A$504,E58)=0,"BELUM ADA",INDEX('MASTER BAHAN'!$B$5:$B$504,MATCH(E58,'MASTER BAHAN'!$A$5:$A$504,0))))</f>
        <v/>
      </c>
      <c r="G58" s="14"/>
      <c r="H58" s="18" t="str">
        <f aca="false">IF(E58="","",IF(COUNTIFS('MASTER BAHAN'!$A$5:$A$504,E58)=0,"BELUM ADA",INDEX('MASTER BAHAN'!$D$5:$D$504,MATCH(E58,'MASTER BAHAN'!$A$5:$A$504,0))))</f>
        <v/>
      </c>
      <c r="I58" s="23"/>
      <c r="J58" s="19" t="str">
        <f aca="false">IF(A58="","",IF(OR(NOT(ISNUMBER(G58)),NOT(ISNUMBER(I58))),"BELUM LENGKAP",ROUND(G58*I58,0)))</f>
        <v/>
      </c>
      <c r="K58" s="14"/>
      <c r="L58" s="14"/>
      <c r="M58" s="24" t="str">
        <f aca="false">IF(A58="","",COUNTIF($A$5:A58,A58))</f>
        <v/>
      </c>
      <c r="N58" s="24" t="str">
        <f aca="false">IF(A58="","",A58&amp;"|"&amp;M58)</f>
        <v/>
      </c>
    </row>
    <row r="59" customFormat="false" ht="27" hidden="false" customHeight="true" outlineLevel="0" collapsed="false">
      <c r="A59" s="14"/>
      <c r="B59" s="22"/>
      <c r="C59" s="14"/>
      <c r="D59" s="14"/>
      <c r="E59" s="14"/>
      <c r="F59" s="18" t="str">
        <f aca="false">IF(E59="","",IF(COUNTIFS('MASTER BAHAN'!$A$5:$A$504,E59)=0,"BELUM ADA",INDEX('MASTER BAHAN'!$B$5:$B$504,MATCH(E59,'MASTER BAHAN'!$A$5:$A$504,0))))</f>
        <v/>
      </c>
      <c r="G59" s="14"/>
      <c r="H59" s="18" t="str">
        <f aca="false">IF(E59="","",IF(COUNTIFS('MASTER BAHAN'!$A$5:$A$504,E59)=0,"BELUM ADA",INDEX('MASTER BAHAN'!$D$5:$D$504,MATCH(E59,'MASTER BAHAN'!$A$5:$A$504,0))))</f>
        <v/>
      </c>
      <c r="I59" s="23"/>
      <c r="J59" s="19" t="str">
        <f aca="false">IF(A59="","",IF(OR(NOT(ISNUMBER(G59)),NOT(ISNUMBER(I59))),"BELUM LENGKAP",ROUND(G59*I59,0)))</f>
        <v/>
      </c>
      <c r="K59" s="14"/>
      <c r="L59" s="14"/>
      <c r="M59" s="24" t="str">
        <f aca="false">IF(A59="","",COUNTIF($A$5:A59,A59))</f>
        <v/>
      </c>
      <c r="N59" s="24" t="str">
        <f aca="false">IF(A59="","",A59&amp;"|"&amp;M59)</f>
        <v/>
      </c>
    </row>
    <row r="60" customFormat="false" ht="27" hidden="false" customHeight="true" outlineLevel="0" collapsed="false">
      <c r="A60" s="14"/>
      <c r="B60" s="22"/>
      <c r="C60" s="14"/>
      <c r="D60" s="14"/>
      <c r="E60" s="14"/>
      <c r="F60" s="18" t="str">
        <f aca="false">IF(E60="","",IF(COUNTIFS('MASTER BAHAN'!$A$5:$A$504,E60)=0,"BELUM ADA",INDEX('MASTER BAHAN'!$B$5:$B$504,MATCH(E60,'MASTER BAHAN'!$A$5:$A$504,0))))</f>
        <v/>
      </c>
      <c r="G60" s="14"/>
      <c r="H60" s="18" t="str">
        <f aca="false">IF(E60="","",IF(COUNTIFS('MASTER BAHAN'!$A$5:$A$504,E60)=0,"BELUM ADA",INDEX('MASTER BAHAN'!$D$5:$D$504,MATCH(E60,'MASTER BAHAN'!$A$5:$A$504,0))))</f>
        <v/>
      </c>
      <c r="I60" s="23"/>
      <c r="J60" s="19" t="str">
        <f aca="false">IF(A60="","",IF(OR(NOT(ISNUMBER(G60)),NOT(ISNUMBER(I60))),"BELUM LENGKAP",ROUND(G60*I60,0)))</f>
        <v/>
      </c>
      <c r="K60" s="14"/>
      <c r="L60" s="14"/>
      <c r="M60" s="24" t="str">
        <f aca="false">IF(A60="","",COUNTIF($A$5:A60,A60))</f>
        <v/>
      </c>
      <c r="N60" s="24" t="str">
        <f aca="false">IF(A60="","",A60&amp;"|"&amp;M60)</f>
        <v/>
      </c>
    </row>
    <row r="61" customFormat="false" ht="27" hidden="false" customHeight="true" outlineLevel="0" collapsed="false">
      <c r="A61" s="14"/>
      <c r="B61" s="22"/>
      <c r="C61" s="14"/>
      <c r="D61" s="14"/>
      <c r="E61" s="14"/>
      <c r="F61" s="18" t="str">
        <f aca="false">IF(E61="","",IF(COUNTIFS('MASTER BAHAN'!$A$5:$A$504,E61)=0,"BELUM ADA",INDEX('MASTER BAHAN'!$B$5:$B$504,MATCH(E61,'MASTER BAHAN'!$A$5:$A$504,0))))</f>
        <v/>
      </c>
      <c r="G61" s="14"/>
      <c r="H61" s="18" t="str">
        <f aca="false">IF(E61="","",IF(COUNTIFS('MASTER BAHAN'!$A$5:$A$504,E61)=0,"BELUM ADA",INDEX('MASTER BAHAN'!$D$5:$D$504,MATCH(E61,'MASTER BAHAN'!$A$5:$A$504,0))))</f>
        <v/>
      </c>
      <c r="I61" s="23"/>
      <c r="J61" s="19" t="str">
        <f aca="false">IF(A61="","",IF(OR(NOT(ISNUMBER(G61)),NOT(ISNUMBER(I61))),"BELUM LENGKAP",ROUND(G61*I61,0)))</f>
        <v/>
      </c>
      <c r="K61" s="14"/>
      <c r="L61" s="14"/>
      <c r="M61" s="24" t="str">
        <f aca="false">IF(A61="","",COUNTIF($A$5:A61,A61))</f>
        <v/>
      </c>
      <c r="N61" s="24" t="str">
        <f aca="false">IF(A61="","",A61&amp;"|"&amp;M61)</f>
        <v/>
      </c>
    </row>
    <row r="62" customFormat="false" ht="27" hidden="false" customHeight="true" outlineLevel="0" collapsed="false">
      <c r="A62" s="14"/>
      <c r="B62" s="22"/>
      <c r="C62" s="14"/>
      <c r="D62" s="14"/>
      <c r="E62" s="14"/>
      <c r="F62" s="18" t="str">
        <f aca="false">IF(E62="","",IF(COUNTIFS('MASTER BAHAN'!$A$5:$A$504,E62)=0,"BELUM ADA",INDEX('MASTER BAHAN'!$B$5:$B$504,MATCH(E62,'MASTER BAHAN'!$A$5:$A$504,0))))</f>
        <v/>
      </c>
      <c r="G62" s="14"/>
      <c r="H62" s="18" t="str">
        <f aca="false">IF(E62="","",IF(COUNTIFS('MASTER BAHAN'!$A$5:$A$504,E62)=0,"BELUM ADA",INDEX('MASTER BAHAN'!$D$5:$D$504,MATCH(E62,'MASTER BAHAN'!$A$5:$A$504,0))))</f>
        <v/>
      </c>
      <c r="I62" s="23"/>
      <c r="J62" s="19" t="str">
        <f aca="false">IF(A62="","",IF(OR(NOT(ISNUMBER(G62)),NOT(ISNUMBER(I62))),"BELUM LENGKAP",ROUND(G62*I62,0)))</f>
        <v/>
      </c>
      <c r="K62" s="14"/>
      <c r="L62" s="14"/>
      <c r="M62" s="24" t="str">
        <f aca="false">IF(A62="","",COUNTIF($A$5:A62,A62))</f>
        <v/>
      </c>
      <c r="N62" s="24" t="str">
        <f aca="false">IF(A62="","",A62&amp;"|"&amp;M62)</f>
        <v/>
      </c>
    </row>
    <row r="63" customFormat="false" ht="27" hidden="false" customHeight="true" outlineLevel="0" collapsed="false">
      <c r="A63" s="14"/>
      <c r="B63" s="22"/>
      <c r="C63" s="14"/>
      <c r="D63" s="14"/>
      <c r="E63" s="14"/>
      <c r="F63" s="18" t="str">
        <f aca="false">IF(E63="","",IF(COUNTIFS('MASTER BAHAN'!$A$5:$A$504,E63)=0,"BELUM ADA",INDEX('MASTER BAHAN'!$B$5:$B$504,MATCH(E63,'MASTER BAHAN'!$A$5:$A$504,0))))</f>
        <v/>
      </c>
      <c r="G63" s="14"/>
      <c r="H63" s="18" t="str">
        <f aca="false">IF(E63="","",IF(COUNTIFS('MASTER BAHAN'!$A$5:$A$504,E63)=0,"BELUM ADA",INDEX('MASTER BAHAN'!$D$5:$D$504,MATCH(E63,'MASTER BAHAN'!$A$5:$A$504,0))))</f>
        <v/>
      </c>
      <c r="I63" s="23"/>
      <c r="J63" s="19" t="str">
        <f aca="false">IF(A63="","",IF(OR(NOT(ISNUMBER(G63)),NOT(ISNUMBER(I63))),"BELUM LENGKAP",ROUND(G63*I63,0)))</f>
        <v/>
      </c>
      <c r="K63" s="14"/>
      <c r="L63" s="14"/>
      <c r="M63" s="24" t="str">
        <f aca="false">IF(A63="","",COUNTIF($A$5:A63,A63))</f>
        <v/>
      </c>
      <c r="N63" s="24" t="str">
        <f aca="false">IF(A63="","",A63&amp;"|"&amp;M63)</f>
        <v/>
      </c>
    </row>
    <row r="64" customFormat="false" ht="27" hidden="false" customHeight="true" outlineLevel="0" collapsed="false">
      <c r="A64" s="14"/>
      <c r="B64" s="22"/>
      <c r="C64" s="14"/>
      <c r="D64" s="14"/>
      <c r="E64" s="14"/>
      <c r="F64" s="18" t="str">
        <f aca="false">IF(E64="","",IF(COUNTIFS('MASTER BAHAN'!$A$5:$A$504,E64)=0,"BELUM ADA",INDEX('MASTER BAHAN'!$B$5:$B$504,MATCH(E64,'MASTER BAHAN'!$A$5:$A$504,0))))</f>
        <v/>
      </c>
      <c r="G64" s="14"/>
      <c r="H64" s="18" t="str">
        <f aca="false">IF(E64="","",IF(COUNTIFS('MASTER BAHAN'!$A$5:$A$504,E64)=0,"BELUM ADA",INDEX('MASTER BAHAN'!$D$5:$D$504,MATCH(E64,'MASTER BAHAN'!$A$5:$A$504,0))))</f>
        <v/>
      </c>
      <c r="I64" s="23"/>
      <c r="J64" s="19" t="str">
        <f aca="false">IF(A64="","",IF(OR(NOT(ISNUMBER(G64)),NOT(ISNUMBER(I64))),"BELUM LENGKAP",ROUND(G64*I64,0)))</f>
        <v/>
      </c>
      <c r="K64" s="14"/>
      <c r="L64" s="14"/>
      <c r="M64" s="24" t="str">
        <f aca="false">IF(A64="","",COUNTIF($A$5:A64,A64))</f>
        <v/>
      </c>
      <c r="N64" s="24" t="str">
        <f aca="false">IF(A64="","",A64&amp;"|"&amp;M64)</f>
        <v/>
      </c>
    </row>
    <row r="65" customFormat="false" ht="15" hidden="false" customHeight="false" outlineLevel="0" collapsed="false">
      <c r="F65" s="0" t="str">
        <f aca="false">IF(E65="","",IF(COUNTIFS('MASTER BAHAN'!$A$5:$A$504,E65)=0,"BELUM ADA",INDEX('MASTER BAHAN'!$B$5:$B$504,MATCH(E65,'MASTER BAHAN'!$A$5:$A$504,0))))</f>
        <v/>
      </c>
      <c r="H65" s="0" t="str">
        <f aca="false">IF(E65="","",IF(COUNTIFS('MASTER BAHAN'!$A$5:$A$504,E65)=0,"BELUM ADA",INDEX('MASTER BAHAN'!$D$5:$D$504,MATCH(E65,'MASTER BAHAN'!$A$5:$A$504,0))))</f>
        <v/>
      </c>
      <c r="J65" s="0" t="str">
        <f aca="false">IF(A65="","",IF(OR(NOT(ISNUMBER(G65)),NOT(ISNUMBER(I65))),"BELUM LENGKAP",ROUND(G65*I65,0)))</f>
        <v/>
      </c>
      <c r="M65" s="24" t="str">
        <f aca="false">IF(A65="","",COUNTIF($A$5:A65,A65))</f>
        <v/>
      </c>
      <c r="N65" s="24" t="str">
        <f aca="false">IF(A65="","",A65&amp;"|"&amp;M65)</f>
        <v/>
      </c>
    </row>
    <row r="66" customFormat="false" ht="15" hidden="false" customHeight="false" outlineLevel="0" collapsed="false">
      <c r="F66" s="0" t="str">
        <f aca="false">IF(E66="","",IF(COUNTIFS('MASTER BAHAN'!$A$5:$A$504,E66)=0,"BELUM ADA",INDEX('MASTER BAHAN'!$B$5:$B$504,MATCH(E66,'MASTER BAHAN'!$A$5:$A$504,0))))</f>
        <v/>
      </c>
      <c r="H66" s="0" t="str">
        <f aca="false">IF(E66="","",IF(COUNTIFS('MASTER BAHAN'!$A$5:$A$504,E66)=0,"BELUM ADA",INDEX('MASTER BAHAN'!$D$5:$D$504,MATCH(E66,'MASTER BAHAN'!$A$5:$A$504,0))))</f>
        <v/>
      </c>
      <c r="J66" s="0" t="str">
        <f aca="false">IF(A66="","",IF(OR(NOT(ISNUMBER(G66)),NOT(ISNUMBER(I66))),"BELUM LENGKAP",ROUND(G66*I66,0)))</f>
        <v/>
      </c>
      <c r="M66" s="24" t="str">
        <f aca="false">IF(A66="","",COUNTIF($A$5:A66,A66))</f>
        <v/>
      </c>
      <c r="N66" s="24" t="str">
        <f aca="false">IF(A66="","",A66&amp;"|"&amp;M66)</f>
        <v/>
      </c>
    </row>
    <row r="67" customFormat="false" ht="15" hidden="false" customHeight="false" outlineLevel="0" collapsed="false">
      <c r="F67" s="0" t="str">
        <f aca="false">IF(E67="","",IF(COUNTIFS('MASTER BAHAN'!$A$5:$A$504,E67)=0,"BELUM ADA",INDEX('MASTER BAHAN'!$B$5:$B$504,MATCH(E67,'MASTER BAHAN'!$A$5:$A$504,0))))</f>
        <v/>
      </c>
      <c r="H67" s="0" t="str">
        <f aca="false">IF(E67="","",IF(COUNTIFS('MASTER BAHAN'!$A$5:$A$504,E67)=0,"BELUM ADA",INDEX('MASTER BAHAN'!$D$5:$D$504,MATCH(E67,'MASTER BAHAN'!$A$5:$A$504,0))))</f>
        <v/>
      </c>
      <c r="J67" s="0" t="str">
        <f aca="false">IF(A67="","",IF(OR(NOT(ISNUMBER(G67)),NOT(ISNUMBER(I67))),"BELUM LENGKAP",ROUND(G67*I67,0)))</f>
        <v/>
      </c>
      <c r="M67" s="24" t="str">
        <f aca="false">IF(A67="","",COUNTIF($A$5:A67,A67))</f>
        <v/>
      </c>
      <c r="N67" s="24" t="str">
        <f aca="false">IF(A67="","",A67&amp;"|"&amp;M67)</f>
        <v/>
      </c>
    </row>
    <row r="68" customFormat="false" ht="15" hidden="false" customHeight="false" outlineLevel="0" collapsed="false">
      <c r="F68" s="0" t="str">
        <f aca="false">IF(E68="","",IF(COUNTIFS('MASTER BAHAN'!$A$5:$A$504,E68)=0,"BELUM ADA",INDEX('MASTER BAHAN'!$B$5:$B$504,MATCH(E68,'MASTER BAHAN'!$A$5:$A$504,0))))</f>
        <v/>
      </c>
      <c r="H68" s="0" t="str">
        <f aca="false">IF(E68="","",IF(COUNTIFS('MASTER BAHAN'!$A$5:$A$504,E68)=0,"BELUM ADA",INDEX('MASTER BAHAN'!$D$5:$D$504,MATCH(E68,'MASTER BAHAN'!$A$5:$A$504,0))))</f>
        <v/>
      </c>
      <c r="J68" s="0" t="str">
        <f aca="false">IF(A68="","",IF(OR(NOT(ISNUMBER(G68)),NOT(ISNUMBER(I68))),"BELUM LENGKAP",ROUND(G68*I68,0)))</f>
        <v/>
      </c>
      <c r="M68" s="24" t="str">
        <f aca="false">IF(A68="","",COUNTIF($A$5:A68,A68))</f>
        <v/>
      </c>
      <c r="N68" s="24" t="str">
        <f aca="false">IF(A68="","",A68&amp;"|"&amp;M68)</f>
        <v/>
      </c>
    </row>
    <row r="69" customFormat="false" ht="15" hidden="false" customHeight="false" outlineLevel="0" collapsed="false">
      <c r="F69" s="0" t="str">
        <f aca="false">IF(E69="","",IF(COUNTIFS('MASTER BAHAN'!$A$5:$A$504,E69)=0,"BELUM ADA",INDEX('MASTER BAHAN'!$B$5:$B$504,MATCH(E69,'MASTER BAHAN'!$A$5:$A$504,0))))</f>
        <v/>
      </c>
      <c r="H69" s="0" t="str">
        <f aca="false">IF(E69="","",IF(COUNTIFS('MASTER BAHAN'!$A$5:$A$504,E69)=0,"BELUM ADA",INDEX('MASTER BAHAN'!$D$5:$D$504,MATCH(E69,'MASTER BAHAN'!$A$5:$A$504,0))))</f>
        <v/>
      </c>
      <c r="J69" s="0" t="str">
        <f aca="false">IF(A69="","",IF(OR(NOT(ISNUMBER(G69)),NOT(ISNUMBER(I69))),"BELUM LENGKAP",ROUND(G69*I69,0)))</f>
        <v/>
      </c>
      <c r="M69" s="24" t="str">
        <f aca="false">IF(A69="","",COUNTIF($A$5:A69,A69))</f>
        <v/>
      </c>
      <c r="N69" s="24" t="str">
        <f aca="false">IF(A69="","",A69&amp;"|"&amp;M69)</f>
        <v/>
      </c>
    </row>
    <row r="70" customFormat="false" ht="15" hidden="false" customHeight="false" outlineLevel="0" collapsed="false">
      <c r="F70" s="0" t="str">
        <f aca="false">IF(E70="","",IF(COUNTIFS('MASTER BAHAN'!$A$5:$A$504,E70)=0,"BELUM ADA",INDEX('MASTER BAHAN'!$B$5:$B$504,MATCH(E70,'MASTER BAHAN'!$A$5:$A$504,0))))</f>
        <v/>
      </c>
      <c r="H70" s="0" t="str">
        <f aca="false">IF(E70="","",IF(COUNTIFS('MASTER BAHAN'!$A$5:$A$504,E70)=0,"BELUM ADA",INDEX('MASTER BAHAN'!$D$5:$D$504,MATCH(E70,'MASTER BAHAN'!$A$5:$A$504,0))))</f>
        <v/>
      </c>
      <c r="J70" s="0" t="str">
        <f aca="false">IF(A70="","",IF(OR(NOT(ISNUMBER(G70)),NOT(ISNUMBER(I70))),"BELUM LENGKAP",ROUND(G70*I70,0)))</f>
        <v/>
      </c>
      <c r="M70" s="24" t="str">
        <f aca="false">IF(A70="","",COUNTIF($A$5:A70,A70))</f>
        <v/>
      </c>
      <c r="N70" s="24" t="str">
        <f aca="false">IF(A70="","",A70&amp;"|"&amp;M70)</f>
        <v/>
      </c>
    </row>
    <row r="71" customFormat="false" ht="15" hidden="false" customHeight="false" outlineLevel="0" collapsed="false">
      <c r="F71" s="0" t="str">
        <f aca="false">IF(E71="","",IF(COUNTIFS('MASTER BAHAN'!$A$5:$A$504,E71)=0,"BELUM ADA",INDEX('MASTER BAHAN'!$B$5:$B$504,MATCH(E71,'MASTER BAHAN'!$A$5:$A$504,0))))</f>
        <v/>
      </c>
      <c r="H71" s="0" t="str">
        <f aca="false">IF(E71="","",IF(COUNTIFS('MASTER BAHAN'!$A$5:$A$504,E71)=0,"BELUM ADA",INDEX('MASTER BAHAN'!$D$5:$D$504,MATCH(E71,'MASTER BAHAN'!$A$5:$A$504,0))))</f>
        <v/>
      </c>
      <c r="J71" s="0" t="str">
        <f aca="false">IF(A71="","",IF(OR(NOT(ISNUMBER(G71)),NOT(ISNUMBER(I71))),"BELUM LENGKAP",ROUND(G71*I71,0)))</f>
        <v/>
      </c>
      <c r="M71" s="24" t="str">
        <f aca="false">IF(A71="","",COUNTIF($A$5:A71,A71))</f>
        <v/>
      </c>
      <c r="N71" s="24" t="str">
        <f aca="false">IF(A71="","",A71&amp;"|"&amp;M71)</f>
        <v/>
      </c>
    </row>
    <row r="72" customFormat="false" ht="15" hidden="false" customHeight="false" outlineLevel="0" collapsed="false">
      <c r="F72" s="0" t="str">
        <f aca="false">IF(E72="","",IF(COUNTIFS('MASTER BAHAN'!$A$5:$A$504,E72)=0,"BELUM ADA",INDEX('MASTER BAHAN'!$B$5:$B$504,MATCH(E72,'MASTER BAHAN'!$A$5:$A$504,0))))</f>
        <v/>
      </c>
      <c r="H72" s="0" t="str">
        <f aca="false">IF(E72="","",IF(COUNTIFS('MASTER BAHAN'!$A$5:$A$504,E72)=0,"BELUM ADA",INDEX('MASTER BAHAN'!$D$5:$D$504,MATCH(E72,'MASTER BAHAN'!$A$5:$A$504,0))))</f>
        <v/>
      </c>
      <c r="J72" s="0" t="str">
        <f aca="false">IF(A72="","",IF(OR(NOT(ISNUMBER(G72)),NOT(ISNUMBER(I72))),"BELUM LENGKAP",ROUND(G72*I72,0)))</f>
        <v/>
      </c>
      <c r="M72" s="24" t="str">
        <f aca="false">IF(A72="","",COUNTIF($A$5:A72,A72))</f>
        <v/>
      </c>
      <c r="N72" s="24" t="str">
        <f aca="false">IF(A72="","",A72&amp;"|"&amp;M72)</f>
        <v/>
      </c>
    </row>
    <row r="73" customFormat="false" ht="15" hidden="false" customHeight="false" outlineLevel="0" collapsed="false">
      <c r="F73" s="0" t="str">
        <f aca="false">IF(E73="","",IF(COUNTIFS('MASTER BAHAN'!$A$5:$A$504,E73)=0,"BELUM ADA",INDEX('MASTER BAHAN'!$B$5:$B$504,MATCH(E73,'MASTER BAHAN'!$A$5:$A$504,0))))</f>
        <v/>
      </c>
      <c r="H73" s="0" t="str">
        <f aca="false">IF(E73="","",IF(COUNTIFS('MASTER BAHAN'!$A$5:$A$504,E73)=0,"BELUM ADA",INDEX('MASTER BAHAN'!$D$5:$D$504,MATCH(E73,'MASTER BAHAN'!$A$5:$A$504,0))))</f>
        <v/>
      </c>
      <c r="J73" s="0" t="str">
        <f aca="false">IF(A73="","",IF(OR(NOT(ISNUMBER(G73)),NOT(ISNUMBER(I73))),"BELUM LENGKAP",ROUND(G73*I73,0)))</f>
        <v/>
      </c>
      <c r="M73" s="24" t="str">
        <f aca="false">IF(A73="","",COUNTIF($A$5:A73,A73))</f>
        <v/>
      </c>
      <c r="N73" s="24" t="str">
        <f aca="false">IF(A73="","",A73&amp;"|"&amp;M73)</f>
        <v/>
      </c>
    </row>
    <row r="74" customFormat="false" ht="15" hidden="false" customHeight="false" outlineLevel="0" collapsed="false">
      <c r="F74" s="0" t="str">
        <f aca="false">IF(E74="","",IF(COUNTIFS('MASTER BAHAN'!$A$5:$A$504,E74)=0,"BELUM ADA",INDEX('MASTER BAHAN'!$B$5:$B$504,MATCH(E74,'MASTER BAHAN'!$A$5:$A$504,0))))</f>
        <v/>
      </c>
      <c r="H74" s="0" t="str">
        <f aca="false">IF(E74="","",IF(COUNTIFS('MASTER BAHAN'!$A$5:$A$504,E74)=0,"BELUM ADA",INDEX('MASTER BAHAN'!$D$5:$D$504,MATCH(E74,'MASTER BAHAN'!$A$5:$A$504,0))))</f>
        <v/>
      </c>
      <c r="J74" s="0" t="str">
        <f aca="false">IF(A74="","",IF(OR(NOT(ISNUMBER(G74)),NOT(ISNUMBER(I74))),"BELUM LENGKAP",ROUND(G74*I74,0)))</f>
        <v/>
      </c>
      <c r="M74" s="24" t="str">
        <f aca="false">IF(A74="","",COUNTIF($A$5:A74,A74))</f>
        <v/>
      </c>
      <c r="N74" s="24" t="str">
        <f aca="false">IF(A74="","",A74&amp;"|"&amp;M74)</f>
        <v/>
      </c>
    </row>
    <row r="75" customFormat="false" ht="15" hidden="false" customHeight="false" outlineLevel="0" collapsed="false">
      <c r="F75" s="0" t="str">
        <f aca="false">IF(E75="","",IF(COUNTIFS('MASTER BAHAN'!$A$5:$A$504,E75)=0,"BELUM ADA",INDEX('MASTER BAHAN'!$B$5:$B$504,MATCH(E75,'MASTER BAHAN'!$A$5:$A$504,0))))</f>
        <v/>
      </c>
      <c r="H75" s="0" t="str">
        <f aca="false">IF(E75="","",IF(COUNTIFS('MASTER BAHAN'!$A$5:$A$504,E75)=0,"BELUM ADA",INDEX('MASTER BAHAN'!$D$5:$D$504,MATCH(E75,'MASTER BAHAN'!$A$5:$A$504,0))))</f>
        <v/>
      </c>
      <c r="J75" s="0" t="str">
        <f aca="false">IF(A75="","",IF(OR(NOT(ISNUMBER(G75)),NOT(ISNUMBER(I75))),"BELUM LENGKAP",ROUND(G75*I75,0)))</f>
        <v/>
      </c>
      <c r="M75" s="24" t="str">
        <f aca="false">IF(A75="","",COUNTIF($A$5:A75,A75))</f>
        <v/>
      </c>
      <c r="N75" s="24" t="str">
        <f aca="false">IF(A75="","",A75&amp;"|"&amp;M75)</f>
        <v/>
      </c>
    </row>
    <row r="76" customFormat="false" ht="15" hidden="false" customHeight="false" outlineLevel="0" collapsed="false">
      <c r="F76" s="0" t="str">
        <f aca="false">IF(E76="","",IF(COUNTIFS('MASTER BAHAN'!$A$5:$A$504,E76)=0,"BELUM ADA",INDEX('MASTER BAHAN'!$B$5:$B$504,MATCH(E76,'MASTER BAHAN'!$A$5:$A$504,0))))</f>
        <v/>
      </c>
      <c r="H76" s="0" t="str">
        <f aca="false">IF(E76="","",IF(COUNTIFS('MASTER BAHAN'!$A$5:$A$504,E76)=0,"BELUM ADA",INDEX('MASTER BAHAN'!$D$5:$D$504,MATCH(E76,'MASTER BAHAN'!$A$5:$A$504,0))))</f>
        <v/>
      </c>
      <c r="J76" s="0" t="str">
        <f aca="false">IF(A76="","",IF(OR(NOT(ISNUMBER(G76)),NOT(ISNUMBER(I76))),"BELUM LENGKAP",ROUND(G76*I76,0)))</f>
        <v/>
      </c>
      <c r="M76" s="24" t="str">
        <f aca="false">IF(A76="","",COUNTIF($A$5:A76,A76))</f>
        <v/>
      </c>
      <c r="N76" s="24" t="str">
        <f aca="false">IF(A76="","",A76&amp;"|"&amp;M76)</f>
        <v/>
      </c>
    </row>
    <row r="77" customFormat="false" ht="15" hidden="false" customHeight="false" outlineLevel="0" collapsed="false">
      <c r="F77" s="0" t="str">
        <f aca="false">IF(E77="","",IF(COUNTIFS('MASTER BAHAN'!$A$5:$A$504,E77)=0,"BELUM ADA",INDEX('MASTER BAHAN'!$B$5:$B$504,MATCH(E77,'MASTER BAHAN'!$A$5:$A$504,0))))</f>
        <v/>
      </c>
      <c r="H77" s="0" t="str">
        <f aca="false">IF(E77="","",IF(COUNTIFS('MASTER BAHAN'!$A$5:$A$504,E77)=0,"BELUM ADA",INDEX('MASTER BAHAN'!$D$5:$D$504,MATCH(E77,'MASTER BAHAN'!$A$5:$A$504,0))))</f>
        <v/>
      </c>
      <c r="J77" s="0" t="str">
        <f aca="false">IF(A77="","",IF(OR(NOT(ISNUMBER(G77)),NOT(ISNUMBER(I77))),"BELUM LENGKAP",ROUND(G77*I77,0)))</f>
        <v/>
      </c>
      <c r="M77" s="24" t="str">
        <f aca="false">IF(A77="","",COUNTIF($A$5:A77,A77))</f>
        <v/>
      </c>
      <c r="N77" s="24" t="str">
        <f aca="false">IF(A77="","",A77&amp;"|"&amp;M77)</f>
        <v/>
      </c>
    </row>
    <row r="78" customFormat="false" ht="15" hidden="false" customHeight="false" outlineLevel="0" collapsed="false">
      <c r="F78" s="0" t="str">
        <f aca="false">IF(E78="","",IF(COUNTIFS('MASTER BAHAN'!$A$5:$A$504,E78)=0,"BELUM ADA",INDEX('MASTER BAHAN'!$B$5:$B$504,MATCH(E78,'MASTER BAHAN'!$A$5:$A$504,0))))</f>
        <v/>
      </c>
      <c r="H78" s="0" t="str">
        <f aca="false">IF(E78="","",IF(COUNTIFS('MASTER BAHAN'!$A$5:$A$504,E78)=0,"BELUM ADA",INDEX('MASTER BAHAN'!$D$5:$D$504,MATCH(E78,'MASTER BAHAN'!$A$5:$A$504,0))))</f>
        <v/>
      </c>
      <c r="J78" s="0" t="str">
        <f aca="false">IF(A78="","",IF(OR(NOT(ISNUMBER(G78)),NOT(ISNUMBER(I78))),"BELUM LENGKAP",ROUND(G78*I78,0)))</f>
        <v/>
      </c>
      <c r="M78" s="24" t="str">
        <f aca="false">IF(A78="","",COUNTIF($A$5:A78,A78))</f>
        <v/>
      </c>
      <c r="N78" s="24" t="str">
        <f aca="false">IF(A78="","",A78&amp;"|"&amp;M78)</f>
        <v/>
      </c>
    </row>
    <row r="79" customFormat="false" ht="15" hidden="false" customHeight="false" outlineLevel="0" collapsed="false">
      <c r="F79" s="0" t="str">
        <f aca="false">IF(E79="","",IF(COUNTIFS('MASTER BAHAN'!$A$5:$A$504,E79)=0,"BELUM ADA",INDEX('MASTER BAHAN'!$B$5:$B$504,MATCH(E79,'MASTER BAHAN'!$A$5:$A$504,0))))</f>
        <v/>
      </c>
      <c r="H79" s="0" t="str">
        <f aca="false">IF(E79="","",IF(COUNTIFS('MASTER BAHAN'!$A$5:$A$504,E79)=0,"BELUM ADA",INDEX('MASTER BAHAN'!$D$5:$D$504,MATCH(E79,'MASTER BAHAN'!$A$5:$A$504,0))))</f>
        <v/>
      </c>
      <c r="J79" s="0" t="str">
        <f aca="false">IF(A79="","",IF(OR(NOT(ISNUMBER(G79)),NOT(ISNUMBER(I79))),"BELUM LENGKAP",ROUND(G79*I79,0)))</f>
        <v/>
      </c>
      <c r="M79" s="24" t="str">
        <f aca="false">IF(A79="","",COUNTIF($A$5:A79,A79))</f>
        <v/>
      </c>
      <c r="N79" s="24" t="str">
        <f aca="false">IF(A79="","",A79&amp;"|"&amp;M79)</f>
        <v/>
      </c>
    </row>
    <row r="80" customFormat="false" ht="15" hidden="false" customHeight="false" outlineLevel="0" collapsed="false">
      <c r="F80" s="0" t="str">
        <f aca="false">IF(E80="","",IF(COUNTIFS('MASTER BAHAN'!$A$5:$A$504,E80)=0,"BELUM ADA",INDEX('MASTER BAHAN'!$B$5:$B$504,MATCH(E80,'MASTER BAHAN'!$A$5:$A$504,0))))</f>
        <v/>
      </c>
      <c r="H80" s="0" t="str">
        <f aca="false">IF(E80="","",IF(COUNTIFS('MASTER BAHAN'!$A$5:$A$504,E80)=0,"BELUM ADA",INDEX('MASTER BAHAN'!$D$5:$D$504,MATCH(E80,'MASTER BAHAN'!$A$5:$A$504,0))))</f>
        <v/>
      </c>
      <c r="J80" s="0" t="str">
        <f aca="false">IF(A80="","",IF(OR(NOT(ISNUMBER(G80)),NOT(ISNUMBER(I80))),"BELUM LENGKAP",ROUND(G80*I80,0)))</f>
        <v/>
      </c>
      <c r="M80" s="24" t="str">
        <f aca="false">IF(A80="","",COUNTIF($A$5:A80,A80))</f>
        <v/>
      </c>
      <c r="N80" s="24" t="str">
        <f aca="false">IF(A80="","",A80&amp;"|"&amp;M80)</f>
        <v/>
      </c>
    </row>
    <row r="81" customFormat="false" ht="15" hidden="false" customHeight="false" outlineLevel="0" collapsed="false">
      <c r="F81" s="0" t="str">
        <f aca="false">IF(E81="","",IF(COUNTIFS('MASTER BAHAN'!$A$5:$A$504,E81)=0,"BELUM ADA",INDEX('MASTER BAHAN'!$B$5:$B$504,MATCH(E81,'MASTER BAHAN'!$A$5:$A$504,0))))</f>
        <v/>
      </c>
      <c r="H81" s="0" t="str">
        <f aca="false">IF(E81="","",IF(COUNTIFS('MASTER BAHAN'!$A$5:$A$504,E81)=0,"BELUM ADA",INDEX('MASTER BAHAN'!$D$5:$D$504,MATCH(E81,'MASTER BAHAN'!$A$5:$A$504,0))))</f>
        <v/>
      </c>
      <c r="J81" s="0" t="str">
        <f aca="false">IF(A81="","",IF(OR(NOT(ISNUMBER(G81)),NOT(ISNUMBER(I81))),"BELUM LENGKAP",ROUND(G81*I81,0)))</f>
        <v/>
      </c>
      <c r="M81" s="24" t="str">
        <f aca="false">IF(A81="","",COUNTIF($A$5:A81,A81))</f>
        <v/>
      </c>
      <c r="N81" s="24" t="str">
        <f aca="false">IF(A81="","",A81&amp;"|"&amp;M81)</f>
        <v/>
      </c>
    </row>
    <row r="82" customFormat="false" ht="15" hidden="false" customHeight="false" outlineLevel="0" collapsed="false">
      <c r="F82" s="0" t="str">
        <f aca="false">IF(E82="","",IF(COUNTIFS('MASTER BAHAN'!$A$5:$A$504,E82)=0,"BELUM ADA",INDEX('MASTER BAHAN'!$B$5:$B$504,MATCH(E82,'MASTER BAHAN'!$A$5:$A$504,0))))</f>
        <v/>
      </c>
      <c r="H82" s="0" t="str">
        <f aca="false">IF(E82="","",IF(COUNTIFS('MASTER BAHAN'!$A$5:$A$504,E82)=0,"BELUM ADA",INDEX('MASTER BAHAN'!$D$5:$D$504,MATCH(E82,'MASTER BAHAN'!$A$5:$A$504,0))))</f>
        <v/>
      </c>
      <c r="J82" s="0" t="str">
        <f aca="false">IF(A82="","",IF(OR(NOT(ISNUMBER(G82)),NOT(ISNUMBER(I82))),"BELUM LENGKAP",ROUND(G82*I82,0)))</f>
        <v/>
      </c>
      <c r="M82" s="24" t="str">
        <f aca="false">IF(A82="","",COUNTIF($A$5:A82,A82))</f>
        <v/>
      </c>
      <c r="N82" s="24" t="str">
        <f aca="false">IF(A82="","",A82&amp;"|"&amp;M82)</f>
        <v/>
      </c>
    </row>
    <row r="83" customFormat="false" ht="15" hidden="false" customHeight="false" outlineLevel="0" collapsed="false">
      <c r="F83" s="0" t="str">
        <f aca="false">IF(E83="","",IF(COUNTIFS('MASTER BAHAN'!$A$5:$A$504,E83)=0,"BELUM ADA",INDEX('MASTER BAHAN'!$B$5:$B$504,MATCH(E83,'MASTER BAHAN'!$A$5:$A$504,0))))</f>
        <v/>
      </c>
      <c r="H83" s="0" t="str">
        <f aca="false">IF(E83="","",IF(COUNTIFS('MASTER BAHAN'!$A$5:$A$504,E83)=0,"BELUM ADA",INDEX('MASTER BAHAN'!$D$5:$D$504,MATCH(E83,'MASTER BAHAN'!$A$5:$A$504,0))))</f>
        <v/>
      </c>
      <c r="J83" s="0" t="str">
        <f aca="false">IF(A83="","",IF(OR(NOT(ISNUMBER(G83)),NOT(ISNUMBER(I83))),"BELUM LENGKAP",ROUND(G83*I83,0)))</f>
        <v/>
      </c>
      <c r="M83" s="24" t="str">
        <f aca="false">IF(A83="","",COUNTIF($A$5:A83,A83))</f>
        <v/>
      </c>
      <c r="N83" s="24" t="str">
        <f aca="false">IF(A83="","",A83&amp;"|"&amp;M83)</f>
        <v/>
      </c>
    </row>
    <row r="84" customFormat="false" ht="15" hidden="false" customHeight="false" outlineLevel="0" collapsed="false">
      <c r="F84" s="0" t="str">
        <f aca="false">IF(E84="","",IF(COUNTIFS('MASTER BAHAN'!$A$5:$A$504,E84)=0,"BELUM ADA",INDEX('MASTER BAHAN'!$B$5:$B$504,MATCH(E84,'MASTER BAHAN'!$A$5:$A$504,0))))</f>
        <v/>
      </c>
      <c r="H84" s="0" t="str">
        <f aca="false">IF(E84="","",IF(COUNTIFS('MASTER BAHAN'!$A$5:$A$504,E84)=0,"BELUM ADA",INDEX('MASTER BAHAN'!$D$5:$D$504,MATCH(E84,'MASTER BAHAN'!$A$5:$A$504,0))))</f>
        <v/>
      </c>
      <c r="J84" s="0" t="str">
        <f aca="false">IF(A84="","",IF(OR(NOT(ISNUMBER(G84)),NOT(ISNUMBER(I84))),"BELUM LENGKAP",ROUND(G84*I84,0)))</f>
        <v/>
      </c>
      <c r="M84" s="24" t="str">
        <f aca="false">IF(A84="","",COUNTIF($A$5:A84,A84))</f>
        <v/>
      </c>
      <c r="N84" s="24" t="str">
        <f aca="false">IF(A84="","",A84&amp;"|"&amp;M84)</f>
        <v/>
      </c>
    </row>
    <row r="85" customFormat="false" ht="15" hidden="false" customHeight="false" outlineLevel="0" collapsed="false">
      <c r="F85" s="0" t="str">
        <f aca="false">IF(E85="","",IF(COUNTIFS('MASTER BAHAN'!$A$5:$A$504,E85)=0,"BELUM ADA",INDEX('MASTER BAHAN'!$B$5:$B$504,MATCH(E85,'MASTER BAHAN'!$A$5:$A$504,0))))</f>
        <v/>
      </c>
      <c r="H85" s="0" t="str">
        <f aca="false">IF(E85="","",IF(COUNTIFS('MASTER BAHAN'!$A$5:$A$504,E85)=0,"BELUM ADA",INDEX('MASTER BAHAN'!$D$5:$D$504,MATCH(E85,'MASTER BAHAN'!$A$5:$A$504,0))))</f>
        <v/>
      </c>
      <c r="J85" s="0" t="str">
        <f aca="false">IF(A85="","",IF(OR(NOT(ISNUMBER(G85)),NOT(ISNUMBER(I85))),"BELUM LENGKAP",ROUND(G85*I85,0)))</f>
        <v/>
      </c>
      <c r="M85" s="24" t="str">
        <f aca="false">IF(A85="","",COUNTIF($A$5:A85,A85))</f>
        <v/>
      </c>
      <c r="N85" s="24" t="str">
        <f aca="false">IF(A85="","",A85&amp;"|"&amp;M85)</f>
        <v/>
      </c>
    </row>
    <row r="86" customFormat="false" ht="15" hidden="false" customHeight="false" outlineLevel="0" collapsed="false">
      <c r="F86" s="0" t="str">
        <f aca="false">IF(E86="","",IF(COUNTIFS('MASTER BAHAN'!$A$5:$A$504,E86)=0,"BELUM ADA",INDEX('MASTER BAHAN'!$B$5:$B$504,MATCH(E86,'MASTER BAHAN'!$A$5:$A$504,0))))</f>
        <v/>
      </c>
      <c r="H86" s="0" t="str">
        <f aca="false">IF(E86="","",IF(COUNTIFS('MASTER BAHAN'!$A$5:$A$504,E86)=0,"BELUM ADA",INDEX('MASTER BAHAN'!$D$5:$D$504,MATCH(E86,'MASTER BAHAN'!$A$5:$A$504,0))))</f>
        <v/>
      </c>
      <c r="J86" s="0" t="str">
        <f aca="false">IF(A86="","",IF(OR(NOT(ISNUMBER(G86)),NOT(ISNUMBER(I86))),"BELUM LENGKAP",ROUND(G86*I86,0)))</f>
        <v/>
      </c>
      <c r="M86" s="24" t="str">
        <f aca="false">IF(A86="","",COUNTIF($A$5:A86,A86))</f>
        <v/>
      </c>
      <c r="N86" s="24" t="str">
        <f aca="false">IF(A86="","",A86&amp;"|"&amp;M86)</f>
        <v/>
      </c>
    </row>
    <row r="87" customFormat="false" ht="15" hidden="false" customHeight="false" outlineLevel="0" collapsed="false">
      <c r="F87" s="0" t="str">
        <f aca="false">IF(E87="","",IF(COUNTIFS('MASTER BAHAN'!$A$5:$A$504,E87)=0,"BELUM ADA",INDEX('MASTER BAHAN'!$B$5:$B$504,MATCH(E87,'MASTER BAHAN'!$A$5:$A$504,0))))</f>
        <v/>
      </c>
      <c r="H87" s="0" t="str">
        <f aca="false">IF(E87="","",IF(COUNTIFS('MASTER BAHAN'!$A$5:$A$504,E87)=0,"BELUM ADA",INDEX('MASTER BAHAN'!$D$5:$D$504,MATCH(E87,'MASTER BAHAN'!$A$5:$A$504,0))))</f>
        <v/>
      </c>
      <c r="J87" s="0" t="str">
        <f aca="false">IF(A87="","",IF(OR(NOT(ISNUMBER(G87)),NOT(ISNUMBER(I87))),"BELUM LENGKAP",ROUND(G87*I87,0)))</f>
        <v/>
      </c>
      <c r="M87" s="24" t="str">
        <f aca="false">IF(A87="","",COUNTIF($A$5:A87,A87))</f>
        <v/>
      </c>
      <c r="N87" s="24" t="str">
        <f aca="false">IF(A87="","",A87&amp;"|"&amp;M87)</f>
        <v/>
      </c>
    </row>
    <row r="88" customFormat="false" ht="15" hidden="false" customHeight="false" outlineLevel="0" collapsed="false">
      <c r="F88" s="0" t="str">
        <f aca="false">IF(E88="","",IF(COUNTIFS('MASTER BAHAN'!$A$5:$A$504,E88)=0,"BELUM ADA",INDEX('MASTER BAHAN'!$B$5:$B$504,MATCH(E88,'MASTER BAHAN'!$A$5:$A$504,0))))</f>
        <v/>
      </c>
      <c r="H88" s="0" t="str">
        <f aca="false">IF(E88="","",IF(COUNTIFS('MASTER BAHAN'!$A$5:$A$504,E88)=0,"BELUM ADA",INDEX('MASTER BAHAN'!$D$5:$D$504,MATCH(E88,'MASTER BAHAN'!$A$5:$A$504,0))))</f>
        <v/>
      </c>
      <c r="J88" s="0" t="str">
        <f aca="false">IF(A88="","",IF(OR(NOT(ISNUMBER(G88)),NOT(ISNUMBER(I88))),"BELUM LENGKAP",ROUND(G88*I88,0)))</f>
        <v/>
      </c>
      <c r="M88" s="24" t="str">
        <f aca="false">IF(A88="","",COUNTIF($A$5:A88,A88))</f>
        <v/>
      </c>
      <c r="N88" s="24" t="str">
        <f aca="false">IF(A88="","",A88&amp;"|"&amp;M88)</f>
        <v/>
      </c>
    </row>
    <row r="89" customFormat="false" ht="15" hidden="false" customHeight="false" outlineLevel="0" collapsed="false">
      <c r="F89" s="0" t="str">
        <f aca="false">IF(E89="","",IF(COUNTIFS('MASTER BAHAN'!$A$5:$A$504,E89)=0,"BELUM ADA",INDEX('MASTER BAHAN'!$B$5:$B$504,MATCH(E89,'MASTER BAHAN'!$A$5:$A$504,0))))</f>
        <v/>
      </c>
      <c r="H89" s="0" t="str">
        <f aca="false">IF(E89="","",IF(COUNTIFS('MASTER BAHAN'!$A$5:$A$504,E89)=0,"BELUM ADA",INDEX('MASTER BAHAN'!$D$5:$D$504,MATCH(E89,'MASTER BAHAN'!$A$5:$A$504,0))))</f>
        <v/>
      </c>
      <c r="J89" s="0" t="str">
        <f aca="false">IF(A89="","",IF(OR(NOT(ISNUMBER(G89)),NOT(ISNUMBER(I89))),"BELUM LENGKAP",ROUND(G89*I89,0)))</f>
        <v/>
      </c>
      <c r="M89" s="24" t="str">
        <f aca="false">IF(A89="","",COUNTIF($A$5:A89,A89))</f>
        <v/>
      </c>
      <c r="N89" s="24" t="str">
        <f aca="false">IF(A89="","",A89&amp;"|"&amp;M89)</f>
        <v/>
      </c>
    </row>
    <row r="90" customFormat="false" ht="15" hidden="false" customHeight="false" outlineLevel="0" collapsed="false">
      <c r="F90" s="0" t="str">
        <f aca="false">IF(E90="","",IF(COUNTIFS('MASTER BAHAN'!$A$5:$A$504,E90)=0,"BELUM ADA",INDEX('MASTER BAHAN'!$B$5:$B$504,MATCH(E90,'MASTER BAHAN'!$A$5:$A$504,0))))</f>
        <v/>
      </c>
      <c r="H90" s="0" t="str">
        <f aca="false">IF(E90="","",IF(COUNTIFS('MASTER BAHAN'!$A$5:$A$504,E90)=0,"BELUM ADA",INDEX('MASTER BAHAN'!$D$5:$D$504,MATCH(E90,'MASTER BAHAN'!$A$5:$A$504,0))))</f>
        <v/>
      </c>
      <c r="J90" s="0" t="str">
        <f aca="false">IF(A90="","",IF(OR(NOT(ISNUMBER(G90)),NOT(ISNUMBER(I90))),"BELUM LENGKAP",ROUND(G90*I90,0)))</f>
        <v/>
      </c>
      <c r="M90" s="24" t="str">
        <f aca="false">IF(A90="","",COUNTIF($A$5:A90,A90))</f>
        <v/>
      </c>
      <c r="N90" s="24" t="str">
        <f aca="false">IF(A90="","",A90&amp;"|"&amp;M90)</f>
        <v/>
      </c>
    </row>
    <row r="91" customFormat="false" ht="15" hidden="false" customHeight="false" outlineLevel="0" collapsed="false">
      <c r="F91" s="0" t="str">
        <f aca="false">IF(E91="","",IF(COUNTIFS('MASTER BAHAN'!$A$5:$A$504,E91)=0,"BELUM ADA",INDEX('MASTER BAHAN'!$B$5:$B$504,MATCH(E91,'MASTER BAHAN'!$A$5:$A$504,0))))</f>
        <v/>
      </c>
      <c r="H91" s="0" t="str">
        <f aca="false">IF(E91="","",IF(COUNTIFS('MASTER BAHAN'!$A$5:$A$504,E91)=0,"BELUM ADA",INDEX('MASTER BAHAN'!$D$5:$D$504,MATCH(E91,'MASTER BAHAN'!$A$5:$A$504,0))))</f>
        <v/>
      </c>
      <c r="J91" s="0" t="str">
        <f aca="false">IF(A91="","",IF(OR(NOT(ISNUMBER(G91)),NOT(ISNUMBER(I91))),"BELUM LENGKAP",ROUND(G91*I91,0)))</f>
        <v/>
      </c>
      <c r="M91" s="24" t="str">
        <f aca="false">IF(A91="","",COUNTIF($A$5:A91,A91))</f>
        <v/>
      </c>
      <c r="N91" s="24" t="str">
        <f aca="false">IF(A91="","",A91&amp;"|"&amp;M91)</f>
        <v/>
      </c>
    </row>
    <row r="92" customFormat="false" ht="15" hidden="false" customHeight="false" outlineLevel="0" collapsed="false">
      <c r="F92" s="0" t="str">
        <f aca="false">IF(E92="","",IF(COUNTIFS('MASTER BAHAN'!$A$5:$A$504,E92)=0,"BELUM ADA",INDEX('MASTER BAHAN'!$B$5:$B$504,MATCH(E92,'MASTER BAHAN'!$A$5:$A$504,0))))</f>
        <v/>
      </c>
      <c r="H92" s="0" t="str">
        <f aca="false">IF(E92="","",IF(COUNTIFS('MASTER BAHAN'!$A$5:$A$504,E92)=0,"BELUM ADA",INDEX('MASTER BAHAN'!$D$5:$D$504,MATCH(E92,'MASTER BAHAN'!$A$5:$A$504,0))))</f>
        <v/>
      </c>
      <c r="J92" s="0" t="str">
        <f aca="false">IF(A92="","",IF(OR(NOT(ISNUMBER(G92)),NOT(ISNUMBER(I92))),"BELUM LENGKAP",ROUND(G92*I92,0)))</f>
        <v/>
      </c>
      <c r="M92" s="24" t="str">
        <f aca="false">IF(A92="","",COUNTIF($A$5:A92,A92))</f>
        <v/>
      </c>
      <c r="N92" s="24" t="str">
        <f aca="false">IF(A92="","",A92&amp;"|"&amp;M92)</f>
        <v/>
      </c>
    </row>
    <row r="93" customFormat="false" ht="15" hidden="false" customHeight="false" outlineLevel="0" collapsed="false">
      <c r="F93" s="0" t="str">
        <f aca="false">IF(E93="","",IF(COUNTIFS('MASTER BAHAN'!$A$5:$A$504,E93)=0,"BELUM ADA",INDEX('MASTER BAHAN'!$B$5:$B$504,MATCH(E93,'MASTER BAHAN'!$A$5:$A$504,0))))</f>
        <v/>
      </c>
      <c r="H93" s="0" t="str">
        <f aca="false">IF(E93="","",IF(COUNTIFS('MASTER BAHAN'!$A$5:$A$504,E93)=0,"BELUM ADA",INDEX('MASTER BAHAN'!$D$5:$D$504,MATCH(E93,'MASTER BAHAN'!$A$5:$A$504,0))))</f>
        <v/>
      </c>
      <c r="J93" s="0" t="str">
        <f aca="false">IF(A93="","",IF(OR(NOT(ISNUMBER(G93)),NOT(ISNUMBER(I93))),"BELUM LENGKAP",ROUND(G93*I93,0)))</f>
        <v/>
      </c>
      <c r="M93" s="24" t="str">
        <f aca="false">IF(A93="","",COUNTIF($A$5:A93,A93))</f>
        <v/>
      </c>
      <c r="N93" s="24" t="str">
        <f aca="false">IF(A93="","",A93&amp;"|"&amp;M93)</f>
        <v/>
      </c>
    </row>
    <row r="94" customFormat="false" ht="15" hidden="false" customHeight="false" outlineLevel="0" collapsed="false">
      <c r="F94" s="0" t="str">
        <f aca="false">IF(E94="","",IF(COUNTIFS('MASTER BAHAN'!$A$5:$A$504,E94)=0,"BELUM ADA",INDEX('MASTER BAHAN'!$B$5:$B$504,MATCH(E94,'MASTER BAHAN'!$A$5:$A$504,0))))</f>
        <v/>
      </c>
      <c r="H94" s="0" t="str">
        <f aca="false">IF(E94="","",IF(COUNTIFS('MASTER BAHAN'!$A$5:$A$504,E94)=0,"BELUM ADA",INDEX('MASTER BAHAN'!$D$5:$D$504,MATCH(E94,'MASTER BAHAN'!$A$5:$A$504,0))))</f>
        <v/>
      </c>
      <c r="J94" s="0" t="str">
        <f aca="false">IF(A94="","",IF(OR(NOT(ISNUMBER(G94)),NOT(ISNUMBER(I94))),"BELUM LENGKAP",ROUND(G94*I94,0)))</f>
        <v/>
      </c>
      <c r="M94" s="24" t="str">
        <f aca="false">IF(A94="","",COUNTIF($A$5:A94,A94))</f>
        <v/>
      </c>
      <c r="N94" s="24" t="str">
        <f aca="false">IF(A94="","",A94&amp;"|"&amp;M94)</f>
        <v/>
      </c>
    </row>
    <row r="95" customFormat="false" ht="15" hidden="false" customHeight="false" outlineLevel="0" collapsed="false">
      <c r="F95" s="0" t="str">
        <f aca="false">IF(E95="","",IF(COUNTIFS('MASTER BAHAN'!$A$5:$A$504,E95)=0,"BELUM ADA",INDEX('MASTER BAHAN'!$B$5:$B$504,MATCH(E95,'MASTER BAHAN'!$A$5:$A$504,0))))</f>
        <v/>
      </c>
      <c r="H95" s="0" t="str">
        <f aca="false">IF(E95="","",IF(COUNTIFS('MASTER BAHAN'!$A$5:$A$504,E95)=0,"BELUM ADA",INDEX('MASTER BAHAN'!$D$5:$D$504,MATCH(E95,'MASTER BAHAN'!$A$5:$A$504,0))))</f>
        <v/>
      </c>
      <c r="J95" s="0" t="str">
        <f aca="false">IF(A95="","",IF(OR(NOT(ISNUMBER(G95)),NOT(ISNUMBER(I95))),"BELUM LENGKAP",ROUND(G95*I95,0)))</f>
        <v/>
      </c>
      <c r="M95" s="24" t="str">
        <f aca="false">IF(A95="","",COUNTIF($A$5:A95,A95))</f>
        <v/>
      </c>
      <c r="N95" s="24" t="str">
        <f aca="false">IF(A95="","",A95&amp;"|"&amp;M95)</f>
        <v/>
      </c>
    </row>
    <row r="96" customFormat="false" ht="15" hidden="false" customHeight="false" outlineLevel="0" collapsed="false">
      <c r="F96" s="0" t="str">
        <f aca="false">IF(E96="","",IF(COUNTIFS('MASTER BAHAN'!$A$5:$A$504,E96)=0,"BELUM ADA",INDEX('MASTER BAHAN'!$B$5:$B$504,MATCH(E96,'MASTER BAHAN'!$A$5:$A$504,0))))</f>
        <v/>
      </c>
      <c r="H96" s="0" t="str">
        <f aca="false">IF(E96="","",IF(COUNTIFS('MASTER BAHAN'!$A$5:$A$504,E96)=0,"BELUM ADA",INDEX('MASTER BAHAN'!$D$5:$D$504,MATCH(E96,'MASTER BAHAN'!$A$5:$A$504,0))))</f>
        <v/>
      </c>
      <c r="J96" s="0" t="str">
        <f aca="false">IF(A96="","",IF(OR(NOT(ISNUMBER(G96)),NOT(ISNUMBER(I96))),"BELUM LENGKAP",ROUND(G96*I96,0)))</f>
        <v/>
      </c>
      <c r="M96" s="24" t="str">
        <f aca="false">IF(A96="","",COUNTIF($A$5:A96,A96))</f>
        <v/>
      </c>
      <c r="N96" s="24" t="str">
        <f aca="false">IF(A96="","",A96&amp;"|"&amp;M96)</f>
        <v/>
      </c>
    </row>
    <row r="97" customFormat="false" ht="15" hidden="false" customHeight="false" outlineLevel="0" collapsed="false">
      <c r="F97" s="0" t="str">
        <f aca="false">IF(E97="","",IF(COUNTIFS('MASTER BAHAN'!$A$5:$A$504,E97)=0,"BELUM ADA",INDEX('MASTER BAHAN'!$B$5:$B$504,MATCH(E97,'MASTER BAHAN'!$A$5:$A$504,0))))</f>
        <v/>
      </c>
      <c r="H97" s="0" t="str">
        <f aca="false">IF(E97="","",IF(COUNTIFS('MASTER BAHAN'!$A$5:$A$504,E97)=0,"BELUM ADA",INDEX('MASTER BAHAN'!$D$5:$D$504,MATCH(E97,'MASTER BAHAN'!$A$5:$A$504,0))))</f>
        <v/>
      </c>
      <c r="J97" s="0" t="str">
        <f aca="false">IF(A97="","",IF(OR(NOT(ISNUMBER(G97)),NOT(ISNUMBER(I97))),"BELUM LENGKAP",ROUND(G97*I97,0)))</f>
        <v/>
      </c>
      <c r="M97" s="24" t="str">
        <f aca="false">IF(A97="","",COUNTIF($A$5:A97,A97))</f>
        <v/>
      </c>
      <c r="N97" s="24" t="str">
        <f aca="false">IF(A97="","",A97&amp;"|"&amp;M97)</f>
        <v/>
      </c>
    </row>
    <row r="98" customFormat="false" ht="15" hidden="false" customHeight="false" outlineLevel="0" collapsed="false">
      <c r="F98" s="0" t="str">
        <f aca="false">IF(E98="","",IF(COUNTIFS('MASTER BAHAN'!$A$5:$A$504,E98)=0,"BELUM ADA",INDEX('MASTER BAHAN'!$B$5:$B$504,MATCH(E98,'MASTER BAHAN'!$A$5:$A$504,0))))</f>
        <v/>
      </c>
      <c r="H98" s="0" t="str">
        <f aca="false">IF(E98="","",IF(COUNTIFS('MASTER BAHAN'!$A$5:$A$504,E98)=0,"BELUM ADA",INDEX('MASTER BAHAN'!$D$5:$D$504,MATCH(E98,'MASTER BAHAN'!$A$5:$A$504,0))))</f>
        <v/>
      </c>
      <c r="J98" s="0" t="str">
        <f aca="false">IF(A98="","",IF(OR(NOT(ISNUMBER(G98)),NOT(ISNUMBER(I98))),"BELUM LENGKAP",ROUND(G98*I98,0)))</f>
        <v/>
      </c>
      <c r="M98" s="24" t="str">
        <f aca="false">IF(A98="","",COUNTIF($A$5:A98,A98))</f>
        <v/>
      </c>
      <c r="N98" s="24" t="str">
        <f aca="false">IF(A98="","",A98&amp;"|"&amp;M98)</f>
        <v/>
      </c>
    </row>
    <row r="99" customFormat="false" ht="15" hidden="false" customHeight="false" outlineLevel="0" collapsed="false">
      <c r="F99" s="0" t="str">
        <f aca="false">IF(E99="","",IF(COUNTIFS('MASTER BAHAN'!$A$5:$A$504,E99)=0,"BELUM ADA",INDEX('MASTER BAHAN'!$B$5:$B$504,MATCH(E99,'MASTER BAHAN'!$A$5:$A$504,0))))</f>
        <v/>
      </c>
      <c r="H99" s="0" t="str">
        <f aca="false">IF(E99="","",IF(COUNTIFS('MASTER BAHAN'!$A$5:$A$504,E99)=0,"BELUM ADA",INDEX('MASTER BAHAN'!$D$5:$D$504,MATCH(E99,'MASTER BAHAN'!$A$5:$A$504,0))))</f>
        <v/>
      </c>
      <c r="J99" s="0" t="str">
        <f aca="false">IF(A99="","",IF(OR(NOT(ISNUMBER(G99)),NOT(ISNUMBER(I99))),"BELUM LENGKAP",ROUND(G99*I99,0)))</f>
        <v/>
      </c>
      <c r="M99" s="24" t="str">
        <f aca="false">IF(A99="","",COUNTIF($A$5:A99,A99))</f>
        <v/>
      </c>
      <c r="N99" s="24" t="str">
        <f aca="false">IF(A99="","",A99&amp;"|"&amp;M99)</f>
        <v/>
      </c>
    </row>
    <row r="100" customFormat="false" ht="15" hidden="false" customHeight="false" outlineLevel="0" collapsed="false">
      <c r="F100" s="0" t="str">
        <f aca="false">IF(E100="","",IF(COUNTIFS('MASTER BAHAN'!$A$5:$A$504,E100)=0,"BELUM ADA",INDEX('MASTER BAHAN'!$B$5:$B$504,MATCH(E100,'MASTER BAHAN'!$A$5:$A$504,0))))</f>
        <v/>
      </c>
      <c r="H100" s="0" t="str">
        <f aca="false">IF(E100="","",IF(COUNTIFS('MASTER BAHAN'!$A$5:$A$504,E100)=0,"BELUM ADA",INDEX('MASTER BAHAN'!$D$5:$D$504,MATCH(E100,'MASTER BAHAN'!$A$5:$A$504,0))))</f>
        <v/>
      </c>
      <c r="J100" s="0" t="str">
        <f aca="false">IF(A100="","",IF(OR(NOT(ISNUMBER(G100)),NOT(ISNUMBER(I100))),"BELUM LENGKAP",ROUND(G100*I100,0)))</f>
        <v/>
      </c>
      <c r="M100" s="24" t="str">
        <f aca="false">IF(A100="","",COUNTIF($A$5:A100,A100))</f>
        <v/>
      </c>
      <c r="N100" s="24" t="str">
        <f aca="false">IF(A100="","",A100&amp;"|"&amp;M100)</f>
        <v/>
      </c>
    </row>
    <row r="101" customFormat="false" ht="15" hidden="false" customHeight="false" outlineLevel="0" collapsed="false">
      <c r="F101" s="0" t="str">
        <f aca="false">IF(E101="","",IF(COUNTIFS('MASTER BAHAN'!$A$5:$A$504,E101)=0,"BELUM ADA",INDEX('MASTER BAHAN'!$B$5:$B$504,MATCH(E101,'MASTER BAHAN'!$A$5:$A$504,0))))</f>
        <v/>
      </c>
      <c r="H101" s="0" t="str">
        <f aca="false">IF(E101="","",IF(COUNTIFS('MASTER BAHAN'!$A$5:$A$504,E101)=0,"BELUM ADA",INDEX('MASTER BAHAN'!$D$5:$D$504,MATCH(E101,'MASTER BAHAN'!$A$5:$A$504,0))))</f>
        <v/>
      </c>
      <c r="J101" s="0" t="str">
        <f aca="false">IF(A101="","",IF(OR(NOT(ISNUMBER(G101)),NOT(ISNUMBER(I101))),"BELUM LENGKAP",ROUND(G101*I101,0)))</f>
        <v/>
      </c>
      <c r="M101" s="24" t="str">
        <f aca="false">IF(A101="","",COUNTIF($A$5:A101,A101))</f>
        <v/>
      </c>
      <c r="N101" s="24" t="str">
        <f aca="false">IF(A101="","",A101&amp;"|"&amp;M101)</f>
        <v/>
      </c>
    </row>
    <row r="102" customFormat="false" ht="15" hidden="false" customHeight="false" outlineLevel="0" collapsed="false">
      <c r="F102" s="0" t="str">
        <f aca="false">IF(E102="","",IF(COUNTIFS('MASTER BAHAN'!$A$5:$A$504,E102)=0,"BELUM ADA",INDEX('MASTER BAHAN'!$B$5:$B$504,MATCH(E102,'MASTER BAHAN'!$A$5:$A$504,0))))</f>
        <v/>
      </c>
      <c r="H102" s="0" t="str">
        <f aca="false">IF(E102="","",IF(COUNTIFS('MASTER BAHAN'!$A$5:$A$504,E102)=0,"BELUM ADA",INDEX('MASTER BAHAN'!$D$5:$D$504,MATCH(E102,'MASTER BAHAN'!$A$5:$A$504,0))))</f>
        <v/>
      </c>
      <c r="J102" s="0" t="str">
        <f aca="false">IF(A102="","",IF(OR(NOT(ISNUMBER(G102)),NOT(ISNUMBER(I102))),"BELUM LENGKAP",ROUND(G102*I102,0)))</f>
        <v/>
      </c>
      <c r="M102" s="24" t="str">
        <f aca="false">IF(A102="","",COUNTIF($A$5:A102,A102))</f>
        <v/>
      </c>
      <c r="N102" s="24" t="str">
        <f aca="false">IF(A102="","",A102&amp;"|"&amp;M102)</f>
        <v/>
      </c>
    </row>
    <row r="103" customFormat="false" ht="15" hidden="false" customHeight="false" outlineLevel="0" collapsed="false">
      <c r="F103" s="0" t="str">
        <f aca="false">IF(E103="","",IF(COUNTIFS('MASTER BAHAN'!$A$5:$A$504,E103)=0,"BELUM ADA",INDEX('MASTER BAHAN'!$B$5:$B$504,MATCH(E103,'MASTER BAHAN'!$A$5:$A$504,0))))</f>
        <v/>
      </c>
      <c r="H103" s="0" t="str">
        <f aca="false">IF(E103="","",IF(COUNTIFS('MASTER BAHAN'!$A$5:$A$504,E103)=0,"BELUM ADA",INDEX('MASTER BAHAN'!$D$5:$D$504,MATCH(E103,'MASTER BAHAN'!$A$5:$A$504,0))))</f>
        <v/>
      </c>
      <c r="J103" s="0" t="str">
        <f aca="false">IF(A103="","",IF(OR(NOT(ISNUMBER(G103)),NOT(ISNUMBER(I103))),"BELUM LENGKAP",ROUND(G103*I103,0)))</f>
        <v/>
      </c>
      <c r="M103" s="24" t="str">
        <f aca="false">IF(A103="","",COUNTIF($A$5:A103,A103))</f>
        <v/>
      </c>
      <c r="N103" s="24" t="str">
        <f aca="false">IF(A103="","",A103&amp;"|"&amp;M103)</f>
        <v/>
      </c>
    </row>
    <row r="104" customFormat="false" ht="15" hidden="false" customHeight="false" outlineLevel="0" collapsed="false">
      <c r="F104" s="0" t="str">
        <f aca="false">IF(E104="","",IF(COUNTIFS('MASTER BAHAN'!$A$5:$A$504,E104)=0,"BELUM ADA",INDEX('MASTER BAHAN'!$B$5:$B$504,MATCH(E104,'MASTER BAHAN'!$A$5:$A$504,0))))</f>
        <v/>
      </c>
      <c r="H104" s="0" t="str">
        <f aca="false">IF(E104="","",IF(COUNTIFS('MASTER BAHAN'!$A$5:$A$504,E104)=0,"BELUM ADA",INDEX('MASTER BAHAN'!$D$5:$D$504,MATCH(E104,'MASTER BAHAN'!$A$5:$A$504,0))))</f>
        <v/>
      </c>
      <c r="J104" s="0" t="str">
        <f aca="false">IF(A104="","",IF(OR(NOT(ISNUMBER(G104)),NOT(ISNUMBER(I104))),"BELUM LENGKAP",ROUND(G104*I104,0)))</f>
        <v/>
      </c>
      <c r="M104" s="24" t="str">
        <f aca="false">IF(A104="","",COUNTIF($A$5:A104,A104))</f>
        <v/>
      </c>
      <c r="N104" s="24" t="str">
        <f aca="false">IF(A104="","",A104&amp;"|"&amp;M104)</f>
        <v/>
      </c>
    </row>
    <row r="105" customFormat="false" ht="15" hidden="false" customHeight="false" outlineLevel="0" collapsed="false">
      <c r="F105" s="0" t="str">
        <f aca="false">IF(E105="","",IF(COUNTIFS('MASTER BAHAN'!$A$5:$A$504,E105)=0,"BELUM ADA",INDEX('MASTER BAHAN'!$B$5:$B$504,MATCH(E105,'MASTER BAHAN'!$A$5:$A$504,0))))</f>
        <v/>
      </c>
      <c r="H105" s="0" t="str">
        <f aca="false">IF(E105="","",IF(COUNTIFS('MASTER BAHAN'!$A$5:$A$504,E105)=0,"BELUM ADA",INDEX('MASTER BAHAN'!$D$5:$D$504,MATCH(E105,'MASTER BAHAN'!$A$5:$A$504,0))))</f>
        <v/>
      </c>
      <c r="J105" s="0" t="str">
        <f aca="false">IF(A105="","",IF(OR(NOT(ISNUMBER(G105)),NOT(ISNUMBER(I105))),"BELUM LENGKAP",ROUND(G105*I105,0)))</f>
        <v/>
      </c>
      <c r="M105" s="24" t="str">
        <f aca="false">IF(A105="","",COUNTIF($A$5:A105,A105))</f>
        <v/>
      </c>
      <c r="N105" s="24" t="str">
        <f aca="false">IF(A105="","",A105&amp;"|"&amp;M105)</f>
        <v/>
      </c>
    </row>
    <row r="106" customFormat="false" ht="15" hidden="false" customHeight="false" outlineLevel="0" collapsed="false">
      <c r="F106" s="0" t="str">
        <f aca="false">IF(E106="","",IF(COUNTIFS('MASTER BAHAN'!$A$5:$A$504,E106)=0,"BELUM ADA",INDEX('MASTER BAHAN'!$B$5:$B$504,MATCH(E106,'MASTER BAHAN'!$A$5:$A$504,0))))</f>
        <v/>
      </c>
      <c r="H106" s="0" t="str">
        <f aca="false">IF(E106="","",IF(COUNTIFS('MASTER BAHAN'!$A$5:$A$504,E106)=0,"BELUM ADA",INDEX('MASTER BAHAN'!$D$5:$D$504,MATCH(E106,'MASTER BAHAN'!$A$5:$A$504,0))))</f>
        <v/>
      </c>
      <c r="J106" s="0" t="str">
        <f aca="false">IF(A106="","",IF(OR(NOT(ISNUMBER(G106)),NOT(ISNUMBER(I106))),"BELUM LENGKAP",ROUND(G106*I106,0)))</f>
        <v/>
      </c>
      <c r="M106" s="24" t="str">
        <f aca="false">IF(A106="","",COUNTIF($A$5:A106,A106))</f>
        <v/>
      </c>
      <c r="N106" s="24" t="str">
        <f aca="false">IF(A106="","",A106&amp;"|"&amp;M106)</f>
        <v/>
      </c>
    </row>
    <row r="107" customFormat="false" ht="15" hidden="false" customHeight="false" outlineLevel="0" collapsed="false">
      <c r="F107" s="0" t="str">
        <f aca="false">IF(E107="","",IF(COUNTIFS('MASTER BAHAN'!$A$5:$A$504,E107)=0,"BELUM ADA",INDEX('MASTER BAHAN'!$B$5:$B$504,MATCH(E107,'MASTER BAHAN'!$A$5:$A$504,0))))</f>
        <v/>
      </c>
      <c r="H107" s="0" t="str">
        <f aca="false">IF(E107="","",IF(COUNTIFS('MASTER BAHAN'!$A$5:$A$504,E107)=0,"BELUM ADA",INDEX('MASTER BAHAN'!$D$5:$D$504,MATCH(E107,'MASTER BAHAN'!$A$5:$A$504,0))))</f>
        <v/>
      </c>
      <c r="J107" s="0" t="str">
        <f aca="false">IF(A107="","",IF(OR(NOT(ISNUMBER(G107)),NOT(ISNUMBER(I107))),"BELUM LENGKAP",ROUND(G107*I107,0)))</f>
        <v/>
      </c>
      <c r="M107" s="24" t="str">
        <f aca="false">IF(A107="","",COUNTIF($A$5:A107,A107))</f>
        <v/>
      </c>
      <c r="N107" s="24" t="str">
        <f aca="false">IF(A107="","",A107&amp;"|"&amp;M107)</f>
        <v/>
      </c>
    </row>
    <row r="108" customFormat="false" ht="15" hidden="false" customHeight="false" outlineLevel="0" collapsed="false">
      <c r="F108" s="0" t="str">
        <f aca="false">IF(E108="","",IF(COUNTIFS('MASTER BAHAN'!$A$5:$A$504,E108)=0,"BELUM ADA",INDEX('MASTER BAHAN'!$B$5:$B$504,MATCH(E108,'MASTER BAHAN'!$A$5:$A$504,0))))</f>
        <v/>
      </c>
      <c r="H108" s="0" t="str">
        <f aca="false">IF(E108="","",IF(COUNTIFS('MASTER BAHAN'!$A$5:$A$504,E108)=0,"BELUM ADA",INDEX('MASTER BAHAN'!$D$5:$D$504,MATCH(E108,'MASTER BAHAN'!$A$5:$A$504,0))))</f>
        <v/>
      </c>
      <c r="J108" s="0" t="str">
        <f aca="false">IF(A108="","",IF(OR(NOT(ISNUMBER(G108)),NOT(ISNUMBER(I108))),"BELUM LENGKAP",ROUND(G108*I108,0)))</f>
        <v/>
      </c>
      <c r="M108" s="24" t="str">
        <f aca="false">IF(A108="","",COUNTIF($A$5:A108,A108))</f>
        <v/>
      </c>
      <c r="N108" s="24" t="str">
        <f aca="false">IF(A108="","",A108&amp;"|"&amp;M108)</f>
        <v/>
      </c>
    </row>
    <row r="109" customFormat="false" ht="15" hidden="false" customHeight="false" outlineLevel="0" collapsed="false">
      <c r="F109" s="0" t="str">
        <f aca="false">IF(E109="","",IF(COUNTIFS('MASTER BAHAN'!$A$5:$A$504,E109)=0,"BELUM ADA",INDEX('MASTER BAHAN'!$B$5:$B$504,MATCH(E109,'MASTER BAHAN'!$A$5:$A$504,0))))</f>
        <v/>
      </c>
      <c r="H109" s="0" t="str">
        <f aca="false">IF(E109="","",IF(COUNTIFS('MASTER BAHAN'!$A$5:$A$504,E109)=0,"BELUM ADA",INDEX('MASTER BAHAN'!$D$5:$D$504,MATCH(E109,'MASTER BAHAN'!$A$5:$A$504,0))))</f>
        <v/>
      </c>
      <c r="J109" s="0" t="str">
        <f aca="false">IF(A109="","",IF(OR(NOT(ISNUMBER(G109)),NOT(ISNUMBER(I109))),"BELUM LENGKAP",ROUND(G109*I109,0)))</f>
        <v/>
      </c>
      <c r="M109" s="24" t="str">
        <f aca="false">IF(A109="","",COUNTIF($A$5:A109,A109))</f>
        <v/>
      </c>
      <c r="N109" s="24" t="str">
        <f aca="false">IF(A109="","",A109&amp;"|"&amp;M109)</f>
        <v/>
      </c>
    </row>
    <row r="110" customFormat="false" ht="15" hidden="false" customHeight="false" outlineLevel="0" collapsed="false">
      <c r="F110" s="0" t="str">
        <f aca="false">IF(E110="","",IF(COUNTIFS('MASTER BAHAN'!$A$5:$A$504,E110)=0,"BELUM ADA",INDEX('MASTER BAHAN'!$B$5:$B$504,MATCH(E110,'MASTER BAHAN'!$A$5:$A$504,0))))</f>
        <v/>
      </c>
      <c r="H110" s="0" t="str">
        <f aca="false">IF(E110="","",IF(COUNTIFS('MASTER BAHAN'!$A$5:$A$504,E110)=0,"BELUM ADA",INDEX('MASTER BAHAN'!$D$5:$D$504,MATCH(E110,'MASTER BAHAN'!$A$5:$A$504,0))))</f>
        <v/>
      </c>
      <c r="J110" s="0" t="str">
        <f aca="false">IF(A110="","",IF(OR(NOT(ISNUMBER(G110)),NOT(ISNUMBER(I110))),"BELUM LENGKAP",ROUND(G110*I110,0)))</f>
        <v/>
      </c>
      <c r="M110" s="24" t="str">
        <f aca="false">IF(A110="","",COUNTIF($A$5:A110,A110))</f>
        <v/>
      </c>
      <c r="N110" s="24" t="str">
        <f aca="false">IF(A110="","",A110&amp;"|"&amp;M110)</f>
        <v/>
      </c>
    </row>
    <row r="111" customFormat="false" ht="15" hidden="false" customHeight="false" outlineLevel="0" collapsed="false">
      <c r="F111" s="0" t="str">
        <f aca="false">IF(E111="","",IF(COUNTIFS('MASTER BAHAN'!$A$5:$A$504,E111)=0,"BELUM ADA",INDEX('MASTER BAHAN'!$B$5:$B$504,MATCH(E111,'MASTER BAHAN'!$A$5:$A$504,0))))</f>
        <v/>
      </c>
      <c r="H111" s="0" t="str">
        <f aca="false">IF(E111="","",IF(COUNTIFS('MASTER BAHAN'!$A$5:$A$504,E111)=0,"BELUM ADA",INDEX('MASTER BAHAN'!$D$5:$D$504,MATCH(E111,'MASTER BAHAN'!$A$5:$A$504,0))))</f>
        <v/>
      </c>
      <c r="J111" s="0" t="str">
        <f aca="false">IF(A111="","",IF(OR(NOT(ISNUMBER(G111)),NOT(ISNUMBER(I111))),"BELUM LENGKAP",ROUND(G111*I111,0)))</f>
        <v/>
      </c>
      <c r="M111" s="24" t="str">
        <f aca="false">IF(A111="","",COUNTIF($A$5:A111,A111))</f>
        <v/>
      </c>
      <c r="N111" s="24" t="str">
        <f aca="false">IF(A111="","",A111&amp;"|"&amp;M111)</f>
        <v/>
      </c>
    </row>
    <row r="112" customFormat="false" ht="15" hidden="false" customHeight="false" outlineLevel="0" collapsed="false">
      <c r="F112" s="0" t="str">
        <f aca="false">IF(E112="","",IF(COUNTIFS('MASTER BAHAN'!$A$5:$A$504,E112)=0,"BELUM ADA",INDEX('MASTER BAHAN'!$B$5:$B$504,MATCH(E112,'MASTER BAHAN'!$A$5:$A$504,0))))</f>
        <v/>
      </c>
      <c r="H112" s="0" t="str">
        <f aca="false">IF(E112="","",IF(COUNTIFS('MASTER BAHAN'!$A$5:$A$504,E112)=0,"BELUM ADA",INDEX('MASTER BAHAN'!$D$5:$D$504,MATCH(E112,'MASTER BAHAN'!$A$5:$A$504,0))))</f>
        <v/>
      </c>
      <c r="J112" s="0" t="str">
        <f aca="false">IF(A112="","",IF(OR(NOT(ISNUMBER(G112)),NOT(ISNUMBER(I112))),"BELUM LENGKAP",ROUND(G112*I112,0)))</f>
        <v/>
      </c>
      <c r="M112" s="24" t="str">
        <f aca="false">IF(A112="","",COUNTIF($A$5:A112,A112))</f>
        <v/>
      </c>
      <c r="N112" s="24" t="str">
        <f aca="false">IF(A112="","",A112&amp;"|"&amp;M112)</f>
        <v/>
      </c>
    </row>
    <row r="113" customFormat="false" ht="15" hidden="false" customHeight="false" outlineLevel="0" collapsed="false">
      <c r="F113" s="0" t="str">
        <f aca="false">IF(E113="","",IF(COUNTIFS('MASTER BAHAN'!$A$5:$A$504,E113)=0,"BELUM ADA",INDEX('MASTER BAHAN'!$B$5:$B$504,MATCH(E113,'MASTER BAHAN'!$A$5:$A$504,0))))</f>
        <v/>
      </c>
      <c r="H113" s="0" t="str">
        <f aca="false">IF(E113="","",IF(COUNTIFS('MASTER BAHAN'!$A$5:$A$504,E113)=0,"BELUM ADA",INDEX('MASTER BAHAN'!$D$5:$D$504,MATCH(E113,'MASTER BAHAN'!$A$5:$A$504,0))))</f>
        <v/>
      </c>
      <c r="J113" s="0" t="str">
        <f aca="false">IF(A113="","",IF(OR(NOT(ISNUMBER(G113)),NOT(ISNUMBER(I113))),"BELUM LENGKAP",ROUND(G113*I113,0)))</f>
        <v/>
      </c>
      <c r="M113" s="24" t="str">
        <f aca="false">IF(A113="","",COUNTIF($A$5:A113,A113))</f>
        <v/>
      </c>
      <c r="N113" s="24" t="str">
        <f aca="false">IF(A113="","",A113&amp;"|"&amp;M113)</f>
        <v/>
      </c>
    </row>
    <row r="114" customFormat="false" ht="15" hidden="false" customHeight="false" outlineLevel="0" collapsed="false">
      <c r="F114" s="0" t="str">
        <f aca="false">IF(E114="","",IF(COUNTIFS('MASTER BAHAN'!$A$5:$A$504,E114)=0,"BELUM ADA",INDEX('MASTER BAHAN'!$B$5:$B$504,MATCH(E114,'MASTER BAHAN'!$A$5:$A$504,0))))</f>
        <v/>
      </c>
      <c r="H114" s="0" t="str">
        <f aca="false">IF(E114="","",IF(COUNTIFS('MASTER BAHAN'!$A$5:$A$504,E114)=0,"BELUM ADA",INDEX('MASTER BAHAN'!$D$5:$D$504,MATCH(E114,'MASTER BAHAN'!$A$5:$A$504,0))))</f>
        <v/>
      </c>
      <c r="J114" s="0" t="str">
        <f aca="false">IF(A114="","",IF(OR(NOT(ISNUMBER(G114)),NOT(ISNUMBER(I114))),"BELUM LENGKAP",ROUND(G114*I114,0)))</f>
        <v/>
      </c>
      <c r="M114" s="24" t="str">
        <f aca="false">IF(A114="","",COUNTIF($A$5:A114,A114))</f>
        <v/>
      </c>
      <c r="N114" s="24" t="str">
        <f aca="false">IF(A114="","",A114&amp;"|"&amp;M114)</f>
        <v/>
      </c>
    </row>
    <row r="115" customFormat="false" ht="15" hidden="false" customHeight="false" outlineLevel="0" collapsed="false">
      <c r="F115" s="0" t="str">
        <f aca="false">IF(E115="","",IF(COUNTIFS('MASTER BAHAN'!$A$5:$A$504,E115)=0,"BELUM ADA",INDEX('MASTER BAHAN'!$B$5:$B$504,MATCH(E115,'MASTER BAHAN'!$A$5:$A$504,0))))</f>
        <v/>
      </c>
      <c r="H115" s="0" t="str">
        <f aca="false">IF(E115="","",IF(COUNTIFS('MASTER BAHAN'!$A$5:$A$504,E115)=0,"BELUM ADA",INDEX('MASTER BAHAN'!$D$5:$D$504,MATCH(E115,'MASTER BAHAN'!$A$5:$A$504,0))))</f>
        <v/>
      </c>
      <c r="J115" s="0" t="str">
        <f aca="false">IF(A115="","",IF(OR(NOT(ISNUMBER(G115)),NOT(ISNUMBER(I115))),"BELUM LENGKAP",ROUND(G115*I115,0)))</f>
        <v/>
      </c>
      <c r="M115" s="24" t="str">
        <f aca="false">IF(A115="","",COUNTIF($A$5:A115,A115))</f>
        <v/>
      </c>
      <c r="N115" s="24" t="str">
        <f aca="false">IF(A115="","",A115&amp;"|"&amp;M115)</f>
        <v/>
      </c>
    </row>
    <row r="116" customFormat="false" ht="15" hidden="false" customHeight="false" outlineLevel="0" collapsed="false">
      <c r="F116" s="0" t="str">
        <f aca="false">IF(E116="","",IF(COUNTIFS('MASTER BAHAN'!$A$5:$A$504,E116)=0,"BELUM ADA",INDEX('MASTER BAHAN'!$B$5:$B$504,MATCH(E116,'MASTER BAHAN'!$A$5:$A$504,0))))</f>
        <v/>
      </c>
      <c r="H116" s="0" t="str">
        <f aca="false">IF(E116="","",IF(COUNTIFS('MASTER BAHAN'!$A$5:$A$504,E116)=0,"BELUM ADA",INDEX('MASTER BAHAN'!$D$5:$D$504,MATCH(E116,'MASTER BAHAN'!$A$5:$A$504,0))))</f>
        <v/>
      </c>
      <c r="J116" s="0" t="str">
        <f aca="false">IF(A116="","",IF(OR(NOT(ISNUMBER(G116)),NOT(ISNUMBER(I116))),"BELUM LENGKAP",ROUND(G116*I116,0)))</f>
        <v/>
      </c>
      <c r="M116" s="24" t="str">
        <f aca="false">IF(A116="","",COUNTIF($A$5:A116,A116))</f>
        <v/>
      </c>
      <c r="N116" s="24" t="str">
        <f aca="false">IF(A116="","",A116&amp;"|"&amp;M116)</f>
        <v/>
      </c>
    </row>
    <row r="117" customFormat="false" ht="15" hidden="false" customHeight="false" outlineLevel="0" collapsed="false">
      <c r="F117" s="0" t="str">
        <f aca="false">IF(E117="","",IF(COUNTIFS('MASTER BAHAN'!$A$5:$A$504,E117)=0,"BELUM ADA",INDEX('MASTER BAHAN'!$B$5:$B$504,MATCH(E117,'MASTER BAHAN'!$A$5:$A$504,0))))</f>
        <v/>
      </c>
      <c r="H117" s="0" t="str">
        <f aca="false">IF(E117="","",IF(COUNTIFS('MASTER BAHAN'!$A$5:$A$504,E117)=0,"BELUM ADA",INDEX('MASTER BAHAN'!$D$5:$D$504,MATCH(E117,'MASTER BAHAN'!$A$5:$A$504,0))))</f>
        <v/>
      </c>
      <c r="J117" s="0" t="str">
        <f aca="false">IF(A117="","",IF(OR(NOT(ISNUMBER(G117)),NOT(ISNUMBER(I117))),"BELUM LENGKAP",ROUND(G117*I117,0)))</f>
        <v/>
      </c>
      <c r="M117" s="24" t="str">
        <f aca="false">IF(A117="","",COUNTIF($A$5:A117,A117))</f>
        <v/>
      </c>
      <c r="N117" s="24" t="str">
        <f aca="false">IF(A117="","",A117&amp;"|"&amp;M117)</f>
        <v/>
      </c>
    </row>
    <row r="118" customFormat="false" ht="15" hidden="false" customHeight="false" outlineLevel="0" collapsed="false">
      <c r="F118" s="0" t="str">
        <f aca="false">IF(E118="","",IF(COUNTIFS('MASTER BAHAN'!$A$5:$A$504,E118)=0,"BELUM ADA",INDEX('MASTER BAHAN'!$B$5:$B$504,MATCH(E118,'MASTER BAHAN'!$A$5:$A$504,0))))</f>
        <v/>
      </c>
      <c r="H118" s="0" t="str">
        <f aca="false">IF(E118="","",IF(COUNTIFS('MASTER BAHAN'!$A$5:$A$504,E118)=0,"BELUM ADA",INDEX('MASTER BAHAN'!$D$5:$D$504,MATCH(E118,'MASTER BAHAN'!$A$5:$A$504,0))))</f>
        <v/>
      </c>
      <c r="J118" s="0" t="str">
        <f aca="false">IF(A118="","",IF(OR(NOT(ISNUMBER(G118)),NOT(ISNUMBER(I118))),"BELUM LENGKAP",ROUND(G118*I118,0)))</f>
        <v/>
      </c>
      <c r="M118" s="24" t="str">
        <f aca="false">IF(A118="","",COUNTIF($A$5:A118,A118))</f>
        <v/>
      </c>
      <c r="N118" s="24" t="str">
        <f aca="false">IF(A118="","",A118&amp;"|"&amp;M118)</f>
        <v/>
      </c>
    </row>
    <row r="119" customFormat="false" ht="15" hidden="false" customHeight="false" outlineLevel="0" collapsed="false">
      <c r="F119" s="0" t="str">
        <f aca="false">IF(E119="","",IF(COUNTIFS('MASTER BAHAN'!$A$5:$A$504,E119)=0,"BELUM ADA",INDEX('MASTER BAHAN'!$B$5:$B$504,MATCH(E119,'MASTER BAHAN'!$A$5:$A$504,0))))</f>
        <v/>
      </c>
      <c r="H119" s="0" t="str">
        <f aca="false">IF(E119="","",IF(COUNTIFS('MASTER BAHAN'!$A$5:$A$504,E119)=0,"BELUM ADA",INDEX('MASTER BAHAN'!$D$5:$D$504,MATCH(E119,'MASTER BAHAN'!$A$5:$A$504,0))))</f>
        <v/>
      </c>
      <c r="J119" s="0" t="str">
        <f aca="false">IF(A119="","",IF(OR(NOT(ISNUMBER(G119)),NOT(ISNUMBER(I119))),"BELUM LENGKAP",ROUND(G119*I119,0)))</f>
        <v/>
      </c>
      <c r="M119" s="24" t="str">
        <f aca="false">IF(A119="","",COUNTIF($A$5:A119,A119))</f>
        <v/>
      </c>
      <c r="N119" s="24" t="str">
        <f aca="false">IF(A119="","",A119&amp;"|"&amp;M119)</f>
        <v/>
      </c>
    </row>
    <row r="120" customFormat="false" ht="15" hidden="false" customHeight="false" outlineLevel="0" collapsed="false">
      <c r="F120" s="0" t="str">
        <f aca="false">IF(E120="","",IF(COUNTIFS('MASTER BAHAN'!$A$5:$A$504,E120)=0,"BELUM ADA",INDEX('MASTER BAHAN'!$B$5:$B$504,MATCH(E120,'MASTER BAHAN'!$A$5:$A$504,0))))</f>
        <v/>
      </c>
      <c r="H120" s="0" t="str">
        <f aca="false">IF(E120="","",IF(COUNTIFS('MASTER BAHAN'!$A$5:$A$504,E120)=0,"BELUM ADA",INDEX('MASTER BAHAN'!$D$5:$D$504,MATCH(E120,'MASTER BAHAN'!$A$5:$A$504,0))))</f>
        <v/>
      </c>
      <c r="J120" s="0" t="str">
        <f aca="false">IF(A120="","",IF(OR(NOT(ISNUMBER(G120)),NOT(ISNUMBER(I120))),"BELUM LENGKAP",ROUND(G120*I120,0)))</f>
        <v/>
      </c>
      <c r="M120" s="24" t="str">
        <f aca="false">IF(A120="","",COUNTIF($A$5:A120,A120))</f>
        <v/>
      </c>
      <c r="N120" s="24" t="str">
        <f aca="false">IF(A120="","",A120&amp;"|"&amp;M120)</f>
        <v/>
      </c>
    </row>
    <row r="121" customFormat="false" ht="15" hidden="false" customHeight="false" outlineLevel="0" collapsed="false">
      <c r="F121" s="0" t="str">
        <f aca="false">IF(E121="","",IF(COUNTIFS('MASTER BAHAN'!$A$5:$A$504,E121)=0,"BELUM ADA",INDEX('MASTER BAHAN'!$B$5:$B$504,MATCH(E121,'MASTER BAHAN'!$A$5:$A$504,0))))</f>
        <v/>
      </c>
      <c r="H121" s="0" t="str">
        <f aca="false">IF(E121="","",IF(COUNTIFS('MASTER BAHAN'!$A$5:$A$504,E121)=0,"BELUM ADA",INDEX('MASTER BAHAN'!$D$5:$D$504,MATCH(E121,'MASTER BAHAN'!$A$5:$A$504,0))))</f>
        <v/>
      </c>
      <c r="J121" s="0" t="str">
        <f aca="false">IF(A121="","",IF(OR(NOT(ISNUMBER(G121)),NOT(ISNUMBER(I121))),"BELUM LENGKAP",ROUND(G121*I121,0)))</f>
        <v/>
      </c>
      <c r="M121" s="24" t="str">
        <f aca="false">IF(A121="","",COUNTIF($A$5:A121,A121))</f>
        <v/>
      </c>
      <c r="N121" s="24" t="str">
        <f aca="false">IF(A121="","",A121&amp;"|"&amp;M121)</f>
        <v/>
      </c>
    </row>
    <row r="122" customFormat="false" ht="15" hidden="false" customHeight="false" outlineLevel="0" collapsed="false">
      <c r="F122" s="0" t="str">
        <f aca="false">IF(E122="","",IF(COUNTIFS('MASTER BAHAN'!$A$5:$A$504,E122)=0,"BELUM ADA",INDEX('MASTER BAHAN'!$B$5:$B$504,MATCH(E122,'MASTER BAHAN'!$A$5:$A$504,0))))</f>
        <v/>
      </c>
      <c r="H122" s="0" t="str">
        <f aca="false">IF(E122="","",IF(COUNTIFS('MASTER BAHAN'!$A$5:$A$504,E122)=0,"BELUM ADA",INDEX('MASTER BAHAN'!$D$5:$D$504,MATCH(E122,'MASTER BAHAN'!$A$5:$A$504,0))))</f>
        <v/>
      </c>
      <c r="J122" s="0" t="str">
        <f aca="false">IF(A122="","",IF(OR(NOT(ISNUMBER(G122)),NOT(ISNUMBER(I122))),"BELUM LENGKAP",ROUND(G122*I122,0)))</f>
        <v/>
      </c>
      <c r="M122" s="24" t="str">
        <f aca="false">IF(A122="","",COUNTIF($A$5:A122,A122))</f>
        <v/>
      </c>
      <c r="N122" s="24" t="str">
        <f aca="false">IF(A122="","",A122&amp;"|"&amp;M122)</f>
        <v/>
      </c>
    </row>
    <row r="123" customFormat="false" ht="15" hidden="false" customHeight="false" outlineLevel="0" collapsed="false">
      <c r="F123" s="0" t="str">
        <f aca="false">IF(E123="","",IF(COUNTIFS('MASTER BAHAN'!$A$5:$A$504,E123)=0,"BELUM ADA",INDEX('MASTER BAHAN'!$B$5:$B$504,MATCH(E123,'MASTER BAHAN'!$A$5:$A$504,0))))</f>
        <v/>
      </c>
      <c r="H123" s="0" t="str">
        <f aca="false">IF(E123="","",IF(COUNTIFS('MASTER BAHAN'!$A$5:$A$504,E123)=0,"BELUM ADA",INDEX('MASTER BAHAN'!$D$5:$D$504,MATCH(E123,'MASTER BAHAN'!$A$5:$A$504,0))))</f>
        <v/>
      </c>
      <c r="J123" s="0" t="str">
        <f aca="false">IF(A123="","",IF(OR(NOT(ISNUMBER(G123)),NOT(ISNUMBER(I123))),"BELUM LENGKAP",ROUND(G123*I123,0)))</f>
        <v/>
      </c>
      <c r="M123" s="24" t="str">
        <f aca="false">IF(A123="","",COUNTIF($A$5:A123,A123))</f>
        <v/>
      </c>
      <c r="N123" s="24" t="str">
        <f aca="false">IF(A123="","",A123&amp;"|"&amp;M123)</f>
        <v/>
      </c>
    </row>
    <row r="124" customFormat="false" ht="15" hidden="false" customHeight="false" outlineLevel="0" collapsed="false">
      <c r="F124" s="0" t="str">
        <f aca="false">IF(E124="","",IF(COUNTIFS('MASTER BAHAN'!$A$5:$A$504,E124)=0,"BELUM ADA",INDEX('MASTER BAHAN'!$B$5:$B$504,MATCH(E124,'MASTER BAHAN'!$A$5:$A$504,0))))</f>
        <v/>
      </c>
      <c r="H124" s="0" t="str">
        <f aca="false">IF(E124="","",IF(COUNTIFS('MASTER BAHAN'!$A$5:$A$504,E124)=0,"BELUM ADA",INDEX('MASTER BAHAN'!$D$5:$D$504,MATCH(E124,'MASTER BAHAN'!$A$5:$A$504,0))))</f>
        <v/>
      </c>
      <c r="J124" s="0" t="str">
        <f aca="false">IF(A124="","",IF(OR(NOT(ISNUMBER(G124)),NOT(ISNUMBER(I124))),"BELUM LENGKAP",ROUND(G124*I124,0)))</f>
        <v/>
      </c>
      <c r="M124" s="24" t="str">
        <f aca="false">IF(A124="","",COUNTIF($A$5:A124,A124))</f>
        <v/>
      </c>
      <c r="N124" s="24" t="str">
        <f aca="false">IF(A124="","",A124&amp;"|"&amp;M124)</f>
        <v/>
      </c>
    </row>
    <row r="125" customFormat="false" ht="15" hidden="false" customHeight="false" outlineLevel="0" collapsed="false">
      <c r="F125" s="0" t="str">
        <f aca="false">IF(E125="","",IF(COUNTIFS('MASTER BAHAN'!$A$5:$A$504,E125)=0,"BELUM ADA",INDEX('MASTER BAHAN'!$B$5:$B$504,MATCH(E125,'MASTER BAHAN'!$A$5:$A$504,0))))</f>
        <v/>
      </c>
      <c r="H125" s="0" t="str">
        <f aca="false">IF(E125="","",IF(COUNTIFS('MASTER BAHAN'!$A$5:$A$504,E125)=0,"BELUM ADA",INDEX('MASTER BAHAN'!$D$5:$D$504,MATCH(E125,'MASTER BAHAN'!$A$5:$A$504,0))))</f>
        <v/>
      </c>
      <c r="J125" s="0" t="str">
        <f aca="false">IF(A125="","",IF(OR(NOT(ISNUMBER(G125)),NOT(ISNUMBER(I125))),"BELUM LENGKAP",ROUND(G125*I125,0)))</f>
        <v/>
      </c>
      <c r="M125" s="24" t="str">
        <f aca="false">IF(A125="","",COUNTIF($A$5:A125,A125))</f>
        <v/>
      </c>
      <c r="N125" s="24" t="str">
        <f aca="false">IF(A125="","",A125&amp;"|"&amp;M125)</f>
        <v/>
      </c>
    </row>
    <row r="126" customFormat="false" ht="15" hidden="false" customHeight="false" outlineLevel="0" collapsed="false">
      <c r="F126" s="0" t="str">
        <f aca="false">IF(E126="","",IF(COUNTIFS('MASTER BAHAN'!$A$5:$A$504,E126)=0,"BELUM ADA",INDEX('MASTER BAHAN'!$B$5:$B$504,MATCH(E126,'MASTER BAHAN'!$A$5:$A$504,0))))</f>
        <v/>
      </c>
      <c r="H126" s="0" t="str">
        <f aca="false">IF(E126="","",IF(COUNTIFS('MASTER BAHAN'!$A$5:$A$504,E126)=0,"BELUM ADA",INDEX('MASTER BAHAN'!$D$5:$D$504,MATCH(E126,'MASTER BAHAN'!$A$5:$A$504,0))))</f>
        <v/>
      </c>
      <c r="J126" s="0" t="str">
        <f aca="false">IF(A126="","",IF(OR(NOT(ISNUMBER(G126)),NOT(ISNUMBER(I126))),"BELUM LENGKAP",ROUND(G126*I126,0)))</f>
        <v/>
      </c>
      <c r="M126" s="24" t="str">
        <f aca="false">IF(A126="","",COUNTIF($A$5:A126,A126))</f>
        <v/>
      </c>
      <c r="N126" s="24" t="str">
        <f aca="false">IF(A126="","",A126&amp;"|"&amp;M126)</f>
        <v/>
      </c>
    </row>
    <row r="127" customFormat="false" ht="15" hidden="false" customHeight="false" outlineLevel="0" collapsed="false">
      <c r="F127" s="0" t="str">
        <f aca="false">IF(E127="","",IF(COUNTIFS('MASTER BAHAN'!$A$5:$A$504,E127)=0,"BELUM ADA",INDEX('MASTER BAHAN'!$B$5:$B$504,MATCH(E127,'MASTER BAHAN'!$A$5:$A$504,0))))</f>
        <v/>
      </c>
      <c r="H127" s="0" t="str">
        <f aca="false">IF(E127="","",IF(COUNTIFS('MASTER BAHAN'!$A$5:$A$504,E127)=0,"BELUM ADA",INDEX('MASTER BAHAN'!$D$5:$D$504,MATCH(E127,'MASTER BAHAN'!$A$5:$A$504,0))))</f>
        <v/>
      </c>
      <c r="J127" s="0" t="str">
        <f aca="false">IF(A127="","",IF(OR(NOT(ISNUMBER(G127)),NOT(ISNUMBER(I127))),"BELUM LENGKAP",ROUND(G127*I127,0)))</f>
        <v/>
      </c>
      <c r="M127" s="24" t="str">
        <f aca="false">IF(A127="","",COUNTIF($A$5:A127,A127))</f>
        <v/>
      </c>
      <c r="N127" s="24" t="str">
        <f aca="false">IF(A127="","",A127&amp;"|"&amp;M127)</f>
        <v/>
      </c>
    </row>
    <row r="128" customFormat="false" ht="15" hidden="false" customHeight="false" outlineLevel="0" collapsed="false">
      <c r="F128" s="0" t="str">
        <f aca="false">IF(E128="","",IF(COUNTIFS('MASTER BAHAN'!$A$5:$A$504,E128)=0,"BELUM ADA",INDEX('MASTER BAHAN'!$B$5:$B$504,MATCH(E128,'MASTER BAHAN'!$A$5:$A$504,0))))</f>
        <v/>
      </c>
      <c r="H128" s="0" t="str">
        <f aca="false">IF(E128="","",IF(COUNTIFS('MASTER BAHAN'!$A$5:$A$504,E128)=0,"BELUM ADA",INDEX('MASTER BAHAN'!$D$5:$D$504,MATCH(E128,'MASTER BAHAN'!$A$5:$A$504,0))))</f>
        <v/>
      </c>
      <c r="J128" s="0" t="str">
        <f aca="false">IF(A128="","",IF(OR(NOT(ISNUMBER(G128)),NOT(ISNUMBER(I128))),"BELUM LENGKAP",ROUND(G128*I128,0)))</f>
        <v/>
      </c>
      <c r="M128" s="24" t="str">
        <f aca="false">IF(A128="","",COUNTIF($A$5:A128,A128))</f>
        <v/>
      </c>
      <c r="N128" s="24" t="str">
        <f aca="false">IF(A128="","",A128&amp;"|"&amp;M128)</f>
        <v/>
      </c>
    </row>
    <row r="129" customFormat="false" ht="15" hidden="false" customHeight="false" outlineLevel="0" collapsed="false">
      <c r="F129" s="0" t="str">
        <f aca="false">IF(E129="","",IF(COUNTIFS('MASTER BAHAN'!$A$5:$A$504,E129)=0,"BELUM ADA",INDEX('MASTER BAHAN'!$B$5:$B$504,MATCH(E129,'MASTER BAHAN'!$A$5:$A$504,0))))</f>
        <v/>
      </c>
      <c r="H129" s="0" t="str">
        <f aca="false">IF(E129="","",IF(COUNTIFS('MASTER BAHAN'!$A$5:$A$504,E129)=0,"BELUM ADA",INDEX('MASTER BAHAN'!$D$5:$D$504,MATCH(E129,'MASTER BAHAN'!$A$5:$A$504,0))))</f>
        <v/>
      </c>
      <c r="J129" s="0" t="str">
        <f aca="false">IF(A129="","",IF(OR(NOT(ISNUMBER(G129)),NOT(ISNUMBER(I129))),"BELUM LENGKAP",ROUND(G129*I129,0)))</f>
        <v/>
      </c>
      <c r="M129" s="24" t="str">
        <f aca="false">IF(A129="","",COUNTIF($A$5:A129,A129))</f>
        <v/>
      </c>
      <c r="N129" s="24" t="str">
        <f aca="false">IF(A129="","",A129&amp;"|"&amp;M129)</f>
        <v/>
      </c>
    </row>
    <row r="130" customFormat="false" ht="15" hidden="false" customHeight="false" outlineLevel="0" collapsed="false">
      <c r="F130" s="0" t="str">
        <f aca="false">IF(E130="","",IF(COUNTIFS('MASTER BAHAN'!$A$5:$A$504,E130)=0,"BELUM ADA",INDEX('MASTER BAHAN'!$B$5:$B$504,MATCH(E130,'MASTER BAHAN'!$A$5:$A$504,0))))</f>
        <v/>
      </c>
      <c r="H130" s="0" t="str">
        <f aca="false">IF(E130="","",IF(COUNTIFS('MASTER BAHAN'!$A$5:$A$504,E130)=0,"BELUM ADA",INDEX('MASTER BAHAN'!$D$5:$D$504,MATCH(E130,'MASTER BAHAN'!$A$5:$A$504,0))))</f>
        <v/>
      </c>
      <c r="J130" s="0" t="str">
        <f aca="false">IF(A130="","",IF(OR(NOT(ISNUMBER(G130)),NOT(ISNUMBER(I130))),"BELUM LENGKAP",ROUND(G130*I130,0)))</f>
        <v/>
      </c>
      <c r="M130" s="24" t="str">
        <f aca="false">IF(A130="","",COUNTIF($A$5:A130,A130))</f>
        <v/>
      </c>
      <c r="N130" s="24" t="str">
        <f aca="false">IF(A130="","",A130&amp;"|"&amp;M130)</f>
        <v/>
      </c>
    </row>
    <row r="131" customFormat="false" ht="15" hidden="false" customHeight="false" outlineLevel="0" collapsed="false">
      <c r="F131" s="0" t="str">
        <f aca="false">IF(E131="","",IF(COUNTIFS('MASTER BAHAN'!$A$5:$A$504,E131)=0,"BELUM ADA",INDEX('MASTER BAHAN'!$B$5:$B$504,MATCH(E131,'MASTER BAHAN'!$A$5:$A$504,0))))</f>
        <v/>
      </c>
      <c r="H131" s="0" t="str">
        <f aca="false">IF(E131="","",IF(COUNTIFS('MASTER BAHAN'!$A$5:$A$504,E131)=0,"BELUM ADA",INDEX('MASTER BAHAN'!$D$5:$D$504,MATCH(E131,'MASTER BAHAN'!$A$5:$A$504,0))))</f>
        <v/>
      </c>
      <c r="J131" s="0" t="str">
        <f aca="false">IF(A131="","",IF(OR(NOT(ISNUMBER(G131)),NOT(ISNUMBER(I131))),"BELUM LENGKAP",ROUND(G131*I131,0)))</f>
        <v/>
      </c>
      <c r="M131" s="24" t="str">
        <f aca="false">IF(A131="","",COUNTIF($A$5:A131,A131))</f>
        <v/>
      </c>
      <c r="N131" s="24" t="str">
        <f aca="false">IF(A131="","",A131&amp;"|"&amp;M131)</f>
        <v/>
      </c>
    </row>
    <row r="132" customFormat="false" ht="15" hidden="false" customHeight="false" outlineLevel="0" collapsed="false">
      <c r="F132" s="0" t="str">
        <f aca="false">IF(E132="","",IF(COUNTIFS('MASTER BAHAN'!$A$5:$A$504,E132)=0,"BELUM ADA",INDEX('MASTER BAHAN'!$B$5:$B$504,MATCH(E132,'MASTER BAHAN'!$A$5:$A$504,0))))</f>
        <v/>
      </c>
      <c r="H132" s="0" t="str">
        <f aca="false">IF(E132="","",IF(COUNTIFS('MASTER BAHAN'!$A$5:$A$504,E132)=0,"BELUM ADA",INDEX('MASTER BAHAN'!$D$5:$D$504,MATCH(E132,'MASTER BAHAN'!$A$5:$A$504,0))))</f>
        <v/>
      </c>
      <c r="J132" s="0" t="str">
        <f aca="false">IF(A132="","",IF(OR(NOT(ISNUMBER(G132)),NOT(ISNUMBER(I132))),"BELUM LENGKAP",ROUND(G132*I132,0)))</f>
        <v/>
      </c>
      <c r="M132" s="24" t="str">
        <f aca="false">IF(A132="","",COUNTIF($A$5:A132,A132))</f>
        <v/>
      </c>
      <c r="N132" s="24" t="str">
        <f aca="false">IF(A132="","",A132&amp;"|"&amp;M132)</f>
        <v/>
      </c>
    </row>
    <row r="133" customFormat="false" ht="15" hidden="false" customHeight="false" outlineLevel="0" collapsed="false">
      <c r="F133" s="0" t="str">
        <f aca="false">IF(E133="","",IF(COUNTIFS('MASTER BAHAN'!$A$5:$A$504,E133)=0,"BELUM ADA",INDEX('MASTER BAHAN'!$B$5:$B$504,MATCH(E133,'MASTER BAHAN'!$A$5:$A$504,0))))</f>
        <v/>
      </c>
      <c r="H133" s="0" t="str">
        <f aca="false">IF(E133="","",IF(COUNTIFS('MASTER BAHAN'!$A$5:$A$504,E133)=0,"BELUM ADA",INDEX('MASTER BAHAN'!$D$5:$D$504,MATCH(E133,'MASTER BAHAN'!$A$5:$A$504,0))))</f>
        <v/>
      </c>
      <c r="J133" s="0" t="str">
        <f aca="false">IF(A133="","",IF(OR(NOT(ISNUMBER(G133)),NOT(ISNUMBER(I133))),"BELUM LENGKAP",ROUND(G133*I133,0)))</f>
        <v/>
      </c>
      <c r="M133" s="24" t="str">
        <f aca="false">IF(A133="","",COUNTIF($A$5:A133,A133))</f>
        <v/>
      </c>
      <c r="N133" s="24" t="str">
        <f aca="false">IF(A133="","",A133&amp;"|"&amp;M133)</f>
        <v/>
      </c>
    </row>
    <row r="134" customFormat="false" ht="15" hidden="false" customHeight="false" outlineLevel="0" collapsed="false">
      <c r="F134" s="0" t="str">
        <f aca="false">IF(E134="","",IF(COUNTIFS('MASTER BAHAN'!$A$5:$A$504,E134)=0,"BELUM ADA",INDEX('MASTER BAHAN'!$B$5:$B$504,MATCH(E134,'MASTER BAHAN'!$A$5:$A$504,0))))</f>
        <v/>
      </c>
      <c r="H134" s="0" t="str">
        <f aca="false">IF(E134="","",IF(COUNTIFS('MASTER BAHAN'!$A$5:$A$504,E134)=0,"BELUM ADA",INDEX('MASTER BAHAN'!$D$5:$D$504,MATCH(E134,'MASTER BAHAN'!$A$5:$A$504,0))))</f>
        <v/>
      </c>
      <c r="J134" s="0" t="str">
        <f aca="false">IF(A134="","",IF(OR(NOT(ISNUMBER(G134)),NOT(ISNUMBER(I134))),"BELUM LENGKAP",ROUND(G134*I134,0)))</f>
        <v/>
      </c>
      <c r="M134" s="24" t="str">
        <f aca="false">IF(A134="","",COUNTIF($A$5:A134,A134))</f>
        <v/>
      </c>
      <c r="N134" s="24" t="str">
        <f aca="false">IF(A134="","",A134&amp;"|"&amp;M134)</f>
        <v/>
      </c>
    </row>
    <row r="135" customFormat="false" ht="15" hidden="false" customHeight="false" outlineLevel="0" collapsed="false">
      <c r="F135" s="0" t="str">
        <f aca="false">IF(E135="","",IF(COUNTIFS('MASTER BAHAN'!$A$5:$A$504,E135)=0,"BELUM ADA",INDEX('MASTER BAHAN'!$B$5:$B$504,MATCH(E135,'MASTER BAHAN'!$A$5:$A$504,0))))</f>
        <v/>
      </c>
      <c r="H135" s="0" t="str">
        <f aca="false">IF(E135="","",IF(COUNTIFS('MASTER BAHAN'!$A$5:$A$504,E135)=0,"BELUM ADA",INDEX('MASTER BAHAN'!$D$5:$D$504,MATCH(E135,'MASTER BAHAN'!$A$5:$A$504,0))))</f>
        <v/>
      </c>
      <c r="J135" s="0" t="str">
        <f aca="false">IF(A135="","",IF(OR(NOT(ISNUMBER(G135)),NOT(ISNUMBER(I135))),"BELUM LENGKAP",ROUND(G135*I135,0)))</f>
        <v/>
      </c>
      <c r="M135" s="24" t="str">
        <f aca="false">IF(A135="","",COUNTIF($A$5:A135,A135))</f>
        <v/>
      </c>
      <c r="N135" s="24" t="str">
        <f aca="false">IF(A135="","",A135&amp;"|"&amp;M135)</f>
        <v/>
      </c>
    </row>
    <row r="136" customFormat="false" ht="15" hidden="false" customHeight="false" outlineLevel="0" collapsed="false">
      <c r="F136" s="0" t="str">
        <f aca="false">IF(E136="","",IF(COUNTIFS('MASTER BAHAN'!$A$5:$A$504,E136)=0,"BELUM ADA",INDEX('MASTER BAHAN'!$B$5:$B$504,MATCH(E136,'MASTER BAHAN'!$A$5:$A$504,0))))</f>
        <v/>
      </c>
      <c r="H136" s="0" t="str">
        <f aca="false">IF(E136="","",IF(COUNTIFS('MASTER BAHAN'!$A$5:$A$504,E136)=0,"BELUM ADA",INDEX('MASTER BAHAN'!$D$5:$D$504,MATCH(E136,'MASTER BAHAN'!$A$5:$A$504,0))))</f>
        <v/>
      </c>
      <c r="J136" s="0" t="str">
        <f aca="false">IF(A136="","",IF(OR(NOT(ISNUMBER(G136)),NOT(ISNUMBER(I136))),"BELUM LENGKAP",ROUND(G136*I136,0)))</f>
        <v/>
      </c>
      <c r="M136" s="24" t="str">
        <f aca="false">IF(A136="","",COUNTIF($A$5:A136,A136))</f>
        <v/>
      </c>
      <c r="N136" s="24" t="str">
        <f aca="false">IF(A136="","",A136&amp;"|"&amp;M136)</f>
        <v/>
      </c>
    </row>
    <row r="137" customFormat="false" ht="15" hidden="false" customHeight="false" outlineLevel="0" collapsed="false">
      <c r="F137" s="0" t="str">
        <f aca="false">IF(E137="","",IF(COUNTIFS('MASTER BAHAN'!$A$5:$A$504,E137)=0,"BELUM ADA",INDEX('MASTER BAHAN'!$B$5:$B$504,MATCH(E137,'MASTER BAHAN'!$A$5:$A$504,0))))</f>
        <v/>
      </c>
      <c r="H137" s="0" t="str">
        <f aca="false">IF(E137="","",IF(COUNTIFS('MASTER BAHAN'!$A$5:$A$504,E137)=0,"BELUM ADA",INDEX('MASTER BAHAN'!$D$5:$D$504,MATCH(E137,'MASTER BAHAN'!$A$5:$A$504,0))))</f>
        <v/>
      </c>
      <c r="J137" s="0" t="str">
        <f aca="false">IF(A137="","",IF(OR(NOT(ISNUMBER(G137)),NOT(ISNUMBER(I137))),"BELUM LENGKAP",ROUND(G137*I137,0)))</f>
        <v/>
      </c>
      <c r="M137" s="24" t="str">
        <f aca="false">IF(A137="","",COUNTIF($A$5:A137,A137))</f>
        <v/>
      </c>
      <c r="N137" s="24" t="str">
        <f aca="false">IF(A137="","",A137&amp;"|"&amp;M137)</f>
        <v/>
      </c>
    </row>
    <row r="138" customFormat="false" ht="15" hidden="false" customHeight="false" outlineLevel="0" collapsed="false">
      <c r="F138" s="0" t="str">
        <f aca="false">IF(E138="","",IF(COUNTIFS('MASTER BAHAN'!$A$5:$A$504,E138)=0,"BELUM ADA",INDEX('MASTER BAHAN'!$B$5:$B$504,MATCH(E138,'MASTER BAHAN'!$A$5:$A$504,0))))</f>
        <v/>
      </c>
      <c r="H138" s="0" t="str">
        <f aca="false">IF(E138="","",IF(COUNTIFS('MASTER BAHAN'!$A$5:$A$504,E138)=0,"BELUM ADA",INDEX('MASTER BAHAN'!$D$5:$D$504,MATCH(E138,'MASTER BAHAN'!$A$5:$A$504,0))))</f>
        <v/>
      </c>
      <c r="J138" s="0" t="str">
        <f aca="false">IF(A138="","",IF(OR(NOT(ISNUMBER(G138)),NOT(ISNUMBER(I138))),"BELUM LENGKAP",ROUND(G138*I138,0)))</f>
        <v/>
      </c>
      <c r="M138" s="24" t="str">
        <f aca="false">IF(A138="","",COUNTIF($A$5:A138,A138))</f>
        <v/>
      </c>
      <c r="N138" s="24" t="str">
        <f aca="false">IF(A138="","",A138&amp;"|"&amp;M138)</f>
        <v/>
      </c>
    </row>
    <row r="139" customFormat="false" ht="15" hidden="false" customHeight="false" outlineLevel="0" collapsed="false">
      <c r="F139" s="0" t="str">
        <f aca="false">IF(E139="","",IF(COUNTIFS('MASTER BAHAN'!$A$5:$A$504,E139)=0,"BELUM ADA",INDEX('MASTER BAHAN'!$B$5:$B$504,MATCH(E139,'MASTER BAHAN'!$A$5:$A$504,0))))</f>
        <v/>
      </c>
      <c r="H139" s="0" t="str">
        <f aca="false">IF(E139="","",IF(COUNTIFS('MASTER BAHAN'!$A$5:$A$504,E139)=0,"BELUM ADA",INDEX('MASTER BAHAN'!$D$5:$D$504,MATCH(E139,'MASTER BAHAN'!$A$5:$A$504,0))))</f>
        <v/>
      </c>
      <c r="J139" s="0" t="str">
        <f aca="false">IF(A139="","",IF(OR(NOT(ISNUMBER(G139)),NOT(ISNUMBER(I139))),"BELUM LENGKAP",ROUND(G139*I139,0)))</f>
        <v/>
      </c>
      <c r="M139" s="24" t="str">
        <f aca="false">IF(A139="","",COUNTIF($A$5:A139,A139))</f>
        <v/>
      </c>
      <c r="N139" s="24" t="str">
        <f aca="false">IF(A139="","",A139&amp;"|"&amp;M139)</f>
        <v/>
      </c>
    </row>
    <row r="140" customFormat="false" ht="15" hidden="false" customHeight="false" outlineLevel="0" collapsed="false">
      <c r="F140" s="0" t="str">
        <f aca="false">IF(E140="","",IF(COUNTIFS('MASTER BAHAN'!$A$5:$A$504,E140)=0,"BELUM ADA",INDEX('MASTER BAHAN'!$B$5:$B$504,MATCH(E140,'MASTER BAHAN'!$A$5:$A$504,0))))</f>
        <v/>
      </c>
      <c r="H140" s="0" t="str">
        <f aca="false">IF(E140="","",IF(COUNTIFS('MASTER BAHAN'!$A$5:$A$504,E140)=0,"BELUM ADA",INDEX('MASTER BAHAN'!$D$5:$D$504,MATCH(E140,'MASTER BAHAN'!$A$5:$A$504,0))))</f>
        <v/>
      </c>
      <c r="J140" s="0" t="str">
        <f aca="false">IF(A140="","",IF(OR(NOT(ISNUMBER(G140)),NOT(ISNUMBER(I140))),"BELUM LENGKAP",ROUND(G140*I140,0)))</f>
        <v/>
      </c>
      <c r="M140" s="24" t="str">
        <f aca="false">IF(A140="","",COUNTIF($A$5:A140,A140))</f>
        <v/>
      </c>
      <c r="N140" s="24" t="str">
        <f aca="false">IF(A140="","",A140&amp;"|"&amp;M140)</f>
        <v/>
      </c>
    </row>
    <row r="141" customFormat="false" ht="15" hidden="false" customHeight="false" outlineLevel="0" collapsed="false">
      <c r="F141" s="0" t="str">
        <f aca="false">IF(E141="","",IF(COUNTIFS('MASTER BAHAN'!$A$5:$A$504,E141)=0,"BELUM ADA",INDEX('MASTER BAHAN'!$B$5:$B$504,MATCH(E141,'MASTER BAHAN'!$A$5:$A$504,0))))</f>
        <v/>
      </c>
      <c r="H141" s="0" t="str">
        <f aca="false">IF(E141="","",IF(COUNTIFS('MASTER BAHAN'!$A$5:$A$504,E141)=0,"BELUM ADA",INDEX('MASTER BAHAN'!$D$5:$D$504,MATCH(E141,'MASTER BAHAN'!$A$5:$A$504,0))))</f>
        <v/>
      </c>
      <c r="J141" s="0" t="str">
        <f aca="false">IF(A141="","",IF(OR(NOT(ISNUMBER(G141)),NOT(ISNUMBER(I141))),"BELUM LENGKAP",ROUND(G141*I141,0)))</f>
        <v/>
      </c>
      <c r="M141" s="24" t="str">
        <f aca="false">IF(A141="","",COUNTIF($A$5:A141,A141))</f>
        <v/>
      </c>
      <c r="N141" s="24" t="str">
        <f aca="false">IF(A141="","",A141&amp;"|"&amp;M141)</f>
        <v/>
      </c>
    </row>
    <row r="142" customFormat="false" ht="15" hidden="false" customHeight="false" outlineLevel="0" collapsed="false">
      <c r="F142" s="0" t="str">
        <f aca="false">IF(E142="","",IF(COUNTIFS('MASTER BAHAN'!$A$5:$A$504,E142)=0,"BELUM ADA",INDEX('MASTER BAHAN'!$B$5:$B$504,MATCH(E142,'MASTER BAHAN'!$A$5:$A$504,0))))</f>
        <v/>
      </c>
      <c r="H142" s="0" t="str">
        <f aca="false">IF(E142="","",IF(COUNTIFS('MASTER BAHAN'!$A$5:$A$504,E142)=0,"BELUM ADA",INDEX('MASTER BAHAN'!$D$5:$D$504,MATCH(E142,'MASTER BAHAN'!$A$5:$A$504,0))))</f>
        <v/>
      </c>
      <c r="J142" s="0" t="str">
        <f aca="false">IF(A142="","",IF(OR(NOT(ISNUMBER(G142)),NOT(ISNUMBER(I142))),"BELUM LENGKAP",ROUND(G142*I142,0)))</f>
        <v/>
      </c>
      <c r="M142" s="24" t="str">
        <f aca="false">IF(A142="","",COUNTIF($A$5:A142,A142))</f>
        <v/>
      </c>
      <c r="N142" s="24" t="str">
        <f aca="false">IF(A142="","",A142&amp;"|"&amp;M142)</f>
        <v/>
      </c>
    </row>
    <row r="143" customFormat="false" ht="15" hidden="false" customHeight="false" outlineLevel="0" collapsed="false">
      <c r="F143" s="0" t="str">
        <f aca="false">IF(E143="","",IF(COUNTIFS('MASTER BAHAN'!$A$5:$A$504,E143)=0,"BELUM ADA",INDEX('MASTER BAHAN'!$B$5:$B$504,MATCH(E143,'MASTER BAHAN'!$A$5:$A$504,0))))</f>
        <v/>
      </c>
      <c r="H143" s="0" t="str">
        <f aca="false">IF(E143="","",IF(COUNTIFS('MASTER BAHAN'!$A$5:$A$504,E143)=0,"BELUM ADA",INDEX('MASTER BAHAN'!$D$5:$D$504,MATCH(E143,'MASTER BAHAN'!$A$5:$A$504,0))))</f>
        <v/>
      </c>
      <c r="J143" s="0" t="str">
        <f aca="false">IF(A143="","",IF(OR(NOT(ISNUMBER(G143)),NOT(ISNUMBER(I143))),"BELUM LENGKAP",ROUND(G143*I143,0)))</f>
        <v/>
      </c>
      <c r="M143" s="24" t="str">
        <f aca="false">IF(A143="","",COUNTIF($A$5:A143,A143))</f>
        <v/>
      </c>
      <c r="N143" s="24" t="str">
        <f aca="false">IF(A143="","",A143&amp;"|"&amp;M143)</f>
        <v/>
      </c>
    </row>
    <row r="144" customFormat="false" ht="15" hidden="false" customHeight="false" outlineLevel="0" collapsed="false">
      <c r="F144" s="0" t="str">
        <f aca="false">IF(E144="","",IF(COUNTIFS('MASTER BAHAN'!$A$5:$A$504,E144)=0,"BELUM ADA",INDEX('MASTER BAHAN'!$B$5:$B$504,MATCH(E144,'MASTER BAHAN'!$A$5:$A$504,0))))</f>
        <v/>
      </c>
      <c r="H144" s="0" t="str">
        <f aca="false">IF(E144="","",IF(COUNTIFS('MASTER BAHAN'!$A$5:$A$504,E144)=0,"BELUM ADA",INDEX('MASTER BAHAN'!$D$5:$D$504,MATCH(E144,'MASTER BAHAN'!$A$5:$A$504,0))))</f>
        <v/>
      </c>
      <c r="J144" s="0" t="str">
        <f aca="false">IF(A144="","",IF(OR(NOT(ISNUMBER(G144)),NOT(ISNUMBER(I144))),"BELUM LENGKAP",ROUND(G144*I144,0)))</f>
        <v/>
      </c>
      <c r="M144" s="24" t="str">
        <f aca="false">IF(A144="","",COUNTIF($A$5:A144,A144))</f>
        <v/>
      </c>
      <c r="N144" s="24" t="str">
        <f aca="false">IF(A144="","",A144&amp;"|"&amp;M144)</f>
        <v/>
      </c>
    </row>
    <row r="145" customFormat="false" ht="15" hidden="false" customHeight="false" outlineLevel="0" collapsed="false">
      <c r="F145" s="0" t="str">
        <f aca="false">IF(E145="","",IF(COUNTIFS('MASTER BAHAN'!$A$5:$A$504,E145)=0,"BELUM ADA",INDEX('MASTER BAHAN'!$B$5:$B$504,MATCH(E145,'MASTER BAHAN'!$A$5:$A$504,0))))</f>
        <v/>
      </c>
      <c r="H145" s="0" t="str">
        <f aca="false">IF(E145="","",IF(COUNTIFS('MASTER BAHAN'!$A$5:$A$504,E145)=0,"BELUM ADA",INDEX('MASTER BAHAN'!$D$5:$D$504,MATCH(E145,'MASTER BAHAN'!$A$5:$A$504,0))))</f>
        <v/>
      </c>
      <c r="J145" s="0" t="str">
        <f aca="false">IF(A145="","",IF(OR(NOT(ISNUMBER(G145)),NOT(ISNUMBER(I145))),"BELUM LENGKAP",ROUND(G145*I145,0)))</f>
        <v/>
      </c>
      <c r="M145" s="24" t="str">
        <f aca="false">IF(A145="","",COUNTIF($A$5:A145,A145))</f>
        <v/>
      </c>
      <c r="N145" s="24" t="str">
        <f aca="false">IF(A145="","",A145&amp;"|"&amp;M145)</f>
        <v/>
      </c>
    </row>
    <row r="146" customFormat="false" ht="15" hidden="false" customHeight="false" outlineLevel="0" collapsed="false">
      <c r="F146" s="0" t="str">
        <f aca="false">IF(E146="","",IF(COUNTIFS('MASTER BAHAN'!$A$5:$A$504,E146)=0,"BELUM ADA",INDEX('MASTER BAHAN'!$B$5:$B$504,MATCH(E146,'MASTER BAHAN'!$A$5:$A$504,0))))</f>
        <v/>
      </c>
      <c r="H146" s="0" t="str">
        <f aca="false">IF(E146="","",IF(COUNTIFS('MASTER BAHAN'!$A$5:$A$504,E146)=0,"BELUM ADA",INDEX('MASTER BAHAN'!$D$5:$D$504,MATCH(E146,'MASTER BAHAN'!$A$5:$A$504,0))))</f>
        <v/>
      </c>
      <c r="J146" s="0" t="str">
        <f aca="false">IF(A146="","",IF(OR(NOT(ISNUMBER(G146)),NOT(ISNUMBER(I146))),"BELUM LENGKAP",ROUND(G146*I146,0)))</f>
        <v/>
      </c>
      <c r="M146" s="24" t="str">
        <f aca="false">IF(A146="","",COUNTIF($A$5:A146,A146))</f>
        <v/>
      </c>
      <c r="N146" s="24" t="str">
        <f aca="false">IF(A146="","",A146&amp;"|"&amp;M146)</f>
        <v/>
      </c>
    </row>
    <row r="147" customFormat="false" ht="15" hidden="false" customHeight="false" outlineLevel="0" collapsed="false">
      <c r="F147" s="0" t="str">
        <f aca="false">IF(E147="","",IF(COUNTIFS('MASTER BAHAN'!$A$5:$A$504,E147)=0,"BELUM ADA",INDEX('MASTER BAHAN'!$B$5:$B$504,MATCH(E147,'MASTER BAHAN'!$A$5:$A$504,0))))</f>
        <v/>
      </c>
      <c r="H147" s="0" t="str">
        <f aca="false">IF(E147="","",IF(COUNTIFS('MASTER BAHAN'!$A$5:$A$504,E147)=0,"BELUM ADA",INDEX('MASTER BAHAN'!$D$5:$D$504,MATCH(E147,'MASTER BAHAN'!$A$5:$A$504,0))))</f>
        <v/>
      </c>
      <c r="J147" s="0" t="str">
        <f aca="false">IF(A147="","",IF(OR(NOT(ISNUMBER(G147)),NOT(ISNUMBER(I147))),"BELUM LENGKAP",ROUND(G147*I147,0)))</f>
        <v/>
      </c>
      <c r="M147" s="24" t="str">
        <f aca="false">IF(A147="","",COUNTIF($A$5:A147,A147))</f>
        <v/>
      </c>
      <c r="N147" s="24" t="str">
        <f aca="false">IF(A147="","",A147&amp;"|"&amp;M147)</f>
        <v/>
      </c>
    </row>
    <row r="148" customFormat="false" ht="15" hidden="false" customHeight="false" outlineLevel="0" collapsed="false">
      <c r="F148" s="0" t="str">
        <f aca="false">IF(E148="","",IF(COUNTIFS('MASTER BAHAN'!$A$5:$A$504,E148)=0,"BELUM ADA",INDEX('MASTER BAHAN'!$B$5:$B$504,MATCH(E148,'MASTER BAHAN'!$A$5:$A$504,0))))</f>
        <v/>
      </c>
      <c r="H148" s="0" t="str">
        <f aca="false">IF(E148="","",IF(COUNTIFS('MASTER BAHAN'!$A$5:$A$504,E148)=0,"BELUM ADA",INDEX('MASTER BAHAN'!$D$5:$D$504,MATCH(E148,'MASTER BAHAN'!$A$5:$A$504,0))))</f>
        <v/>
      </c>
      <c r="J148" s="0" t="str">
        <f aca="false">IF(A148="","",IF(OR(NOT(ISNUMBER(G148)),NOT(ISNUMBER(I148))),"BELUM LENGKAP",ROUND(G148*I148,0)))</f>
        <v/>
      </c>
      <c r="M148" s="24" t="str">
        <f aca="false">IF(A148="","",COUNTIF($A$5:A148,A148))</f>
        <v/>
      </c>
      <c r="N148" s="24" t="str">
        <f aca="false">IF(A148="","",A148&amp;"|"&amp;M148)</f>
        <v/>
      </c>
    </row>
    <row r="149" customFormat="false" ht="15" hidden="false" customHeight="false" outlineLevel="0" collapsed="false">
      <c r="F149" s="0" t="str">
        <f aca="false">IF(E149="","",IF(COUNTIFS('MASTER BAHAN'!$A$5:$A$504,E149)=0,"BELUM ADA",INDEX('MASTER BAHAN'!$B$5:$B$504,MATCH(E149,'MASTER BAHAN'!$A$5:$A$504,0))))</f>
        <v/>
      </c>
      <c r="H149" s="0" t="str">
        <f aca="false">IF(E149="","",IF(COUNTIFS('MASTER BAHAN'!$A$5:$A$504,E149)=0,"BELUM ADA",INDEX('MASTER BAHAN'!$D$5:$D$504,MATCH(E149,'MASTER BAHAN'!$A$5:$A$504,0))))</f>
        <v/>
      </c>
      <c r="J149" s="0" t="str">
        <f aca="false">IF(A149="","",IF(OR(NOT(ISNUMBER(G149)),NOT(ISNUMBER(I149))),"BELUM LENGKAP",ROUND(G149*I149,0)))</f>
        <v/>
      </c>
      <c r="M149" s="24" t="str">
        <f aca="false">IF(A149="","",COUNTIF($A$5:A149,A149))</f>
        <v/>
      </c>
      <c r="N149" s="24" t="str">
        <f aca="false">IF(A149="","",A149&amp;"|"&amp;M149)</f>
        <v/>
      </c>
    </row>
    <row r="150" customFormat="false" ht="15" hidden="false" customHeight="false" outlineLevel="0" collapsed="false">
      <c r="F150" s="0" t="str">
        <f aca="false">IF(E150="","",IF(COUNTIFS('MASTER BAHAN'!$A$5:$A$504,E150)=0,"BELUM ADA",INDEX('MASTER BAHAN'!$B$5:$B$504,MATCH(E150,'MASTER BAHAN'!$A$5:$A$504,0))))</f>
        <v/>
      </c>
      <c r="H150" s="0" t="str">
        <f aca="false">IF(E150="","",IF(COUNTIFS('MASTER BAHAN'!$A$5:$A$504,E150)=0,"BELUM ADA",INDEX('MASTER BAHAN'!$D$5:$D$504,MATCH(E150,'MASTER BAHAN'!$A$5:$A$504,0))))</f>
        <v/>
      </c>
      <c r="J150" s="0" t="str">
        <f aca="false">IF(A150="","",IF(OR(NOT(ISNUMBER(G150)),NOT(ISNUMBER(I150))),"BELUM LENGKAP",ROUND(G150*I150,0)))</f>
        <v/>
      </c>
      <c r="M150" s="24" t="str">
        <f aca="false">IF(A150="","",COUNTIF($A$5:A150,A150))</f>
        <v/>
      </c>
      <c r="N150" s="24" t="str">
        <f aca="false">IF(A150="","",A150&amp;"|"&amp;M150)</f>
        <v/>
      </c>
    </row>
    <row r="151" customFormat="false" ht="15" hidden="false" customHeight="false" outlineLevel="0" collapsed="false">
      <c r="F151" s="0" t="str">
        <f aca="false">IF(E151="","",IF(COUNTIFS('MASTER BAHAN'!$A$5:$A$504,E151)=0,"BELUM ADA",INDEX('MASTER BAHAN'!$B$5:$B$504,MATCH(E151,'MASTER BAHAN'!$A$5:$A$504,0))))</f>
        <v/>
      </c>
      <c r="H151" s="0" t="str">
        <f aca="false">IF(E151="","",IF(COUNTIFS('MASTER BAHAN'!$A$5:$A$504,E151)=0,"BELUM ADA",INDEX('MASTER BAHAN'!$D$5:$D$504,MATCH(E151,'MASTER BAHAN'!$A$5:$A$504,0))))</f>
        <v/>
      </c>
      <c r="J151" s="0" t="str">
        <f aca="false">IF(A151="","",IF(OR(NOT(ISNUMBER(G151)),NOT(ISNUMBER(I151))),"BELUM LENGKAP",ROUND(G151*I151,0)))</f>
        <v/>
      </c>
      <c r="M151" s="24" t="str">
        <f aca="false">IF(A151="","",COUNTIF($A$5:A151,A151))</f>
        <v/>
      </c>
      <c r="N151" s="24" t="str">
        <f aca="false">IF(A151="","",A151&amp;"|"&amp;M151)</f>
        <v/>
      </c>
    </row>
    <row r="152" customFormat="false" ht="15" hidden="false" customHeight="false" outlineLevel="0" collapsed="false">
      <c r="F152" s="0" t="str">
        <f aca="false">IF(E152="","",IF(COUNTIFS('MASTER BAHAN'!$A$5:$A$504,E152)=0,"BELUM ADA",INDEX('MASTER BAHAN'!$B$5:$B$504,MATCH(E152,'MASTER BAHAN'!$A$5:$A$504,0))))</f>
        <v/>
      </c>
      <c r="H152" s="0" t="str">
        <f aca="false">IF(E152="","",IF(COUNTIFS('MASTER BAHAN'!$A$5:$A$504,E152)=0,"BELUM ADA",INDEX('MASTER BAHAN'!$D$5:$D$504,MATCH(E152,'MASTER BAHAN'!$A$5:$A$504,0))))</f>
        <v/>
      </c>
      <c r="J152" s="0" t="str">
        <f aca="false">IF(A152="","",IF(OR(NOT(ISNUMBER(G152)),NOT(ISNUMBER(I152))),"BELUM LENGKAP",ROUND(G152*I152,0)))</f>
        <v/>
      </c>
      <c r="M152" s="24" t="str">
        <f aca="false">IF(A152="","",COUNTIF($A$5:A152,A152))</f>
        <v/>
      </c>
      <c r="N152" s="24" t="str">
        <f aca="false">IF(A152="","",A152&amp;"|"&amp;M152)</f>
        <v/>
      </c>
    </row>
    <row r="153" customFormat="false" ht="15" hidden="false" customHeight="false" outlineLevel="0" collapsed="false">
      <c r="F153" s="0" t="str">
        <f aca="false">IF(E153="","",IF(COUNTIFS('MASTER BAHAN'!$A$5:$A$504,E153)=0,"BELUM ADA",INDEX('MASTER BAHAN'!$B$5:$B$504,MATCH(E153,'MASTER BAHAN'!$A$5:$A$504,0))))</f>
        <v/>
      </c>
      <c r="H153" s="0" t="str">
        <f aca="false">IF(E153="","",IF(COUNTIFS('MASTER BAHAN'!$A$5:$A$504,E153)=0,"BELUM ADA",INDEX('MASTER BAHAN'!$D$5:$D$504,MATCH(E153,'MASTER BAHAN'!$A$5:$A$504,0))))</f>
        <v/>
      </c>
      <c r="J153" s="0" t="str">
        <f aca="false">IF(A153="","",IF(OR(NOT(ISNUMBER(G153)),NOT(ISNUMBER(I153))),"BELUM LENGKAP",ROUND(G153*I153,0)))</f>
        <v/>
      </c>
      <c r="M153" s="24" t="str">
        <f aca="false">IF(A153="","",COUNTIF($A$5:A153,A153))</f>
        <v/>
      </c>
      <c r="N153" s="24" t="str">
        <f aca="false">IF(A153="","",A153&amp;"|"&amp;M153)</f>
        <v/>
      </c>
    </row>
    <row r="154" customFormat="false" ht="15" hidden="false" customHeight="false" outlineLevel="0" collapsed="false">
      <c r="F154" s="0" t="str">
        <f aca="false">IF(E154="","",IF(COUNTIFS('MASTER BAHAN'!$A$5:$A$504,E154)=0,"BELUM ADA",INDEX('MASTER BAHAN'!$B$5:$B$504,MATCH(E154,'MASTER BAHAN'!$A$5:$A$504,0))))</f>
        <v/>
      </c>
      <c r="H154" s="0" t="str">
        <f aca="false">IF(E154="","",IF(COUNTIFS('MASTER BAHAN'!$A$5:$A$504,E154)=0,"BELUM ADA",INDEX('MASTER BAHAN'!$D$5:$D$504,MATCH(E154,'MASTER BAHAN'!$A$5:$A$504,0))))</f>
        <v/>
      </c>
      <c r="J154" s="0" t="str">
        <f aca="false">IF(A154="","",IF(OR(NOT(ISNUMBER(G154)),NOT(ISNUMBER(I154))),"BELUM LENGKAP",ROUND(G154*I154,0)))</f>
        <v/>
      </c>
      <c r="M154" s="24" t="str">
        <f aca="false">IF(A154="","",COUNTIF($A$5:A154,A154))</f>
        <v/>
      </c>
      <c r="N154" s="24" t="str">
        <f aca="false">IF(A154="","",A154&amp;"|"&amp;M154)</f>
        <v/>
      </c>
    </row>
    <row r="155" customFormat="false" ht="15" hidden="false" customHeight="false" outlineLevel="0" collapsed="false">
      <c r="F155" s="0" t="str">
        <f aca="false">IF(E155="","",IF(COUNTIFS('MASTER BAHAN'!$A$5:$A$504,E155)=0,"BELUM ADA",INDEX('MASTER BAHAN'!$B$5:$B$504,MATCH(E155,'MASTER BAHAN'!$A$5:$A$504,0))))</f>
        <v/>
      </c>
      <c r="H155" s="0" t="str">
        <f aca="false">IF(E155="","",IF(COUNTIFS('MASTER BAHAN'!$A$5:$A$504,E155)=0,"BELUM ADA",INDEX('MASTER BAHAN'!$D$5:$D$504,MATCH(E155,'MASTER BAHAN'!$A$5:$A$504,0))))</f>
        <v/>
      </c>
      <c r="J155" s="0" t="str">
        <f aca="false">IF(A155="","",IF(OR(NOT(ISNUMBER(G155)),NOT(ISNUMBER(I155))),"BELUM LENGKAP",ROUND(G155*I155,0)))</f>
        <v/>
      </c>
      <c r="M155" s="24" t="str">
        <f aca="false">IF(A155="","",COUNTIF($A$5:A155,A155))</f>
        <v/>
      </c>
      <c r="N155" s="24" t="str">
        <f aca="false">IF(A155="","",A155&amp;"|"&amp;M155)</f>
        <v/>
      </c>
    </row>
    <row r="156" customFormat="false" ht="15" hidden="false" customHeight="false" outlineLevel="0" collapsed="false">
      <c r="F156" s="0" t="str">
        <f aca="false">IF(E156="","",IF(COUNTIFS('MASTER BAHAN'!$A$5:$A$504,E156)=0,"BELUM ADA",INDEX('MASTER BAHAN'!$B$5:$B$504,MATCH(E156,'MASTER BAHAN'!$A$5:$A$504,0))))</f>
        <v/>
      </c>
      <c r="H156" s="0" t="str">
        <f aca="false">IF(E156="","",IF(COUNTIFS('MASTER BAHAN'!$A$5:$A$504,E156)=0,"BELUM ADA",INDEX('MASTER BAHAN'!$D$5:$D$504,MATCH(E156,'MASTER BAHAN'!$A$5:$A$504,0))))</f>
        <v/>
      </c>
      <c r="J156" s="0" t="str">
        <f aca="false">IF(A156="","",IF(OR(NOT(ISNUMBER(G156)),NOT(ISNUMBER(I156))),"BELUM LENGKAP",ROUND(G156*I156,0)))</f>
        <v/>
      </c>
      <c r="M156" s="24" t="str">
        <f aca="false">IF(A156="","",COUNTIF($A$5:A156,A156))</f>
        <v/>
      </c>
      <c r="N156" s="24" t="str">
        <f aca="false">IF(A156="","",A156&amp;"|"&amp;M156)</f>
        <v/>
      </c>
    </row>
    <row r="157" customFormat="false" ht="15" hidden="false" customHeight="false" outlineLevel="0" collapsed="false">
      <c r="F157" s="0" t="str">
        <f aca="false">IF(E157="","",IF(COUNTIFS('MASTER BAHAN'!$A$5:$A$504,E157)=0,"BELUM ADA",INDEX('MASTER BAHAN'!$B$5:$B$504,MATCH(E157,'MASTER BAHAN'!$A$5:$A$504,0))))</f>
        <v/>
      </c>
      <c r="H157" s="0" t="str">
        <f aca="false">IF(E157="","",IF(COUNTIFS('MASTER BAHAN'!$A$5:$A$504,E157)=0,"BELUM ADA",INDEX('MASTER BAHAN'!$D$5:$D$504,MATCH(E157,'MASTER BAHAN'!$A$5:$A$504,0))))</f>
        <v/>
      </c>
      <c r="J157" s="0" t="str">
        <f aca="false">IF(A157="","",IF(OR(NOT(ISNUMBER(G157)),NOT(ISNUMBER(I157))),"BELUM LENGKAP",ROUND(G157*I157,0)))</f>
        <v/>
      </c>
      <c r="M157" s="24" t="str">
        <f aca="false">IF(A157="","",COUNTIF($A$5:A157,A157))</f>
        <v/>
      </c>
      <c r="N157" s="24" t="str">
        <f aca="false">IF(A157="","",A157&amp;"|"&amp;M157)</f>
        <v/>
      </c>
    </row>
    <row r="158" customFormat="false" ht="15" hidden="false" customHeight="false" outlineLevel="0" collapsed="false">
      <c r="F158" s="0" t="str">
        <f aca="false">IF(E158="","",IF(COUNTIFS('MASTER BAHAN'!$A$5:$A$504,E158)=0,"BELUM ADA",INDEX('MASTER BAHAN'!$B$5:$B$504,MATCH(E158,'MASTER BAHAN'!$A$5:$A$504,0))))</f>
        <v/>
      </c>
      <c r="H158" s="0" t="str">
        <f aca="false">IF(E158="","",IF(COUNTIFS('MASTER BAHAN'!$A$5:$A$504,E158)=0,"BELUM ADA",INDEX('MASTER BAHAN'!$D$5:$D$504,MATCH(E158,'MASTER BAHAN'!$A$5:$A$504,0))))</f>
        <v/>
      </c>
      <c r="J158" s="0" t="str">
        <f aca="false">IF(A158="","",IF(OR(NOT(ISNUMBER(G158)),NOT(ISNUMBER(I158))),"BELUM LENGKAP",ROUND(G158*I158,0)))</f>
        <v/>
      </c>
      <c r="M158" s="24" t="str">
        <f aca="false">IF(A158="","",COUNTIF($A$5:A158,A158))</f>
        <v/>
      </c>
      <c r="N158" s="24" t="str">
        <f aca="false">IF(A158="","",A158&amp;"|"&amp;M158)</f>
        <v/>
      </c>
    </row>
    <row r="159" customFormat="false" ht="15" hidden="false" customHeight="false" outlineLevel="0" collapsed="false">
      <c r="F159" s="0" t="str">
        <f aca="false">IF(E159="","",IF(COUNTIFS('MASTER BAHAN'!$A$5:$A$504,E159)=0,"BELUM ADA",INDEX('MASTER BAHAN'!$B$5:$B$504,MATCH(E159,'MASTER BAHAN'!$A$5:$A$504,0))))</f>
        <v/>
      </c>
      <c r="H159" s="0" t="str">
        <f aca="false">IF(E159="","",IF(COUNTIFS('MASTER BAHAN'!$A$5:$A$504,E159)=0,"BELUM ADA",INDEX('MASTER BAHAN'!$D$5:$D$504,MATCH(E159,'MASTER BAHAN'!$A$5:$A$504,0))))</f>
        <v/>
      </c>
      <c r="J159" s="0" t="str">
        <f aca="false">IF(A159="","",IF(OR(NOT(ISNUMBER(G159)),NOT(ISNUMBER(I159))),"BELUM LENGKAP",ROUND(G159*I159,0)))</f>
        <v/>
      </c>
      <c r="M159" s="24" t="str">
        <f aca="false">IF(A159="","",COUNTIF($A$5:A159,A159))</f>
        <v/>
      </c>
      <c r="N159" s="24" t="str">
        <f aca="false">IF(A159="","",A159&amp;"|"&amp;M159)</f>
        <v/>
      </c>
    </row>
    <row r="160" customFormat="false" ht="15" hidden="false" customHeight="false" outlineLevel="0" collapsed="false">
      <c r="F160" s="0" t="str">
        <f aca="false">IF(E160="","",IF(COUNTIFS('MASTER BAHAN'!$A$5:$A$504,E160)=0,"BELUM ADA",INDEX('MASTER BAHAN'!$B$5:$B$504,MATCH(E160,'MASTER BAHAN'!$A$5:$A$504,0))))</f>
        <v/>
      </c>
      <c r="H160" s="0" t="str">
        <f aca="false">IF(E160="","",IF(COUNTIFS('MASTER BAHAN'!$A$5:$A$504,E160)=0,"BELUM ADA",INDEX('MASTER BAHAN'!$D$5:$D$504,MATCH(E160,'MASTER BAHAN'!$A$5:$A$504,0))))</f>
        <v/>
      </c>
      <c r="J160" s="0" t="str">
        <f aca="false">IF(A160="","",IF(OR(NOT(ISNUMBER(G160)),NOT(ISNUMBER(I160))),"BELUM LENGKAP",ROUND(G160*I160,0)))</f>
        <v/>
      </c>
      <c r="M160" s="24" t="str">
        <f aca="false">IF(A160="","",COUNTIF($A$5:A160,A160))</f>
        <v/>
      </c>
      <c r="N160" s="24" t="str">
        <f aca="false">IF(A160="","",A160&amp;"|"&amp;M160)</f>
        <v/>
      </c>
    </row>
    <row r="161" customFormat="false" ht="15" hidden="false" customHeight="false" outlineLevel="0" collapsed="false">
      <c r="F161" s="0" t="str">
        <f aca="false">IF(E161="","",IF(COUNTIFS('MASTER BAHAN'!$A$5:$A$504,E161)=0,"BELUM ADA",INDEX('MASTER BAHAN'!$B$5:$B$504,MATCH(E161,'MASTER BAHAN'!$A$5:$A$504,0))))</f>
        <v/>
      </c>
      <c r="H161" s="0" t="str">
        <f aca="false">IF(E161="","",IF(COUNTIFS('MASTER BAHAN'!$A$5:$A$504,E161)=0,"BELUM ADA",INDEX('MASTER BAHAN'!$D$5:$D$504,MATCH(E161,'MASTER BAHAN'!$A$5:$A$504,0))))</f>
        <v/>
      </c>
      <c r="J161" s="0" t="str">
        <f aca="false">IF(A161="","",IF(OR(NOT(ISNUMBER(G161)),NOT(ISNUMBER(I161))),"BELUM LENGKAP",ROUND(G161*I161,0)))</f>
        <v/>
      </c>
      <c r="M161" s="24" t="str">
        <f aca="false">IF(A161="","",COUNTIF($A$5:A161,A161))</f>
        <v/>
      </c>
      <c r="N161" s="24" t="str">
        <f aca="false">IF(A161="","",A161&amp;"|"&amp;M161)</f>
        <v/>
      </c>
    </row>
    <row r="162" customFormat="false" ht="15" hidden="false" customHeight="false" outlineLevel="0" collapsed="false">
      <c r="F162" s="0" t="str">
        <f aca="false">IF(E162="","",IF(COUNTIFS('MASTER BAHAN'!$A$5:$A$504,E162)=0,"BELUM ADA",INDEX('MASTER BAHAN'!$B$5:$B$504,MATCH(E162,'MASTER BAHAN'!$A$5:$A$504,0))))</f>
        <v/>
      </c>
      <c r="H162" s="0" t="str">
        <f aca="false">IF(E162="","",IF(COUNTIFS('MASTER BAHAN'!$A$5:$A$504,E162)=0,"BELUM ADA",INDEX('MASTER BAHAN'!$D$5:$D$504,MATCH(E162,'MASTER BAHAN'!$A$5:$A$504,0))))</f>
        <v/>
      </c>
      <c r="J162" s="0" t="str">
        <f aca="false">IF(A162="","",IF(OR(NOT(ISNUMBER(G162)),NOT(ISNUMBER(I162))),"BELUM LENGKAP",ROUND(G162*I162,0)))</f>
        <v/>
      </c>
      <c r="M162" s="24" t="str">
        <f aca="false">IF(A162="","",COUNTIF($A$5:A162,A162))</f>
        <v/>
      </c>
      <c r="N162" s="24" t="str">
        <f aca="false">IF(A162="","",A162&amp;"|"&amp;M162)</f>
        <v/>
      </c>
    </row>
    <row r="163" customFormat="false" ht="15" hidden="false" customHeight="false" outlineLevel="0" collapsed="false">
      <c r="F163" s="0" t="str">
        <f aca="false">IF(E163="","",IF(COUNTIFS('MASTER BAHAN'!$A$5:$A$504,E163)=0,"BELUM ADA",INDEX('MASTER BAHAN'!$B$5:$B$504,MATCH(E163,'MASTER BAHAN'!$A$5:$A$504,0))))</f>
        <v/>
      </c>
      <c r="H163" s="0" t="str">
        <f aca="false">IF(E163="","",IF(COUNTIFS('MASTER BAHAN'!$A$5:$A$504,E163)=0,"BELUM ADA",INDEX('MASTER BAHAN'!$D$5:$D$504,MATCH(E163,'MASTER BAHAN'!$A$5:$A$504,0))))</f>
        <v/>
      </c>
      <c r="J163" s="0" t="str">
        <f aca="false">IF(A163="","",IF(OR(NOT(ISNUMBER(G163)),NOT(ISNUMBER(I163))),"BELUM LENGKAP",ROUND(G163*I163,0)))</f>
        <v/>
      </c>
      <c r="M163" s="24" t="str">
        <f aca="false">IF(A163="","",COUNTIF($A$5:A163,A163))</f>
        <v/>
      </c>
      <c r="N163" s="24" t="str">
        <f aca="false">IF(A163="","",A163&amp;"|"&amp;M163)</f>
        <v/>
      </c>
    </row>
    <row r="164" customFormat="false" ht="15" hidden="false" customHeight="false" outlineLevel="0" collapsed="false">
      <c r="F164" s="0" t="str">
        <f aca="false">IF(E164="","",IF(COUNTIFS('MASTER BAHAN'!$A$5:$A$504,E164)=0,"BELUM ADA",INDEX('MASTER BAHAN'!$B$5:$B$504,MATCH(E164,'MASTER BAHAN'!$A$5:$A$504,0))))</f>
        <v/>
      </c>
      <c r="H164" s="0" t="str">
        <f aca="false">IF(E164="","",IF(COUNTIFS('MASTER BAHAN'!$A$5:$A$504,E164)=0,"BELUM ADA",INDEX('MASTER BAHAN'!$D$5:$D$504,MATCH(E164,'MASTER BAHAN'!$A$5:$A$504,0))))</f>
        <v/>
      </c>
      <c r="J164" s="0" t="str">
        <f aca="false">IF(A164="","",IF(OR(NOT(ISNUMBER(G164)),NOT(ISNUMBER(I164))),"BELUM LENGKAP",ROUND(G164*I164,0)))</f>
        <v/>
      </c>
      <c r="M164" s="24" t="str">
        <f aca="false">IF(A164="","",COUNTIF($A$5:A164,A164))</f>
        <v/>
      </c>
      <c r="N164" s="24" t="str">
        <f aca="false">IF(A164="","",A164&amp;"|"&amp;M164)</f>
        <v/>
      </c>
    </row>
    <row r="165" customFormat="false" ht="15" hidden="false" customHeight="false" outlineLevel="0" collapsed="false">
      <c r="F165" s="0" t="str">
        <f aca="false">IF(E165="","",IF(COUNTIFS('MASTER BAHAN'!$A$5:$A$504,E165)=0,"BELUM ADA",INDEX('MASTER BAHAN'!$B$5:$B$504,MATCH(E165,'MASTER BAHAN'!$A$5:$A$504,0))))</f>
        <v/>
      </c>
      <c r="H165" s="0" t="str">
        <f aca="false">IF(E165="","",IF(COUNTIFS('MASTER BAHAN'!$A$5:$A$504,E165)=0,"BELUM ADA",INDEX('MASTER BAHAN'!$D$5:$D$504,MATCH(E165,'MASTER BAHAN'!$A$5:$A$504,0))))</f>
        <v/>
      </c>
      <c r="J165" s="0" t="str">
        <f aca="false">IF(A165="","",IF(OR(NOT(ISNUMBER(G165)),NOT(ISNUMBER(I165))),"BELUM LENGKAP",ROUND(G165*I165,0)))</f>
        <v/>
      </c>
      <c r="M165" s="24" t="str">
        <f aca="false">IF(A165="","",COUNTIF($A$5:A165,A165))</f>
        <v/>
      </c>
      <c r="N165" s="24" t="str">
        <f aca="false">IF(A165="","",A165&amp;"|"&amp;M165)</f>
        <v/>
      </c>
    </row>
    <row r="166" customFormat="false" ht="15" hidden="false" customHeight="false" outlineLevel="0" collapsed="false">
      <c r="F166" s="0" t="str">
        <f aca="false">IF(E166="","",IF(COUNTIFS('MASTER BAHAN'!$A$5:$A$504,E166)=0,"BELUM ADA",INDEX('MASTER BAHAN'!$B$5:$B$504,MATCH(E166,'MASTER BAHAN'!$A$5:$A$504,0))))</f>
        <v/>
      </c>
      <c r="H166" s="0" t="str">
        <f aca="false">IF(E166="","",IF(COUNTIFS('MASTER BAHAN'!$A$5:$A$504,E166)=0,"BELUM ADA",INDEX('MASTER BAHAN'!$D$5:$D$504,MATCH(E166,'MASTER BAHAN'!$A$5:$A$504,0))))</f>
        <v/>
      </c>
      <c r="J166" s="0" t="str">
        <f aca="false">IF(A166="","",IF(OR(NOT(ISNUMBER(G166)),NOT(ISNUMBER(I166))),"BELUM LENGKAP",ROUND(G166*I166,0)))</f>
        <v/>
      </c>
      <c r="M166" s="24" t="str">
        <f aca="false">IF(A166="","",COUNTIF($A$5:A166,A166))</f>
        <v/>
      </c>
      <c r="N166" s="24" t="str">
        <f aca="false">IF(A166="","",A166&amp;"|"&amp;M166)</f>
        <v/>
      </c>
    </row>
    <row r="167" customFormat="false" ht="15" hidden="false" customHeight="false" outlineLevel="0" collapsed="false">
      <c r="F167" s="0" t="str">
        <f aca="false">IF(E167="","",IF(COUNTIFS('MASTER BAHAN'!$A$5:$A$504,E167)=0,"BELUM ADA",INDEX('MASTER BAHAN'!$B$5:$B$504,MATCH(E167,'MASTER BAHAN'!$A$5:$A$504,0))))</f>
        <v/>
      </c>
      <c r="H167" s="0" t="str">
        <f aca="false">IF(E167="","",IF(COUNTIFS('MASTER BAHAN'!$A$5:$A$504,E167)=0,"BELUM ADA",INDEX('MASTER BAHAN'!$D$5:$D$504,MATCH(E167,'MASTER BAHAN'!$A$5:$A$504,0))))</f>
        <v/>
      </c>
      <c r="J167" s="0" t="str">
        <f aca="false">IF(A167="","",IF(OR(NOT(ISNUMBER(G167)),NOT(ISNUMBER(I167))),"BELUM LENGKAP",ROUND(G167*I167,0)))</f>
        <v/>
      </c>
      <c r="M167" s="24" t="str">
        <f aca="false">IF(A167="","",COUNTIF($A$5:A167,A167))</f>
        <v/>
      </c>
      <c r="N167" s="24" t="str">
        <f aca="false">IF(A167="","",A167&amp;"|"&amp;M167)</f>
        <v/>
      </c>
    </row>
    <row r="168" customFormat="false" ht="15" hidden="false" customHeight="false" outlineLevel="0" collapsed="false">
      <c r="F168" s="0" t="str">
        <f aca="false">IF(E168="","",IF(COUNTIFS('MASTER BAHAN'!$A$5:$A$504,E168)=0,"BELUM ADA",INDEX('MASTER BAHAN'!$B$5:$B$504,MATCH(E168,'MASTER BAHAN'!$A$5:$A$504,0))))</f>
        <v/>
      </c>
      <c r="H168" s="0" t="str">
        <f aca="false">IF(E168="","",IF(COUNTIFS('MASTER BAHAN'!$A$5:$A$504,E168)=0,"BELUM ADA",INDEX('MASTER BAHAN'!$D$5:$D$504,MATCH(E168,'MASTER BAHAN'!$A$5:$A$504,0))))</f>
        <v/>
      </c>
      <c r="J168" s="0" t="str">
        <f aca="false">IF(A168="","",IF(OR(NOT(ISNUMBER(G168)),NOT(ISNUMBER(I168))),"BELUM LENGKAP",ROUND(G168*I168,0)))</f>
        <v/>
      </c>
      <c r="M168" s="24" t="str">
        <f aca="false">IF(A168="","",COUNTIF($A$5:A168,A168))</f>
        <v/>
      </c>
      <c r="N168" s="24" t="str">
        <f aca="false">IF(A168="","",A168&amp;"|"&amp;M168)</f>
        <v/>
      </c>
    </row>
    <row r="169" customFormat="false" ht="15" hidden="false" customHeight="false" outlineLevel="0" collapsed="false">
      <c r="F169" s="0" t="str">
        <f aca="false">IF(E169="","",IF(COUNTIFS('MASTER BAHAN'!$A$5:$A$504,E169)=0,"BELUM ADA",INDEX('MASTER BAHAN'!$B$5:$B$504,MATCH(E169,'MASTER BAHAN'!$A$5:$A$504,0))))</f>
        <v/>
      </c>
      <c r="H169" s="0" t="str">
        <f aca="false">IF(E169="","",IF(COUNTIFS('MASTER BAHAN'!$A$5:$A$504,E169)=0,"BELUM ADA",INDEX('MASTER BAHAN'!$D$5:$D$504,MATCH(E169,'MASTER BAHAN'!$A$5:$A$504,0))))</f>
        <v/>
      </c>
      <c r="J169" s="0" t="str">
        <f aca="false">IF(A169="","",IF(OR(NOT(ISNUMBER(G169)),NOT(ISNUMBER(I169))),"BELUM LENGKAP",ROUND(G169*I169,0)))</f>
        <v/>
      </c>
      <c r="M169" s="24" t="str">
        <f aca="false">IF(A169="","",COUNTIF($A$5:A169,A169))</f>
        <v/>
      </c>
      <c r="N169" s="24" t="str">
        <f aca="false">IF(A169="","",A169&amp;"|"&amp;M169)</f>
        <v/>
      </c>
    </row>
    <row r="170" customFormat="false" ht="15" hidden="false" customHeight="false" outlineLevel="0" collapsed="false">
      <c r="F170" s="0" t="str">
        <f aca="false">IF(E170="","",IF(COUNTIFS('MASTER BAHAN'!$A$5:$A$504,E170)=0,"BELUM ADA",INDEX('MASTER BAHAN'!$B$5:$B$504,MATCH(E170,'MASTER BAHAN'!$A$5:$A$504,0))))</f>
        <v/>
      </c>
      <c r="H170" s="0" t="str">
        <f aca="false">IF(E170="","",IF(COUNTIFS('MASTER BAHAN'!$A$5:$A$504,E170)=0,"BELUM ADA",INDEX('MASTER BAHAN'!$D$5:$D$504,MATCH(E170,'MASTER BAHAN'!$A$5:$A$504,0))))</f>
        <v/>
      </c>
      <c r="J170" s="0" t="str">
        <f aca="false">IF(A170="","",IF(OR(NOT(ISNUMBER(G170)),NOT(ISNUMBER(I170))),"BELUM LENGKAP",ROUND(G170*I170,0)))</f>
        <v/>
      </c>
      <c r="M170" s="24" t="str">
        <f aca="false">IF(A170="","",COUNTIF($A$5:A170,A170))</f>
        <v/>
      </c>
      <c r="N170" s="24" t="str">
        <f aca="false">IF(A170="","",A170&amp;"|"&amp;M170)</f>
        <v/>
      </c>
    </row>
    <row r="171" customFormat="false" ht="15" hidden="false" customHeight="false" outlineLevel="0" collapsed="false">
      <c r="F171" s="0" t="str">
        <f aca="false">IF(E171="","",IF(COUNTIFS('MASTER BAHAN'!$A$5:$A$504,E171)=0,"BELUM ADA",INDEX('MASTER BAHAN'!$B$5:$B$504,MATCH(E171,'MASTER BAHAN'!$A$5:$A$504,0))))</f>
        <v/>
      </c>
      <c r="H171" s="0" t="str">
        <f aca="false">IF(E171="","",IF(COUNTIFS('MASTER BAHAN'!$A$5:$A$504,E171)=0,"BELUM ADA",INDEX('MASTER BAHAN'!$D$5:$D$504,MATCH(E171,'MASTER BAHAN'!$A$5:$A$504,0))))</f>
        <v/>
      </c>
      <c r="J171" s="0" t="str">
        <f aca="false">IF(A171="","",IF(OR(NOT(ISNUMBER(G171)),NOT(ISNUMBER(I171))),"BELUM LENGKAP",ROUND(G171*I171,0)))</f>
        <v/>
      </c>
      <c r="M171" s="24" t="str">
        <f aca="false">IF(A171="","",COUNTIF($A$5:A171,A171))</f>
        <v/>
      </c>
      <c r="N171" s="24" t="str">
        <f aca="false">IF(A171="","",A171&amp;"|"&amp;M171)</f>
        <v/>
      </c>
    </row>
    <row r="172" customFormat="false" ht="15" hidden="false" customHeight="false" outlineLevel="0" collapsed="false">
      <c r="F172" s="0" t="str">
        <f aca="false">IF(E172="","",IF(COUNTIFS('MASTER BAHAN'!$A$5:$A$504,E172)=0,"BELUM ADA",INDEX('MASTER BAHAN'!$B$5:$B$504,MATCH(E172,'MASTER BAHAN'!$A$5:$A$504,0))))</f>
        <v/>
      </c>
      <c r="H172" s="0" t="str">
        <f aca="false">IF(E172="","",IF(COUNTIFS('MASTER BAHAN'!$A$5:$A$504,E172)=0,"BELUM ADA",INDEX('MASTER BAHAN'!$D$5:$D$504,MATCH(E172,'MASTER BAHAN'!$A$5:$A$504,0))))</f>
        <v/>
      </c>
      <c r="J172" s="0" t="str">
        <f aca="false">IF(A172="","",IF(OR(NOT(ISNUMBER(G172)),NOT(ISNUMBER(I172))),"BELUM LENGKAP",ROUND(G172*I172,0)))</f>
        <v/>
      </c>
      <c r="M172" s="24" t="str">
        <f aca="false">IF(A172="","",COUNTIF($A$5:A172,A172))</f>
        <v/>
      </c>
      <c r="N172" s="24" t="str">
        <f aca="false">IF(A172="","",A172&amp;"|"&amp;M172)</f>
        <v/>
      </c>
    </row>
    <row r="173" customFormat="false" ht="15" hidden="false" customHeight="false" outlineLevel="0" collapsed="false">
      <c r="F173" s="0" t="str">
        <f aca="false">IF(E173="","",IF(COUNTIFS('MASTER BAHAN'!$A$5:$A$504,E173)=0,"BELUM ADA",INDEX('MASTER BAHAN'!$B$5:$B$504,MATCH(E173,'MASTER BAHAN'!$A$5:$A$504,0))))</f>
        <v/>
      </c>
      <c r="H173" s="0" t="str">
        <f aca="false">IF(E173="","",IF(COUNTIFS('MASTER BAHAN'!$A$5:$A$504,E173)=0,"BELUM ADA",INDEX('MASTER BAHAN'!$D$5:$D$504,MATCH(E173,'MASTER BAHAN'!$A$5:$A$504,0))))</f>
        <v/>
      </c>
      <c r="J173" s="0" t="str">
        <f aca="false">IF(A173="","",IF(OR(NOT(ISNUMBER(G173)),NOT(ISNUMBER(I173))),"BELUM LENGKAP",ROUND(G173*I173,0)))</f>
        <v/>
      </c>
      <c r="M173" s="24" t="str">
        <f aca="false">IF(A173="","",COUNTIF($A$5:A173,A173))</f>
        <v/>
      </c>
      <c r="N173" s="24" t="str">
        <f aca="false">IF(A173="","",A173&amp;"|"&amp;M173)</f>
        <v/>
      </c>
    </row>
    <row r="174" customFormat="false" ht="15" hidden="false" customHeight="false" outlineLevel="0" collapsed="false">
      <c r="F174" s="0" t="str">
        <f aca="false">IF(E174="","",IF(COUNTIFS('MASTER BAHAN'!$A$5:$A$504,E174)=0,"BELUM ADA",INDEX('MASTER BAHAN'!$B$5:$B$504,MATCH(E174,'MASTER BAHAN'!$A$5:$A$504,0))))</f>
        <v/>
      </c>
      <c r="H174" s="0" t="str">
        <f aca="false">IF(E174="","",IF(COUNTIFS('MASTER BAHAN'!$A$5:$A$504,E174)=0,"BELUM ADA",INDEX('MASTER BAHAN'!$D$5:$D$504,MATCH(E174,'MASTER BAHAN'!$A$5:$A$504,0))))</f>
        <v/>
      </c>
      <c r="J174" s="0" t="str">
        <f aca="false">IF(A174="","",IF(OR(NOT(ISNUMBER(G174)),NOT(ISNUMBER(I174))),"BELUM LENGKAP",ROUND(G174*I174,0)))</f>
        <v/>
      </c>
      <c r="M174" s="24" t="str">
        <f aca="false">IF(A174="","",COUNTIF($A$5:A174,A174))</f>
        <v/>
      </c>
      <c r="N174" s="24" t="str">
        <f aca="false">IF(A174="","",A174&amp;"|"&amp;M174)</f>
        <v/>
      </c>
    </row>
    <row r="175" customFormat="false" ht="15" hidden="false" customHeight="false" outlineLevel="0" collapsed="false">
      <c r="F175" s="0" t="str">
        <f aca="false">IF(E175="","",IF(COUNTIFS('MASTER BAHAN'!$A$5:$A$504,E175)=0,"BELUM ADA",INDEX('MASTER BAHAN'!$B$5:$B$504,MATCH(E175,'MASTER BAHAN'!$A$5:$A$504,0))))</f>
        <v/>
      </c>
      <c r="H175" s="0" t="str">
        <f aca="false">IF(E175="","",IF(COUNTIFS('MASTER BAHAN'!$A$5:$A$504,E175)=0,"BELUM ADA",INDEX('MASTER BAHAN'!$D$5:$D$504,MATCH(E175,'MASTER BAHAN'!$A$5:$A$504,0))))</f>
        <v/>
      </c>
      <c r="J175" s="0" t="str">
        <f aca="false">IF(A175="","",IF(OR(NOT(ISNUMBER(G175)),NOT(ISNUMBER(I175))),"BELUM LENGKAP",ROUND(G175*I175,0)))</f>
        <v/>
      </c>
      <c r="M175" s="24" t="str">
        <f aca="false">IF(A175="","",COUNTIF($A$5:A175,A175))</f>
        <v/>
      </c>
      <c r="N175" s="24" t="str">
        <f aca="false">IF(A175="","",A175&amp;"|"&amp;M175)</f>
        <v/>
      </c>
    </row>
    <row r="176" customFormat="false" ht="15" hidden="false" customHeight="false" outlineLevel="0" collapsed="false">
      <c r="F176" s="0" t="str">
        <f aca="false">IF(E176="","",IF(COUNTIFS('MASTER BAHAN'!$A$5:$A$504,E176)=0,"BELUM ADA",INDEX('MASTER BAHAN'!$B$5:$B$504,MATCH(E176,'MASTER BAHAN'!$A$5:$A$504,0))))</f>
        <v/>
      </c>
      <c r="H176" s="0" t="str">
        <f aca="false">IF(E176="","",IF(COUNTIFS('MASTER BAHAN'!$A$5:$A$504,E176)=0,"BELUM ADA",INDEX('MASTER BAHAN'!$D$5:$D$504,MATCH(E176,'MASTER BAHAN'!$A$5:$A$504,0))))</f>
        <v/>
      </c>
      <c r="J176" s="0" t="str">
        <f aca="false">IF(A176="","",IF(OR(NOT(ISNUMBER(G176)),NOT(ISNUMBER(I176))),"BELUM LENGKAP",ROUND(G176*I176,0)))</f>
        <v/>
      </c>
      <c r="M176" s="24" t="str">
        <f aca="false">IF(A176="","",COUNTIF($A$5:A176,A176))</f>
        <v/>
      </c>
      <c r="N176" s="24" t="str">
        <f aca="false">IF(A176="","",A176&amp;"|"&amp;M176)</f>
        <v/>
      </c>
    </row>
    <row r="177" customFormat="false" ht="15" hidden="false" customHeight="false" outlineLevel="0" collapsed="false">
      <c r="F177" s="0" t="str">
        <f aca="false">IF(E177="","",IF(COUNTIFS('MASTER BAHAN'!$A$5:$A$504,E177)=0,"BELUM ADA",INDEX('MASTER BAHAN'!$B$5:$B$504,MATCH(E177,'MASTER BAHAN'!$A$5:$A$504,0))))</f>
        <v/>
      </c>
      <c r="H177" s="0" t="str">
        <f aca="false">IF(E177="","",IF(COUNTIFS('MASTER BAHAN'!$A$5:$A$504,E177)=0,"BELUM ADA",INDEX('MASTER BAHAN'!$D$5:$D$504,MATCH(E177,'MASTER BAHAN'!$A$5:$A$504,0))))</f>
        <v/>
      </c>
      <c r="J177" s="0" t="str">
        <f aca="false">IF(A177="","",IF(OR(NOT(ISNUMBER(G177)),NOT(ISNUMBER(I177))),"BELUM LENGKAP",ROUND(G177*I177,0)))</f>
        <v/>
      </c>
      <c r="M177" s="24" t="str">
        <f aca="false">IF(A177="","",COUNTIF($A$5:A177,A177))</f>
        <v/>
      </c>
      <c r="N177" s="24" t="str">
        <f aca="false">IF(A177="","",A177&amp;"|"&amp;M177)</f>
        <v/>
      </c>
    </row>
    <row r="178" customFormat="false" ht="15" hidden="false" customHeight="false" outlineLevel="0" collapsed="false">
      <c r="F178" s="0" t="str">
        <f aca="false">IF(E178="","",IF(COUNTIFS('MASTER BAHAN'!$A$5:$A$504,E178)=0,"BELUM ADA",INDEX('MASTER BAHAN'!$B$5:$B$504,MATCH(E178,'MASTER BAHAN'!$A$5:$A$504,0))))</f>
        <v/>
      </c>
      <c r="H178" s="0" t="str">
        <f aca="false">IF(E178="","",IF(COUNTIFS('MASTER BAHAN'!$A$5:$A$504,E178)=0,"BELUM ADA",INDEX('MASTER BAHAN'!$D$5:$D$504,MATCH(E178,'MASTER BAHAN'!$A$5:$A$504,0))))</f>
        <v/>
      </c>
      <c r="J178" s="0" t="str">
        <f aca="false">IF(A178="","",IF(OR(NOT(ISNUMBER(G178)),NOT(ISNUMBER(I178))),"BELUM LENGKAP",ROUND(G178*I178,0)))</f>
        <v/>
      </c>
      <c r="M178" s="24" t="str">
        <f aca="false">IF(A178="","",COUNTIF($A$5:A178,A178))</f>
        <v/>
      </c>
      <c r="N178" s="24" t="str">
        <f aca="false">IF(A178="","",A178&amp;"|"&amp;M178)</f>
        <v/>
      </c>
    </row>
    <row r="179" customFormat="false" ht="15" hidden="false" customHeight="false" outlineLevel="0" collapsed="false">
      <c r="F179" s="0" t="str">
        <f aca="false">IF(E179="","",IF(COUNTIFS('MASTER BAHAN'!$A$5:$A$504,E179)=0,"BELUM ADA",INDEX('MASTER BAHAN'!$B$5:$B$504,MATCH(E179,'MASTER BAHAN'!$A$5:$A$504,0))))</f>
        <v/>
      </c>
      <c r="H179" s="0" t="str">
        <f aca="false">IF(E179="","",IF(COUNTIFS('MASTER BAHAN'!$A$5:$A$504,E179)=0,"BELUM ADA",INDEX('MASTER BAHAN'!$D$5:$D$504,MATCH(E179,'MASTER BAHAN'!$A$5:$A$504,0))))</f>
        <v/>
      </c>
      <c r="J179" s="0" t="str">
        <f aca="false">IF(A179="","",IF(OR(NOT(ISNUMBER(G179)),NOT(ISNUMBER(I179))),"BELUM LENGKAP",ROUND(G179*I179,0)))</f>
        <v/>
      </c>
      <c r="M179" s="24" t="str">
        <f aca="false">IF(A179="","",COUNTIF($A$5:A179,A179))</f>
        <v/>
      </c>
      <c r="N179" s="24" t="str">
        <f aca="false">IF(A179="","",A179&amp;"|"&amp;M179)</f>
        <v/>
      </c>
    </row>
    <row r="180" customFormat="false" ht="15" hidden="false" customHeight="false" outlineLevel="0" collapsed="false">
      <c r="F180" s="0" t="str">
        <f aca="false">IF(E180="","",IF(COUNTIFS('MASTER BAHAN'!$A$5:$A$504,E180)=0,"BELUM ADA",INDEX('MASTER BAHAN'!$B$5:$B$504,MATCH(E180,'MASTER BAHAN'!$A$5:$A$504,0))))</f>
        <v/>
      </c>
      <c r="H180" s="0" t="str">
        <f aca="false">IF(E180="","",IF(COUNTIFS('MASTER BAHAN'!$A$5:$A$504,E180)=0,"BELUM ADA",INDEX('MASTER BAHAN'!$D$5:$D$504,MATCH(E180,'MASTER BAHAN'!$A$5:$A$504,0))))</f>
        <v/>
      </c>
      <c r="J180" s="0" t="str">
        <f aca="false">IF(A180="","",IF(OR(NOT(ISNUMBER(G180)),NOT(ISNUMBER(I180))),"BELUM LENGKAP",ROUND(G180*I180,0)))</f>
        <v/>
      </c>
      <c r="M180" s="24" t="str">
        <f aca="false">IF(A180="","",COUNTIF($A$5:A180,A180))</f>
        <v/>
      </c>
      <c r="N180" s="24" t="str">
        <f aca="false">IF(A180="","",A180&amp;"|"&amp;M180)</f>
        <v/>
      </c>
    </row>
    <row r="181" customFormat="false" ht="15" hidden="false" customHeight="false" outlineLevel="0" collapsed="false">
      <c r="F181" s="0" t="str">
        <f aca="false">IF(E181="","",IF(COUNTIFS('MASTER BAHAN'!$A$5:$A$504,E181)=0,"BELUM ADA",INDEX('MASTER BAHAN'!$B$5:$B$504,MATCH(E181,'MASTER BAHAN'!$A$5:$A$504,0))))</f>
        <v/>
      </c>
      <c r="H181" s="0" t="str">
        <f aca="false">IF(E181="","",IF(COUNTIFS('MASTER BAHAN'!$A$5:$A$504,E181)=0,"BELUM ADA",INDEX('MASTER BAHAN'!$D$5:$D$504,MATCH(E181,'MASTER BAHAN'!$A$5:$A$504,0))))</f>
        <v/>
      </c>
      <c r="J181" s="0" t="str">
        <f aca="false">IF(A181="","",IF(OR(NOT(ISNUMBER(G181)),NOT(ISNUMBER(I181))),"BELUM LENGKAP",ROUND(G181*I181,0)))</f>
        <v/>
      </c>
      <c r="M181" s="24" t="str">
        <f aca="false">IF(A181="","",COUNTIF($A$5:A181,A181))</f>
        <v/>
      </c>
      <c r="N181" s="24" t="str">
        <f aca="false">IF(A181="","",A181&amp;"|"&amp;M181)</f>
        <v/>
      </c>
    </row>
    <row r="182" customFormat="false" ht="15" hidden="false" customHeight="false" outlineLevel="0" collapsed="false">
      <c r="F182" s="0" t="str">
        <f aca="false">IF(E182="","",IF(COUNTIFS('MASTER BAHAN'!$A$5:$A$504,E182)=0,"BELUM ADA",INDEX('MASTER BAHAN'!$B$5:$B$504,MATCH(E182,'MASTER BAHAN'!$A$5:$A$504,0))))</f>
        <v/>
      </c>
      <c r="H182" s="0" t="str">
        <f aca="false">IF(E182="","",IF(COUNTIFS('MASTER BAHAN'!$A$5:$A$504,E182)=0,"BELUM ADA",INDEX('MASTER BAHAN'!$D$5:$D$504,MATCH(E182,'MASTER BAHAN'!$A$5:$A$504,0))))</f>
        <v/>
      </c>
      <c r="J182" s="0" t="str">
        <f aca="false">IF(A182="","",IF(OR(NOT(ISNUMBER(G182)),NOT(ISNUMBER(I182))),"BELUM LENGKAP",ROUND(G182*I182,0)))</f>
        <v/>
      </c>
      <c r="M182" s="24" t="str">
        <f aca="false">IF(A182="","",COUNTIF($A$5:A182,A182))</f>
        <v/>
      </c>
      <c r="N182" s="24" t="str">
        <f aca="false">IF(A182="","",A182&amp;"|"&amp;M182)</f>
        <v/>
      </c>
    </row>
    <row r="183" customFormat="false" ht="15" hidden="false" customHeight="false" outlineLevel="0" collapsed="false">
      <c r="F183" s="0" t="str">
        <f aca="false">IF(E183="","",IF(COUNTIFS('MASTER BAHAN'!$A$5:$A$504,E183)=0,"BELUM ADA",INDEX('MASTER BAHAN'!$B$5:$B$504,MATCH(E183,'MASTER BAHAN'!$A$5:$A$504,0))))</f>
        <v/>
      </c>
      <c r="H183" s="0" t="str">
        <f aca="false">IF(E183="","",IF(COUNTIFS('MASTER BAHAN'!$A$5:$A$504,E183)=0,"BELUM ADA",INDEX('MASTER BAHAN'!$D$5:$D$504,MATCH(E183,'MASTER BAHAN'!$A$5:$A$504,0))))</f>
        <v/>
      </c>
      <c r="J183" s="0" t="str">
        <f aca="false">IF(A183="","",IF(OR(NOT(ISNUMBER(G183)),NOT(ISNUMBER(I183))),"BELUM LENGKAP",ROUND(G183*I183,0)))</f>
        <v/>
      </c>
      <c r="M183" s="24" t="str">
        <f aca="false">IF(A183="","",COUNTIF($A$5:A183,A183))</f>
        <v/>
      </c>
      <c r="N183" s="24" t="str">
        <f aca="false">IF(A183="","",A183&amp;"|"&amp;M183)</f>
        <v/>
      </c>
    </row>
    <row r="184" customFormat="false" ht="15" hidden="false" customHeight="false" outlineLevel="0" collapsed="false">
      <c r="F184" s="0" t="str">
        <f aca="false">IF(E184="","",IF(COUNTIFS('MASTER BAHAN'!$A$5:$A$504,E184)=0,"BELUM ADA",INDEX('MASTER BAHAN'!$B$5:$B$504,MATCH(E184,'MASTER BAHAN'!$A$5:$A$504,0))))</f>
        <v/>
      </c>
      <c r="H184" s="0" t="str">
        <f aca="false">IF(E184="","",IF(COUNTIFS('MASTER BAHAN'!$A$5:$A$504,E184)=0,"BELUM ADA",INDEX('MASTER BAHAN'!$D$5:$D$504,MATCH(E184,'MASTER BAHAN'!$A$5:$A$504,0))))</f>
        <v/>
      </c>
      <c r="J184" s="0" t="str">
        <f aca="false">IF(A184="","",IF(OR(NOT(ISNUMBER(G184)),NOT(ISNUMBER(I184))),"BELUM LENGKAP",ROUND(G184*I184,0)))</f>
        <v/>
      </c>
      <c r="M184" s="24" t="str">
        <f aca="false">IF(A184="","",COUNTIF($A$5:A184,A184))</f>
        <v/>
      </c>
      <c r="N184" s="24" t="str">
        <f aca="false">IF(A184="","",A184&amp;"|"&amp;M184)</f>
        <v/>
      </c>
    </row>
    <row r="185" customFormat="false" ht="15" hidden="false" customHeight="false" outlineLevel="0" collapsed="false">
      <c r="F185" s="0" t="str">
        <f aca="false">IF(E185="","",IF(COUNTIFS('MASTER BAHAN'!$A$5:$A$504,E185)=0,"BELUM ADA",INDEX('MASTER BAHAN'!$B$5:$B$504,MATCH(E185,'MASTER BAHAN'!$A$5:$A$504,0))))</f>
        <v/>
      </c>
      <c r="H185" s="0" t="str">
        <f aca="false">IF(E185="","",IF(COUNTIFS('MASTER BAHAN'!$A$5:$A$504,E185)=0,"BELUM ADA",INDEX('MASTER BAHAN'!$D$5:$D$504,MATCH(E185,'MASTER BAHAN'!$A$5:$A$504,0))))</f>
        <v/>
      </c>
      <c r="J185" s="0" t="str">
        <f aca="false">IF(A185="","",IF(OR(NOT(ISNUMBER(G185)),NOT(ISNUMBER(I185))),"BELUM LENGKAP",ROUND(G185*I185,0)))</f>
        <v/>
      </c>
      <c r="M185" s="24" t="str">
        <f aca="false">IF(A185="","",COUNTIF($A$5:A185,A185))</f>
        <v/>
      </c>
      <c r="N185" s="24" t="str">
        <f aca="false">IF(A185="","",A185&amp;"|"&amp;M185)</f>
        <v/>
      </c>
    </row>
    <row r="186" customFormat="false" ht="15" hidden="false" customHeight="false" outlineLevel="0" collapsed="false">
      <c r="F186" s="0" t="str">
        <f aca="false">IF(E186="","",IF(COUNTIFS('MASTER BAHAN'!$A$5:$A$504,E186)=0,"BELUM ADA",INDEX('MASTER BAHAN'!$B$5:$B$504,MATCH(E186,'MASTER BAHAN'!$A$5:$A$504,0))))</f>
        <v/>
      </c>
      <c r="H186" s="0" t="str">
        <f aca="false">IF(E186="","",IF(COUNTIFS('MASTER BAHAN'!$A$5:$A$504,E186)=0,"BELUM ADA",INDEX('MASTER BAHAN'!$D$5:$D$504,MATCH(E186,'MASTER BAHAN'!$A$5:$A$504,0))))</f>
        <v/>
      </c>
      <c r="J186" s="0" t="str">
        <f aca="false">IF(A186="","",IF(OR(NOT(ISNUMBER(G186)),NOT(ISNUMBER(I186))),"BELUM LENGKAP",ROUND(G186*I186,0)))</f>
        <v/>
      </c>
      <c r="M186" s="24" t="str">
        <f aca="false">IF(A186="","",COUNTIF($A$5:A186,A186))</f>
        <v/>
      </c>
      <c r="N186" s="24" t="str">
        <f aca="false">IF(A186="","",A186&amp;"|"&amp;M186)</f>
        <v/>
      </c>
    </row>
    <row r="187" customFormat="false" ht="15" hidden="false" customHeight="false" outlineLevel="0" collapsed="false">
      <c r="F187" s="0" t="str">
        <f aca="false">IF(E187="","",IF(COUNTIFS('MASTER BAHAN'!$A$5:$A$504,E187)=0,"BELUM ADA",INDEX('MASTER BAHAN'!$B$5:$B$504,MATCH(E187,'MASTER BAHAN'!$A$5:$A$504,0))))</f>
        <v/>
      </c>
      <c r="H187" s="0" t="str">
        <f aca="false">IF(E187="","",IF(COUNTIFS('MASTER BAHAN'!$A$5:$A$504,E187)=0,"BELUM ADA",INDEX('MASTER BAHAN'!$D$5:$D$504,MATCH(E187,'MASTER BAHAN'!$A$5:$A$504,0))))</f>
        <v/>
      </c>
      <c r="J187" s="0" t="str">
        <f aca="false">IF(A187="","",IF(OR(NOT(ISNUMBER(G187)),NOT(ISNUMBER(I187))),"BELUM LENGKAP",ROUND(G187*I187,0)))</f>
        <v/>
      </c>
      <c r="M187" s="24" t="str">
        <f aca="false">IF(A187="","",COUNTIF($A$5:A187,A187))</f>
        <v/>
      </c>
      <c r="N187" s="24" t="str">
        <f aca="false">IF(A187="","",A187&amp;"|"&amp;M187)</f>
        <v/>
      </c>
    </row>
    <row r="188" customFormat="false" ht="15" hidden="false" customHeight="false" outlineLevel="0" collapsed="false">
      <c r="F188" s="0" t="str">
        <f aca="false">IF(E188="","",IF(COUNTIFS('MASTER BAHAN'!$A$5:$A$504,E188)=0,"BELUM ADA",INDEX('MASTER BAHAN'!$B$5:$B$504,MATCH(E188,'MASTER BAHAN'!$A$5:$A$504,0))))</f>
        <v/>
      </c>
      <c r="H188" s="0" t="str">
        <f aca="false">IF(E188="","",IF(COUNTIFS('MASTER BAHAN'!$A$5:$A$504,E188)=0,"BELUM ADA",INDEX('MASTER BAHAN'!$D$5:$D$504,MATCH(E188,'MASTER BAHAN'!$A$5:$A$504,0))))</f>
        <v/>
      </c>
      <c r="J188" s="0" t="str">
        <f aca="false">IF(A188="","",IF(OR(NOT(ISNUMBER(G188)),NOT(ISNUMBER(I188))),"BELUM LENGKAP",ROUND(G188*I188,0)))</f>
        <v/>
      </c>
      <c r="M188" s="24" t="str">
        <f aca="false">IF(A188="","",COUNTIF($A$5:A188,A188))</f>
        <v/>
      </c>
      <c r="N188" s="24" t="str">
        <f aca="false">IF(A188="","",A188&amp;"|"&amp;M188)</f>
        <v/>
      </c>
    </row>
    <row r="189" customFormat="false" ht="15" hidden="false" customHeight="false" outlineLevel="0" collapsed="false">
      <c r="F189" s="0" t="str">
        <f aca="false">IF(E189="","",IF(COUNTIFS('MASTER BAHAN'!$A$5:$A$504,E189)=0,"BELUM ADA",INDEX('MASTER BAHAN'!$B$5:$B$504,MATCH(E189,'MASTER BAHAN'!$A$5:$A$504,0))))</f>
        <v/>
      </c>
      <c r="H189" s="0" t="str">
        <f aca="false">IF(E189="","",IF(COUNTIFS('MASTER BAHAN'!$A$5:$A$504,E189)=0,"BELUM ADA",INDEX('MASTER BAHAN'!$D$5:$D$504,MATCH(E189,'MASTER BAHAN'!$A$5:$A$504,0))))</f>
        <v/>
      </c>
      <c r="J189" s="0" t="str">
        <f aca="false">IF(A189="","",IF(OR(NOT(ISNUMBER(G189)),NOT(ISNUMBER(I189))),"BELUM LENGKAP",ROUND(G189*I189,0)))</f>
        <v/>
      </c>
      <c r="M189" s="24" t="str">
        <f aca="false">IF(A189="","",COUNTIF($A$5:A189,A189))</f>
        <v/>
      </c>
      <c r="N189" s="24" t="str">
        <f aca="false">IF(A189="","",A189&amp;"|"&amp;M189)</f>
        <v/>
      </c>
    </row>
    <row r="190" customFormat="false" ht="15" hidden="false" customHeight="false" outlineLevel="0" collapsed="false">
      <c r="F190" s="0" t="str">
        <f aca="false">IF(E190="","",IF(COUNTIFS('MASTER BAHAN'!$A$5:$A$504,E190)=0,"BELUM ADA",INDEX('MASTER BAHAN'!$B$5:$B$504,MATCH(E190,'MASTER BAHAN'!$A$5:$A$504,0))))</f>
        <v/>
      </c>
      <c r="H190" s="0" t="str">
        <f aca="false">IF(E190="","",IF(COUNTIFS('MASTER BAHAN'!$A$5:$A$504,E190)=0,"BELUM ADA",INDEX('MASTER BAHAN'!$D$5:$D$504,MATCH(E190,'MASTER BAHAN'!$A$5:$A$504,0))))</f>
        <v/>
      </c>
      <c r="J190" s="0" t="str">
        <f aca="false">IF(A190="","",IF(OR(NOT(ISNUMBER(G190)),NOT(ISNUMBER(I190))),"BELUM LENGKAP",ROUND(G190*I190,0)))</f>
        <v/>
      </c>
      <c r="M190" s="24" t="str">
        <f aca="false">IF(A190="","",COUNTIF($A$5:A190,A190))</f>
        <v/>
      </c>
      <c r="N190" s="24" t="str">
        <f aca="false">IF(A190="","",A190&amp;"|"&amp;M190)</f>
        <v/>
      </c>
    </row>
    <row r="191" customFormat="false" ht="15" hidden="false" customHeight="false" outlineLevel="0" collapsed="false">
      <c r="F191" s="0" t="str">
        <f aca="false">IF(E191="","",IF(COUNTIFS('MASTER BAHAN'!$A$5:$A$504,E191)=0,"BELUM ADA",INDEX('MASTER BAHAN'!$B$5:$B$504,MATCH(E191,'MASTER BAHAN'!$A$5:$A$504,0))))</f>
        <v/>
      </c>
      <c r="H191" s="0" t="str">
        <f aca="false">IF(E191="","",IF(COUNTIFS('MASTER BAHAN'!$A$5:$A$504,E191)=0,"BELUM ADA",INDEX('MASTER BAHAN'!$D$5:$D$504,MATCH(E191,'MASTER BAHAN'!$A$5:$A$504,0))))</f>
        <v/>
      </c>
      <c r="J191" s="0" t="str">
        <f aca="false">IF(A191="","",IF(OR(NOT(ISNUMBER(G191)),NOT(ISNUMBER(I191))),"BELUM LENGKAP",ROUND(G191*I191,0)))</f>
        <v/>
      </c>
      <c r="M191" s="24" t="str">
        <f aca="false">IF(A191="","",COUNTIF($A$5:A191,A191))</f>
        <v/>
      </c>
      <c r="N191" s="24" t="str">
        <f aca="false">IF(A191="","",A191&amp;"|"&amp;M191)</f>
        <v/>
      </c>
    </row>
    <row r="192" customFormat="false" ht="15" hidden="false" customHeight="false" outlineLevel="0" collapsed="false">
      <c r="F192" s="0" t="str">
        <f aca="false">IF(E192="","",IF(COUNTIFS('MASTER BAHAN'!$A$5:$A$504,E192)=0,"BELUM ADA",INDEX('MASTER BAHAN'!$B$5:$B$504,MATCH(E192,'MASTER BAHAN'!$A$5:$A$504,0))))</f>
        <v/>
      </c>
      <c r="H192" s="0" t="str">
        <f aca="false">IF(E192="","",IF(COUNTIFS('MASTER BAHAN'!$A$5:$A$504,E192)=0,"BELUM ADA",INDEX('MASTER BAHAN'!$D$5:$D$504,MATCH(E192,'MASTER BAHAN'!$A$5:$A$504,0))))</f>
        <v/>
      </c>
      <c r="J192" s="0" t="str">
        <f aca="false">IF(A192="","",IF(OR(NOT(ISNUMBER(G192)),NOT(ISNUMBER(I192))),"BELUM LENGKAP",ROUND(G192*I192,0)))</f>
        <v/>
      </c>
      <c r="M192" s="24" t="str">
        <f aca="false">IF(A192="","",COUNTIF($A$5:A192,A192))</f>
        <v/>
      </c>
      <c r="N192" s="24" t="str">
        <f aca="false">IF(A192="","",A192&amp;"|"&amp;M192)</f>
        <v/>
      </c>
    </row>
    <row r="193" customFormat="false" ht="15" hidden="false" customHeight="false" outlineLevel="0" collapsed="false">
      <c r="F193" s="0" t="str">
        <f aca="false">IF(E193="","",IF(COUNTIFS('MASTER BAHAN'!$A$5:$A$504,E193)=0,"BELUM ADA",INDEX('MASTER BAHAN'!$B$5:$B$504,MATCH(E193,'MASTER BAHAN'!$A$5:$A$504,0))))</f>
        <v/>
      </c>
      <c r="H193" s="0" t="str">
        <f aca="false">IF(E193="","",IF(COUNTIFS('MASTER BAHAN'!$A$5:$A$504,E193)=0,"BELUM ADA",INDEX('MASTER BAHAN'!$D$5:$D$504,MATCH(E193,'MASTER BAHAN'!$A$5:$A$504,0))))</f>
        <v/>
      </c>
      <c r="J193" s="0" t="str">
        <f aca="false">IF(A193="","",IF(OR(NOT(ISNUMBER(G193)),NOT(ISNUMBER(I193))),"BELUM LENGKAP",ROUND(G193*I193,0)))</f>
        <v/>
      </c>
      <c r="M193" s="24" t="str">
        <f aca="false">IF(A193="","",COUNTIF($A$5:A193,A193))</f>
        <v/>
      </c>
      <c r="N193" s="24" t="str">
        <f aca="false">IF(A193="","",A193&amp;"|"&amp;M193)</f>
        <v/>
      </c>
    </row>
    <row r="194" customFormat="false" ht="15" hidden="false" customHeight="false" outlineLevel="0" collapsed="false">
      <c r="F194" s="0" t="str">
        <f aca="false">IF(E194="","",IF(COUNTIFS('MASTER BAHAN'!$A$5:$A$504,E194)=0,"BELUM ADA",INDEX('MASTER BAHAN'!$B$5:$B$504,MATCH(E194,'MASTER BAHAN'!$A$5:$A$504,0))))</f>
        <v/>
      </c>
      <c r="H194" s="0" t="str">
        <f aca="false">IF(E194="","",IF(COUNTIFS('MASTER BAHAN'!$A$5:$A$504,E194)=0,"BELUM ADA",INDEX('MASTER BAHAN'!$D$5:$D$504,MATCH(E194,'MASTER BAHAN'!$A$5:$A$504,0))))</f>
        <v/>
      </c>
      <c r="J194" s="0" t="str">
        <f aca="false">IF(A194="","",IF(OR(NOT(ISNUMBER(G194)),NOT(ISNUMBER(I194))),"BELUM LENGKAP",ROUND(G194*I194,0)))</f>
        <v/>
      </c>
      <c r="M194" s="24" t="str">
        <f aca="false">IF(A194="","",COUNTIF($A$5:A194,A194))</f>
        <v/>
      </c>
      <c r="N194" s="24" t="str">
        <f aca="false">IF(A194="","",A194&amp;"|"&amp;M194)</f>
        <v/>
      </c>
    </row>
    <row r="195" customFormat="false" ht="15" hidden="false" customHeight="false" outlineLevel="0" collapsed="false">
      <c r="F195" s="0" t="str">
        <f aca="false">IF(E195="","",IF(COUNTIFS('MASTER BAHAN'!$A$5:$A$504,E195)=0,"BELUM ADA",INDEX('MASTER BAHAN'!$B$5:$B$504,MATCH(E195,'MASTER BAHAN'!$A$5:$A$504,0))))</f>
        <v/>
      </c>
      <c r="H195" s="0" t="str">
        <f aca="false">IF(E195="","",IF(COUNTIFS('MASTER BAHAN'!$A$5:$A$504,E195)=0,"BELUM ADA",INDEX('MASTER BAHAN'!$D$5:$D$504,MATCH(E195,'MASTER BAHAN'!$A$5:$A$504,0))))</f>
        <v/>
      </c>
      <c r="J195" s="0" t="str">
        <f aca="false">IF(A195="","",IF(OR(NOT(ISNUMBER(G195)),NOT(ISNUMBER(I195))),"BELUM LENGKAP",ROUND(G195*I195,0)))</f>
        <v/>
      </c>
      <c r="M195" s="24" t="str">
        <f aca="false">IF(A195="","",COUNTIF($A$5:A195,A195))</f>
        <v/>
      </c>
      <c r="N195" s="24" t="str">
        <f aca="false">IF(A195="","",A195&amp;"|"&amp;M195)</f>
        <v/>
      </c>
    </row>
    <row r="196" customFormat="false" ht="15" hidden="false" customHeight="false" outlineLevel="0" collapsed="false">
      <c r="F196" s="0" t="str">
        <f aca="false">IF(E196="","",IF(COUNTIFS('MASTER BAHAN'!$A$5:$A$504,E196)=0,"BELUM ADA",INDEX('MASTER BAHAN'!$B$5:$B$504,MATCH(E196,'MASTER BAHAN'!$A$5:$A$504,0))))</f>
        <v/>
      </c>
      <c r="H196" s="0" t="str">
        <f aca="false">IF(E196="","",IF(COUNTIFS('MASTER BAHAN'!$A$5:$A$504,E196)=0,"BELUM ADA",INDEX('MASTER BAHAN'!$D$5:$D$504,MATCH(E196,'MASTER BAHAN'!$A$5:$A$504,0))))</f>
        <v/>
      </c>
      <c r="J196" s="0" t="str">
        <f aca="false">IF(A196="","",IF(OR(NOT(ISNUMBER(G196)),NOT(ISNUMBER(I196))),"BELUM LENGKAP",ROUND(G196*I196,0)))</f>
        <v/>
      </c>
      <c r="M196" s="24" t="str">
        <f aca="false">IF(A196="","",COUNTIF($A$5:A196,A196))</f>
        <v/>
      </c>
      <c r="N196" s="24" t="str">
        <f aca="false">IF(A196="","",A196&amp;"|"&amp;M196)</f>
        <v/>
      </c>
    </row>
    <row r="197" customFormat="false" ht="15" hidden="false" customHeight="false" outlineLevel="0" collapsed="false">
      <c r="F197" s="0" t="str">
        <f aca="false">IF(E197="","",IF(COUNTIFS('MASTER BAHAN'!$A$5:$A$504,E197)=0,"BELUM ADA",INDEX('MASTER BAHAN'!$B$5:$B$504,MATCH(E197,'MASTER BAHAN'!$A$5:$A$504,0))))</f>
        <v/>
      </c>
      <c r="H197" s="0" t="str">
        <f aca="false">IF(E197="","",IF(COUNTIFS('MASTER BAHAN'!$A$5:$A$504,E197)=0,"BELUM ADA",INDEX('MASTER BAHAN'!$D$5:$D$504,MATCH(E197,'MASTER BAHAN'!$A$5:$A$504,0))))</f>
        <v/>
      </c>
      <c r="J197" s="0" t="str">
        <f aca="false">IF(A197="","",IF(OR(NOT(ISNUMBER(G197)),NOT(ISNUMBER(I197))),"BELUM LENGKAP",ROUND(G197*I197,0)))</f>
        <v/>
      </c>
      <c r="M197" s="24" t="str">
        <f aca="false">IF(A197="","",COUNTIF($A$5:A197,A197))</f>
        <v/>
      </c>
      <c r="N197" s="24" t="str">
        <f aca="false">IF(A197="","",A197&amp;"|"&amp;M197)</f>
        <v/>
      </c>
    </row>
    <row r="198" customFormat="false" ht="15" hidden="false" customHeight="false" outlineLevel="0" collapsed="false">
      <c r="F198" s="0" t="str">
        <f aca="false">IF(E198="","",IF(COUNTIFS('MASTER BAHAN'!$A$5:$A$504,E198)=0,"BELUM ADA",INDEX('MASTER BAHAN'!$B$5:$B$504,MATCH(E198,'MASTER BAHAN'!$A$5:$A$504,0))))</f>
        <v/>
      </c>
      <c r="H198" s="0" t="str">
        <f aca="false">IF(E198="","",IF(COUNTIFS('MASTER BAHAN'!$A$5:$A$504,E198)=0,"BELUM ADA",INDEX('MASTER BAHAN'!$D$5:$D$504,MATCH(E198,'MASTER BAHAN'!$A$5:$A$504,0))))</f>
        <v/>
      </c>
      <c r="J198" s="0" t="str">
        <f aca="false">IF(A198="","",IF(OR(NOT(ISNUMBER(G198)),NOT(ISNUMBER(I198))),"BELUM LENGKAP",ROUND(G198*I198,0)))</f>
        <v/>
      </c>
      <c r="M198" s="24" t="str">
        <f aca="false">IF(A198="","",COUNTIF($A$5:A198,A198))</f>
        <v/>
      </c>
      <c r="N198" s="24" t="str">
        <f aca="false">IF(A198="","",A198&amp;"|"&amp;M198)</f>
        <v/>
      </c>
    </row>
    <row r="199" customFormat="false" ht="15" hidden="false" customHeight="false" outlineLevel="0" collapsed="false">
      <c r="F199" s="0" t="str">
        <f aca="false">IF(E199="","",IF(COUNTIFS('MASTER BAHAN'!$A$5:$A$504,E199)=0,"BELUM ADA",INDEX('MASTER BAHAN'!$B$5:$B$504,MATCH(E199,'MASTER BAHAN'!$A$5:$A$504,0))))</f>
        <v/>
      </c>
      <c r="H199" s="0" t="str">
        <f aca="false">IF(E199="","",IF(COUNTIFS('MASTER BAHAN'!$A$5:$A$504,E199)=0,"BELUM ADA",INDEX('MASTER BAHAN'!$D$5:$D$504,MATCH(E199,'MASTER BAHAN'!$A$5:$A$504,0))))</f>
        <v/>
      </c>
      <c r="J199" s="0" t="str">
        <f aca="false">IF(A199="","",IF(OR(NOT(ISNUMBER(G199)),NOT(ISNUMBER(I199))),"BELUM LENGKAP",ROUND(G199*I199,0)))</f>
        <v/>
      </c>
      <c r="M199" s="24" t="str">
        <f aca="false">IF(A199="","",COUNTIF($A$5:A199,A199))</f>
        <v/>
      </c>
      <c r="N199" s="24" t="str">
        <f aca="false">IF(A199="","",A199&amp;"|"&amp;M199)</f>
        <v/>
      </c>
    </row>
    <row r="200" customFormat="false" ht="15" hidden="false" customHeight="false" outlineLevel="0" collapsed="false">
      <c r="F200" s="0" t="str">
        <f aca="false">IF(E200="","",IF(COUNTIFS('MASTER BAHAN'!$A$5:$A$504,E200)=0,"BELUM ADA",INDEX('MASTER BAHAN'!$B$5:$B$504,MATCH(E200,'MASTER BAHAN'!$A$5:$A$504,0))))</f>
        <v/>
      </c>
      <c r="H200" s="0" t="str">
        <f aca="false">IF(E200="","",IF(COUNTIFS('MASTER BAHAN'!$A$5:$A$504,E200)=0,"BELUM ADA",INDEX('MASTER BAHAN'!$D$5:$D$504,MATCH(E200,'MASTER BAHAN'!$A$5:$A$504,0))))</f>
        <v/>
      </c>
      <c r="J200" s="0" t="str">
        <f aca="false">IF(A200="","",IF(OR(NOT(ISNUMBER(G200)),NOT(ISNUMBER(I200))),"BELUM LENGKAP",ROUND(G200*I200,0)))</f>
        <v/>
      </c>
      <c r="M200" s="24" t="str">
        <f aca="false">IF(A200="","",COUNTIF($A$5:A200,A200))</f>
        <v/>
      </c>
      <c r="N200" s="24" t="str">
        <f aca="false">IF(A200="","",A200&amp;"|"&amp;M200)</f>
        <v/>
      </c>
    </row>
    <row r="201" customFormat="false" ht="15" hidden="false" customHeight="false" outlineLevel="0" collapsed="false">
      <c r="F201" s="0" t="str">
        <f aca="false">IF(E201="","",IF(COUNTIFS('MASTER BAHAN'!$A$5:$A$504,E201)=0,"BELUM ADA",INDEX('MASTER BAHAN'!$B$5:$B$504,MATCH(E201,'MASTER BAHAN'!$A$5:$A$504,0))))</f>
        <v/>
      </c>
      <c r="H201" s="0" t="str">
        <f aca="false">IF(E201="","",IF(COUNTIFS('MASTER BAHAN'!$A$5:$A$504,E201)=0,"BELUM ADA",INDEX('MASTER BAHAN'!$D$5:$D$504,MATCH(E201,'MASTER BAHAN'!$A$5:$A$504,0))))</f>
        <v/>
      </c>
      <c r="J201" s="0" t="str">
        <f aca="false">IF(A201="","",IF(OR(NOT(ISNUMBER(G201)),NOT(ISNUMBER(I201))),"BELUM LENGKAP",ROUND(G201*I201,0)))</f>
        <v/>
      </c>
      <c r="M201" s="24" t="str">
        <f aca="false">IF(A201="","",COUNTIF($A$5:A201,A201))</f>
        <v/>
      </c>
      <c r="N201" s="24" t="str">
        <f aca="false">IF(A201="","",A201&amp;"|"&amp;M201)</f>
        <v/>
      </c>
    </row>
    <row r="202" customFormat="false" ht="15" hidden="false" customHeight="false" outlineLevel="0" collapsed="false">
      <c r="F202" s="0" t="str">
        <f aca="false">IF(E202="","",IF(COUNTIFS('MASTER BAHAN'!$A$5:$A$504,E202)=0,"BELUM ADA",INDEX('MASTER BAHAN'!$B$5:$B$504,MATCH(E202,'MASTER BAHAN'!$A$5:$A$504,0))))</f>
        <v/>
      </c>
      <c r="H202" s="0" t="str">
        <f aca="false">IF(E202="","",IF(COUNTIFS('MASTER BAHAN'!$A$5:$A$504,E202)=0,"BELUM ADA",INDEX('MASTER BAHAN'!$D$5:$D$504,MATCH(E202,'MASTER BAHAN'!$A$5:$A$504,0))))</f>
        <v/>
      </c>
      <c r="J202" s="0" t="str">
        <f aca="false">IF(A202="","",IF(OR(NOT(ISNUMBER(G202)),NOT(ISNUMBER(I202))),"BELUM LENGKAP",ROUND(G202*I202,0)))</f>
        <v/>
      </c>
      <c r="M202" s="24" t="str">
        <f aca="false">IF(A202="","",COUNTIF($A$5:A202,A202))</f>
        <v/>
      </c>
      <c r="N202" s="24" t="str">
        <f aca="false">IF(A202="","",A202&amp;"|"&amp;M202)</f>
        <v/>
      </c>
    </row>
    <row r="203" customFormat="false" ht="15" hidden="false" customHeight="false" outlineLevel="0" collapsed="false">
      <c r="F203" s="0" t="str">
        <f aca="false">IF(E203="","",IF(COUNTIFS('MASTER BAHAN'!$A$5:$A$504,E203)=0,"BELUM ADA",INDEX('MASTER BAHAN'!$B$5:$B$504,MATCH(E203,'MASTER BAHAN'!$A$5:$A$504,0))))</f>
        <v/>
      </c>
      <c r="H203" s="0" t="str">
        <f aca="false">IF(E203="","",IF(COUNTIFS('MASTER BAHAN'!$A$5:$A$504,E203)=0,"BELUM ADA",INDEX('MASTER BAHAN'!$D$5:$D$504,MATCH(E203,'MASTER BAHAN'!$A$5:$A$504,0))))</f>
        <v/>
      </c>
      <c r="J203" s="0" t="str">
        <f aca="false">IF(A203="","",IF(OR(NOT(ISNUMBER(G203)),NOT(ISNUMBER(I203))),"BELUM LENGKAP",ROUND(G203*I203,0)))</f>
        <v/>
      </c>
      <c r="M203" s="24" t="str">
        <f aca="false">IF(A203="","",COUNTIF($A$5:A203,A203))</f>
        <v/>
      </c>
      <c r="N203" s="24" t="str">
        <f aca="false">IF(A203="","",A203&amp;"|"&amp;M203)</f>
        <v/>
      </c>
    </row>
    <row r="204" customFormat="false" ht="15" hidden="false" customHeight="false" outlineLevel="0" collapsed="false">
      <c r="F204" s="0" t="str">
        <f aca="false">IF(E204="","",IF(COUNTIFS('MASTER BAHAN'!$A$5:$A$504,E204)=0,"BELUM ADA",INDEX('MASTER BAHAN'!$B$5:$B$504,MATCH(E204,'MASTER BAHAN'!$A$5:$A$504,0))))</f>
        <v/>
      </c>
      <c r="H204" s="0" t="str">
        <f aca="false">IF(E204="","",IF(COUNTIFS('MASTER BAHAN'!$A$5:$A$504,E204)=0,"BELUM ADA",INDEX('MASTER BAHAN'!$D$5:$D$504,MATCH(E204,'MASTER BAHAN'!$A$5:$A$504,0))))</f>
        <v/>
      </c>
      <c r="J204" s="0" t="str">
        <f aca="false">IF(A204="","",IF(OR(NOT(ISNUMBER(G204)),NOT(ISNUMBER(I204))),"BELUM LENGKAP",ROUND(G204*I204,0)))</f>
        <v/>
      </c>
      <c r="M204" s="24" t="str">
        <f aca="false">IF(A204="","",COUNTIF($A$5:A204,A204))</f>
        <v/>
      </c>
      <c r="N204" s="24" t="str">
        <f aca="false">IF(A204="","",A204&amp;"|"&amp;M204)</f>
        <v/>
      </c>
    </row>
    <row r="205" customFormat="false" ht="15" hidden="false" customHeight="false" outlineLevel="0" collapsed="false">
      <c r="F205" s="0" t="str">
        <f aca="false">IF(E205="","",IF(COUNTIFS('MASTER BAHAN'!$A$5:$A$504,E205)=0,"BELUM ADA",INDEX('MASTER BAHAN'!$B$5:$B$504,MATCH(E205,'MASTER BAHAN'!$A$5:$A$504,0))))</f>
        <v/>
      </c>
      <c r="H205" s="0" t="str">
        <f aca="false">IF(E205="","",IF(COUNTIFS('MASTER BAHAN'!$A$5:$A$504,E205)=0,"BELUM ADA",INDEX('MASTER BAHAN'!$D$5:$D$504,MATCH(E205,'MASTER BAHAN'!$A$5:$A$504,0))))</f>
        <v/>
      </c>
      <c r="J205" s="0" t="str">
        <f aca="false">IF(A205="","",IF(OR(NOT(ISNUMBER(G205)),NOT(ISNUMBER(I205))),"BELUM LENGKAP",ROUND(G205*I205,0)))</f>
        <v/>
      </c>
      <c r="M205" s="24" t="str">
        <f aca="false">IF(A205="","",COUNTIF($A$5:A205,A205))</f>
        <v/>
      </c>
      <c r="N205" s="24" t="str">
        <f aca="false">IF(A205="","",A205&amp;"|"&amp;M205)</f>
        <v/>
      </c>
    </row>
    <row r="206" customFormat="false" ht="15" hidden="false" customHeight="false" outlineLevel="0" collapsed="false">
      <c r="F206" s="0" t="str">
        <f aca="false">IF(E206="","",IF(COUNTIFS('MASTER BAHAN'!$A$5:$A$504,E206)=0,"BELUM ADA",INDEX('MASTER BAHAN'!$B$5:$B$504,MATCH(E206,'MASTER BAHAN'!$A$5:$A$504,0))))</f>
        <v/>
      </c>
      <c r="H206" s="0" t="str">
        <f aca="false">IF(E206="","",IF(COUNTIFS('MASTER BAHAN'!$A$5:$A$504,E206)=0,"BELUM ADA",INDEX('MASTER BAHAN'!$D$5:$D$504,MATCH(E206,'MASTER BAHAN'!$A$5:$A$504,0))))</f>
        <v/>
      </c>
      <c r="J206" s="0" t="str">
        <f aca="false">IF(A206="","",IF(OR(NOT(ISNUMBER(G206)),NOT(ISNUMBER(I206))),"BELUM LENGKAP",ROUND(G206*I206,0)))</f>
        <v/>
      </c>
      <c r="M206" s="24" t="str">
        <f aca="false">IF(A206="","",COUNTIF($A$5:A206,A206))</f>
        <v/>
      </c>
      <c r="N206" s="24" t="str">
        <f aca="false">IF(A206="","",A206&amp;"|"&amp;M206)</f>
        <v/>
      </c>
    </row>
    <row r="207" customFormat="false" ht="15" hidden="false" customHeight="false" outlineLevel="0" collapsed="false">
      <c r="F207" s="0" t="str">
        <f aca="false">IF(E207="","",IF(COUNTIFS('MASTER BAHAN'!$A$5:$A$504,E207)=0,"BELUM ADA",INDEX('MASTER BAHAN'!$B$5:$B$504,MATCH(E207,'MASTER BAHAN'!$A$5:$A$504,0))))</f>
        <v/>
      </c>
      <c r="H207" s="0" t="str">
        <f aca="false">IF(E207="","",IF(COUNTIFS('MASTER BAHAN'!$A$5:$A$504,E207)=0,"BELUM ADA",INDEX('MASTER BAHAN'!$D$5:$D$504,MATCH(E207,'MASTER BAHAN'!$A$5:$A$504,0))))</f>
        <v/>
      </c>
      <c r="J207" s="0" t="str">
        <f aca="false">IF(A207="","",IF(OR(NOT(ISNUMBER(G207)),NOT(ISNUMBER(I207))),"BELUM LENGKAP",ROUND(G207*I207,0)))</f>
        <v/>
      </c>
      <c r="M207" s="24" t="str">
        <f aca="false">IF(A207="","",COUNTIF($A$5:A207,A207))</f>
        <v/>
      </c>
      <c r="N207" s="24" t="str">
        <f aca="false">IF(A207="","",A207&amp;"|"&amp;M207)</f>
        <v/>
      </c>
    </row>
    <row r="208" customFormat="false" ht="15" hidden="false" customHeight="false" outlineLevel="0" collapsed="false">
      <c r="F208" s="0" t="str">
        <f aca="false">IF(E208="","",IF(COUNTIFS('MASTER BAHAN'!$A$5:$A$504,E208)=0,"BELUM ADA",INDEX('MASTER BAHAN'!$B$5:$B$504,MATCH(E208,'MASTER BAHAN'!$A$5:$A$504,0))))</f>
        <v/>
      </c>
      <c r="H208" s="0" t="str">
        <f aca="false">IF(E208="","",IF(COUNTIFS('MASTER BAHAN'!$A$5:$A$504,E208)=0,"BELUM ADA",INDEX('MASTER BAHAN'!$D$5:$D$504,MATCH(E208,'MASTER BAHAN'!$A$5:$A$504,0))))</f>
        <v/>
      </c>
      <c r="J208" s="0" t="str">
        <f aca="false">IF(A208="","",IF(OR(NOT(ISNUMBER(G208)),NOT(ISNUMBER(I208))),"BELUM LENGKAP",ROUND(G208*I208,0)))</f>
        <v/>
      </c>
      <c r="M208" s="24" t="str">
        <f aca="false">IF(A208="","",COUNTIF($A$5:A208,A208))</f>
        <v/>
      </c>
      <c r="N208" s="24" t="str">
        <f aca="false">IF(A208="","",A208&amp;"|"&amp;M208)</f>
        <v/>
      </c>
    </row>
    <row r="209" customFormat="false" ht="15" hidden="false" customHeight="false" outlineLevel="0" collapsed="false">
      <c r="F209" s="0" t="str">
        <f aca="false">IF(E209="","",IF(COUNTIFS('MASTER BAHAN'!$A$5:$A$504,E209)=0,"BELUM ADA",INDEX('MASTER BAHAN'!$B$5:$B$504,MATCH(E209,'MASTER BAHAN'!$A$5:$A$504,0))))</f>
        <v/>
      </c>
      <c r="H209" s="0" t="str">
        <f aca="false">IF(E209="","",IF(COUNTIFS('MASTER BAHAN'!$A$5:$A$504,E209)=0,"BELUM ADA",INDEX('MASTER BAHAN'!$D$5:$D$504,MATCH(E209,'MASTER BAHAN'!$A$5:$A$504,0))))</f>
        <v/>
      </c>
      <c r="J209" s="0" t="str">
        <f aca="false">IF(A209="","",IF(OR(NOT(ISNUMBER(G209)),NOT(ISNUMBER(I209))),"BELUM LENGKAP",ROUND(G209*I209,0)))</f>
        <v/>
      </c>
      <c r="M209" s="24" t="str">
        <f aca="false">IF(A209="","",COUNTIF($A$5:A209,A209))</f>
        <v/>
      </c>
      <c r="N209" s="24" t="str">
        <f aca="false">IF(A209="","",A209&amp;"|"&amp;M209)</f>
        <v/>
      </c>
    </row>
    <row r="210" customFormat="false" ht="15" hidden="false" customHeight="false" outlineLevel="0" collapsed="false">
      <c r="F210" s="0" t="str">
        <f aca="false">IF(E210="","",IF(COUNTIFS('MASTER BAHAN'!$A$5:$A$504,E210)=0,"BELUM ADA",INDEX('MASTER BAHAN'!$B$5:$B$504,MATCH(E210,'MASTER BAHAN'!$A$5:$A$504,0))))</f>
        <v/>
      </c>
      <c r="H210" s="0" t="str">
        <f aca="false">IF(E210="","",IF(COUNTIFS('MASTER BAHAN'!$A$5:$A$504,E210)=0,"BELUM ADA",INDEX('MASTER BAHAN'!$D$5:$D$504,MATCH(E210,'MASTER BAHAN'!$A$5:$A$504,0))))</f>
        <v/>
      </c>
      <c r="J210" s="0" t="str">
        <f aca="false">IF(A210="","",IF(OR(NOT(ISNUMBER(G210)),NOT(ISNUMBER(I210))),"BELUM LENGKAP",ROUND(G210*I210,0)))</f>
        <v/>
      </c>
      <c r="M210" s="24" t="str">
        <f aca="false">IF(A210="","",COUNTIF($A$5:A210,A210))</f>
        <v/>
      </c>
      <c r="N210" s="24" t="str">
        <f aca="false">IF(A210="","",A210&amp;"|"&amp;M210)</f>
        <v/>
      </c>
    </row>
    <row r="211" customFormat="false" ht="15" hidden="false" customHeight="false" outlineLevel="0" collapsed="false">
      <c r="F211" s="0" t="str">
        <f aca="false">IF(E211="","",IF(COUNTIFS('MASTER BAHAN'!$A$5:$A$504,E211)=0,"BELUM ADA",INDEX('MASTER BAHAN'!$B$5:$B$504,MATCH(E211,'MASTER BAHAN'!$A$5:$A$504,0))))</f>
        <v/>
      </c>
      <c r="H211" s="0" t="str">
        <f aca="false">IF(E211="","",IF(COUNTIFS('MASTER BAHAN'!$A$5:$A$504,E211)=0,"BELUM ADA",INDEX('MASTER BAHAN'!$D$5:$D$504,MATCH(E211,'MASTER BAHAN'!$A$5:$A$504,0))))</f>
        <v/>
      </c>
      <c r="J211" s="0" t="str">
        <f aca="false">IF(A211="","",IF(OR(NOT(ISNUMBER(G211)),NOT(ISNUMBER(I211))),"BELUM LENGKAP",ROUND(G211*I211,0)))</f>
        <v/>
      </c>
      <c r="M211" s="24" t="str">
        <f aca="false">IF(A211="","",COUNTIF($A$5:A211,A211))</f>
        <v/>
      </c>
      <c r="N211" s="24" t="str">
        <f aca="false">IF(A211="","",A211&amp;"|"&amp;M211)</f>
        <v/>
      </c>
    </row>
    <row r="212" customFormat="false" ht="15" hidden="false" customHeight="false" outlineLevel="0" collapsed="false">
      <c r="F212" s="0" t="str">
        <f aca="false">IF(E212="","",IF(COUNTIFS('MASTER BAHAN'!$A$5:$A$504,E212)=0,"BELUM ADA",INDEX('MASTER BAHAN'!$B$5:$B$504,MATCH(E212,'MASTER BAHAN'!$A$5:$A$504,0))))</f>
        <v/>
      </c>
      <c r="H212" s="0" t="str">
        <f aca="false">IF(E212="","",IF(COUNTIFS('MASTER BAHAN'!$A$5:$A$504,E212)=0,"BELUM ADA",INDEX('MASTER BAHAN'!$D$5:$D$504,MATCH(E212,'MASTER BAHAN'!$A$5:$A$504,0))))</f>
        <v/>
      </c>
      <c r="J212" s="0" t="str">
        <f aca="false">IF(A212="","",IF(OR(NOT(ISNUMBER(G212)),NOT(ISNUMBER(I212))),"BELUM LENGKAP",ROUND(G212*I212,0)))</f>
        <v/>
      </c>
      <c r="M212" s="24" t="str">
        <f aca="false">IF(A212="","",COUNTIF($A$5:A212,A212))</f>
        <v/>
      </c>
      <c r="N212" s="24" t="str">
        <f aca="false">IF(A212="","",A212&amp;"|"&amp;M212)</f>
        <v/>
      </c>
    </row>
    <row r="213" customFormat="false" ht="15" hidden="false" customHeight="false" outlineLevel="0" collapsed="false">
      <c r="F213" s="0" t="str">
        <f aca="false">IF(E213="","",IF(COUNTIFS('MASTER BAHAN'!$A$5:$A$504,E213)=0,"BELUM ADA",INDEX('MASTER BAHAN'!$B$5:$B$504,MATCH(E213,'MASTER BAHAN'!$A$5:$A$504,0))))</f>
        <v/>
      </c>
      <c r="H213" s="0" t="str">
        <f aca="false">IF(E213="","",IF(COUNTIFS('MASTER BAHAN'!$A$5:$A$504,E213)=0,"BELUM ADA",INDEX('MASTER BAHAN'!$D$5:$D$504,MATCH(E213,'MASTER BAHAN'!$A$5:$A$504,0))))</f>
        <v/>
      </c>
      <c r="J213" s="0" t="str">
        <f aca="false">IF(A213="","",IF(OR(NOT(ISNUMBER(G213)),NOT(ISNUMBER(I213))),"BELUM LENGKAP",ROUND(G213*I213,0)))</f>
        <v/>
      </c>
      <c r="M213" s="24" t="str">
        <f aca="false">IF(A213="","",COUNTIF($A$5:A213,A213))</f>
        <v/>
      </c>
      <c r="N213" s="24" t="str">
        <f aca="false">IF(A213="","",A213&amp;"|"&amp;M213)</f>
        <v/>
      </c>
    </row>
    <row r="214" customFormat="false" ht="15" hidden="false" customHeight="false" outlineLevel="0" collapsed="false">
      <c r="F214" s="0" t="str">
        <f aca="false">IF(E214="","",IF(COUNTIFS('MASTER BAHAN'!$A$5:$A$504,E214)=0,"BELUM ADA",INDEX('MASTER BAHAN'!$B$5:$B$504,MATCH(E214,'MASTER BAHAN'!$A$5:$A$504,0))))</f>
        <v/>
      </c>
      <c r="H214" s="0" t="str">
        <f aca="false">IF(E214="","",IF(COUNTIFS('MASTER BAHAN'!$A$5:$A$504,E214)=0,"BELUM ADA",INDEX('MASTER BAHAN'!$D$5:$D$504,MATCH(E214,'MASTER BAHAN'!$A$5:$A$504,0))))</f>
        <v/>
      </c>
      <c r="J214" s="0" t="str">
        <f aca="false">IF(A214="","",IF(OR(NOT(ISNUMBER(G214)),NOT(ISNUMBER(I214))),"BELUM LENGKAP",ROUND(G214*I214,0)))</f>
        <v/>
      </c>
      <c r="M214" s="24" t="str">
        <f aca="false">IF(A214="","",COUNTIF($A$5:A214,A214))</f>
        <v/>
      </c>
      <c r="N214" s="24" t="str">
        <f aca="false">IF(A214="","",A214&amp;"|"&amp;M214)</f>
        <v/>
      </c>
    </row>
    <row r="215" customFormat="false" ht="15" hidden="false" customHeight="false" outlineLevel="0" collapsed="false">
      <c r="F215" s="0" t="str">
        <f aca="false">IF(E215="","",IF(COUNTIFS('MASTER BAHAN'!$A$5:$A$504,E215)=0,"BELUM ADA",INDEX('MASTER BAHAN'!$B$5:$B$504,MATCH(E215,'MASTER BAHAN'!$A$5:$A$504,0))))</f>
        <v/>
      </c>
      <c r="H215" s="0" t="str">
        <f aca="false">IF(E215="","",IF(COUNTIFS('MASTER BAHAN'!$A$5:$A$504,E215)=0,"BELUM ADA",INDEX('MASTER BAHAN'!$D$5:$D$504,MATCH(E215,'MASTER BAHAN'!$A$5:$A$504,0))))</f>
        <v/>
      </c>
      <c r="J215" s="0" t="str">
        <f aca="false">IF(A215="","",IF(OR(NOT(ISNUMBER(G215)),NOT(ISNUMBER(I215))),"BELUM LENGKAP",ROUND(G215*I215,0)))</f>
        <v/>
      </c>
      <c r="M215" s="24" t="str">
        <f aca="false">IF(A215="","",COUNTIF($A$5:A215,A215))</f>
        <v/>
      </c>
      <c r="N215" s="24" t="str">
        <f aca="false">IF(A215="","",A215&amp;"|"&amp;M215)</f>
        <v/>
      </c>
    </row>
    <row r="216" customFormat="false" ht="15" hidden="false" customHeight="false" outlineLevel="0" collapsed="false">
      <c r="F216" s="0" t="str">
        <f aca="false">IF(E216="","",IF(COUNTIFS('MASTER BAHAN'!$A$5:$A$504,E216)=0,"BELUM ADA",INDEX('MASTER BAHAN'!$B$5:$B$504,MATCH(E216,'MASTER BAHAN'!$A$5:$A$504,0))))</f>
        <v/>
      </c>
      <c r="H216" s="0" t="str">
        <f aca="false">IF(E216="","",IF(COUNTIFS('MASTER BAHAN'!$A$5:$A$504,E216)=0,"BELUM ADA",INDEX('MASTER BAHAN'!$D$5:$D$504,MATCH(E216,'MASTER BAHAN'!$A$5:$A$504,0))))</f>
        <v/>
      </c>
      <c r="J216" s="0" t="str">
        <f aca="false">IF(A216="","",IF(OR(NOT(ISNUMBER(G216)),NOT(ISNUMBER(I216))),"BELUM LENGKAP",ROUND(G216*I216,0)))</f>
        <v/>
      </c>
      <c r="M216" s="24" t="str">
        <f aca="false">IF(A216="","",COUNTIF($A$5:A216,A216))</f>
        <v/>
      </c>
      <c r="N216" s="24" t="str">
        <f aca="false">IF(A216="","",A216&amp;"|"&amp;M216)</f>
        <v/>
      </c>
    </row>
    <row r="217" customFormat="false" ht="15" hidden="false" customHeight="false" outlineLevel="0" collapsed="false">
      <c r="F217" s="0" t="str">
        <f aca="false">IF(E217="","",IF(COUNTIFS('MASTER BAHAN'!$A$5:$A$504,E217)=0,"BELUM ADA",INDEX('MASTER BAHAN'!$B$5:$B$504,MATCH(E217,'MASTER BAHAN'!$A$5:$A$504,0))))</f>
        <v/>
      </c>
      <c r="H217" s="0" t="str">
        <f aca="false">IF(E217="","",IF(COUNTIFS('MASTER BAHAN'!$A$5:$A$504,E217)=0,"BELUM ADA",INDEX('MASTER BAHAN'!$D$5:$D$504,MATCH(E217,'MASTER BAHAN'!$A$5:$A$504,0))))</f>
        <v/>
      </c>
      <c r="J217" s="0" t="str">
        <f aca="false">IF(A217="","",IF(OR(NOT(ISNUMBER(G217)),NOT(ISNUMBER(I217))),"BELUM LENGKAP",ROUND(G217*I217,0)))</f>
        <v/>
      </c>
      <c r="M217" s="24" t="str">
        <f aca="false">IF(A217="","",COUNTIF($A$5:A217,A217))</f>
        <v/>
      </c>
      <c r="N217" s="24" t="str">
        <f aca="false">IF(A217="","",A217&amp;"|"&amp;M217)</f>
        <v/>
      </c>
    </row>
    <row r="218" customFormat="false" ht="15" hidden="false" customHeight="false" outlineLevel="0" collapsed="false">
      <c r="F218" s="0" t="str">
        <f aca="false">IF(E218="","",IF(COUNTIFS('MASTER BAHAN'!$A$5:$A$504,E218)=0,"BELUM ADA",INDEX('MASTER BAHAN'!$B$5:$B$504,MATCH(E218,'MASTER BAHAN'!$A$5:$A$504,0))))</f>
        <v/>
      </c>
      <c r="H218" s="0" t="str">
        <f aca="false">IF(E218="","",IF(COUNTIFS('MASTER BAHAN'!$A$5:$A$504,E218)=0,"BELUM ADA",INDEX('MASTER BAHAN'!$D$5:$D$504,MATCH(E218,'MASTER BAHAN'!$A$5:$A$504,0))))</f>
        <v/>
      </c>
      <c r="J218" s="0" t="str">
        <f aca="false">IF(A218="","",IF(OR(NOT(ISNUMBER(G218)),NOT(ISNUMBER(I218))),"BELUM LENGKAP",ROUND(G218*I218,0)))</f>
        <v/>
      </c>
      <c r="M218" s="24" t="str">
        <f aca="false">IF(A218="","",COUNTIF($A$5:A218,A218))</f>
        <v/>
      </c>
      <c r="N218" s="24" t="str">
        <f aca="false">IF(A218="","",A218&amp;"|"&amp;M218)</f>
        <v/>
      </c>
    </row>
    <row r="219" customFormat="false" ht="15" hidden="false" customHeight="false" outlineLevel="0" collapsed="false">
      <c r="F219" s="0" t="str">
        <f aca="false">IF(E219="","",IF(COUNTIFS('MASTER BAHAN'!$A$5:$A$504,E219)=0,"BELUM ADA",INDEX('MASTER BAHAN'!$B$5:$B$504,MATCH(E219,'MASTER BAHAN'!$A$5:$A$504,0))))</f>
        <v/>
      </c>
      <c r="H219" s="0" t="str">
        <f aca="false">IF(E219="","",IF(COUNTIFS('MASTER BAHAN'!$A$5:$A$504,E219)=0,"BELUM ADA",INDEX('MASTER BAHAN'!$D$5:$D$504,MATCH(E219,'MASTER BAHAN'!$A$5:$A$504,0))))</f>
        <v/>
      </c>
      <c r="J219" s="0" t="str">
        <f aca="false">IF(A219="","",IF(OR(NOT(ISNUMBER(G219)),NOT(ISNUMBER(I219))),"BELUM LENGKAP",ROUND(G219*I219,0)))</f>
        <v/>
      </c>
      <c r="M219" s="24" t="str">
        <f aca="false">IF(A219="","",COUNTIF($A$5:A219,A219))</f>
        <v/>
      </c>
      <c r="N219" s="24" t="str">
        <f aca="false">IF(A219="","",A219&amp;"|"&amp;M219)</f>
        <v/>
      </c>
    </row>
    <row r="220" customFormat="false" ht="15" hidden="false" customHeight="false" outlineLevel="0" collapsed="false">
      <c r="F220" s="0" t="str">
        <f aca="false">IF(E220="","",IF(COUNTIFS('MASTER BAHAN'!$A$5:$A$504,E220)=0,"BELUM ADA",INDEX('MASTER BAHAN'!$B$5:$B$504,MATCH(E220,'MASTER BAHAN'!$A$5:$A$504,0))))</f>
        <v/>
      </c>
      <c r="H220" s="0" t="str">
        <f aca="false">IF(E220="","",IF(COUNTIFS('MASTER BAHAN'!$A$5:$A$504,E220)=0,"BELUM ADA",INDEX('MASTER BAHAN'!$D$5:$D$504,MATCH(E220,'MASTER BAHAN'!$A$5:$A$504,0))))</f>
        <v/>
      </c>
      <c r="J220" s="0" t="str">
        <f aca="false">IF(A220="","",IF(OR(NOT(ISNUMBER(G220)),NOT(ISNUMBER(I220))),"BELUM LENGKAP",ROUND(G220*I220,0)))</f>
        <v/>
      </c>
      <c r="M220" s="24" t="str">
        <f aca="false">IF(A220="","",COUNTIF($A$5:A220,A220))</f>
        <v/>
      </c>
      <c r="N220" s="24" t="str">
        <f aca="false">IF(A220="","",A220&amp;"|"&amp;M220)</f>
        <v/>
      </c>
    </row>
    <row r="221" customFormat="false" ht="15" hidden="false" customHeight="false" outlineLevel="0" collapsed="false">
      <c r="F221" s="0" t="str">
        <f aca="false">IF(E221="","",IF(COUNTIFS('MASTER BAHAN'!$A$5:$A$504,E221)=0,"BELUM ADA",INDEX('MASTER BAHAN'!$B$5:$B$504,MATCH(E221,'MASTER BAHAN'!$A$5:$A$504,0))))</f>
        <v/>
      </c>
      <c r="H221" s="0" t="str">
        <f aca="false">IF(E221="","",IF(COUNTIFS('MASTER BAHAN'!$A$5:$A$504,E221)=0,"BELUM ADA",INDEX('MASTER BAHAN'!$D$5:$D$504,MATCH(E221,'MASTER BAHAN'!$A$5:$A$504,0))))</f>
        <v/>
      </c>
      <c r="J221" s="0" t="str">
        <f aca="false">IF(A221="","",IF(OR(NOT(ISNUMBER(G221)),NOT(ISNUMBER(I221))),"BELUM LENGKAP",ROUND(G221*I221,0)))</f>
        <v/>
      </c>
      <c r="M221" s="24" t="str">
        <f aca="false">IF(A221="","",COUNTIF($A$5:A221,A221))</f>
        <v/>
      </c>
      <c r="N221" s="24" t="str">
        <f aca="false">IF(A221="","",A221&amp;"|"&amp;M221)</f>
        <v/>
      </c>
    </row>
    <row r="222" customFormat="false" ht="15" hidden="false" customHeight="false" outlineLevel="0" collapsed="false">
      <c r="F222" s="0" t="str">
        <f aca="false">IF(E222="","",IF(COUNTIFS('MASTER BAHAN'!$A$5:$A$504,E222)=0,"BELUM ADA",INDEX('MASTER BAHAN'!$B$5:$B$504,MATCH(E222,'MASTER BAHAN'!$A$5:$A$504,0))))</f>
        <v/>
      </c>
      <c r="H222" s="0" t="str">
        <f aca="false">IF(E222="","",IF(COUNTIFS('MASTER BAHAN'!$A$5:$A$504,E222)=0,"BELUM ADA",INDEX('MASTER BAHAN'!$D$5:$D$504,MATCH(E222,'MASTER BAHAN'!$A$5:$A$504,0))))</f>
        <v/>
      </c>
      <c r="J222" s="0" t="str">
        <f aca="false">IF(A222="","",IF(OR(NOT(ISNUMBER(G222)),NOT(ISNUMBER(I222))),"BELUM LENGKAP",ROUND(G222*I222,0)))</f>
        <v/>
      </c>
      <c r="M222" s="24" t="str">
        <f aca="false">IF(A222="","",COUNTIF($A$5:A222,A222))</f>
        <v/>
      </c>
      <c r="N222" s="24" t="str">
        <f aca="false">IF(A222="","",A222&amp;"|"&amp;M222)</f>
        <v/>
      </c>
    </row>
    <row r="223" customFormat="false" ht="15" hidden="false" customHeight="false" outlineLevel="0" collapsed="false">
      <c r="F223" s="0" t="str">
        <f aca="false">IF(E223="","",IF(COUNTIFS('MASTER BAHAN'!$A$5:$A$504,E223)=0,"BELUM ADA",INDEX('MASTER BAHAN'!$B$5:$B$504,MATCH(E223,'MASTER BAHAN'!$A$5:$A$504,0))))</f>
        <v/>
      </c>
      <c r="H223" s="0" t="str">
        <f aca="false">IF(E223="","",IF(COUNTIFS('MASTER BAHAN'!$A$5:$A$504,E223)=0,"BELUM ADA",INDEX('MASTER BAHAN'!$D$5:$D$504,MATCH(E223,'MASTER BAHAN'!$A$5:$A$504,0))))</f>
        <v/>
      </c>
      <c r="J223" s="0" t="str">
        <f aca="false">IF(A223="","",IF(OR(NOT(ISNUMBER(G223)),NOT(ISNUMBER(I223))),"BELUM LENGKAP",ROUND(G223*I223,0)))</f>
        <v/>
      </c>
      <c r="M223" s="24" t="str">
        <f aca="false">IF(A223="","",COUNTIF($A$5:A223,A223))</f>
        <v/>
      </c>
      <c r="N223" s="24" t="str">
        <f aca="false">IF(A223="","",A223&amp;"|"&amp;M223)</f>
        <v/>
      </c>
    </row>
    <row r="224" customFormat="false" ht="15" hidden="false" customHeight="false" outlineLevel="0" collapsed="false">
      <c r="F224" s="0" t="str">
        <f aca="false">IF(E224="","",IF(COUNTIFS('MASTER BAHAN'!$A$5:$A$504,E224)=0,"BELUM ADA",INDEX('MASTER BAHAN'!$B$5:$B$504,MATCH(E224,'MASTER BAHAN'!$A$5:$A$504,0))))</f>
        <v/>
      </c>
      <c r="H224" s="0" t="str">
        <f aca="false">IF(E224="","",IF(COUNTIFS('MASTER BAHAN'!$A$5:$A$504,E224)=0,"BELUM ADA",INDEX('MASTER BAHAN'!$D$5:$D$504,MATCH(E224,'MASTER BAHAN'!$A$5:$A$504,0))))</f>
        <v/>
      </c>
      <c r="J224" s="0" t="str">
        <f aca="false">IF(A224="","",IF(OR(NOT(ISNUMBER(G224)),NOT(ISNUMBER(I224))),"BELUM LENGKAP",ROUND(G224*I224,0)))</f>
        <v/>
      </c>
      <c r="M224" s="24" t="str">
        <f aca="false">IF(A224="","",COUNTIF($A$5:A224,A224))</f>
        <v/>
      </c>
      <c r="N224" s="24" t="str">
        <f aca="false">IF(A224="","",A224&amp;"|"&amp;M224)</f>
        <v/>
      </c>
    </row>
    <row r="225" customFormat="false" ht="15" hidden="false" customHeight="false" outlineLevel="0" collapsed="false">
      <c r="F225" s="0" t="str">
        <f aca="false">IF(E225="","",IF(COUNTIFS('MASTER BAHAN'!$A$5:$A$504,E225)=0,"BELUM ADA",INDEX('MASTER BAHAN'!$B$5:$B$504,MATCH(E225,'MASTER BAHAN'!$A$5:$A$504,0))))</f>
        <v/>
      </c>
      <c r="H225" s="0" t="str">
        <f aca="false">IF(E225="","",IF(COUNTIFS('MASTER BAHAN'!$A$5:$A$504,E225)=0,"BELUM ADA",INDEX('MASTER BAHAN'!$D$5:$D$504,MATCH(E225,'MASTER BAHAN'!$A$5:$A$504,0))))</f>
        <v/>
      </c>
      <c r="J225" s="0" t="str">
        <f aca="false">IF(A225="","",IF(OR(NOT(ISNUMBER(G225)),NOT(ISNUMBER(I225))),"BELUM LENGKAP",ROUND(G225*I225,0)))</f>
        <v/>
      </c>
      <c r="M225" s="24" t="str">
        <f aca="false">IF(A225="","",COUNTIF($A$5:A225,A225))</f>
        <v/>
      </c>
      <c r="N225" s="24" t="str">
        <f aca="false">IF(A225="","",A225&amp;"|"&amp;M225)</f>
        <v/>
      </c>
    </row>
    <row r="226" customFormat="false" ht="15" hidden="false" customHeight="false" outlineLevel="0" collapsed="false">
      <c r="F226" s="0" t="str">
        <f aca="false">IF(E226="","",IF(COUNTIFS('MASTER BAHAN'!$A$5:$A$504,E226)=0,"BELUM ADA",INDEX('MASTER BAHAN'!$B$5:$B$504,MATCH(E226,'MASTER BAHAN'!$A$5:$A$504,0))))</f>
        <v/>
      </c>
      <c r="H226" s="0" t="str">
        <f aca="false">IF(E226="","",IF(COUNTIFS('MASTER BAHAN'!$A$5:$A$504,E226)=0,"BELUM ADA",INDEX('MASTER BAHAN'!$D$5:$D$504,MATCH(E226,'MASTER BAHAN'!$A$5:$A$504,0))))</f>
        <v/>
      </c>
      <c r="J226" s="0" t="str">
        <f aca="false">IF(A226="","",IF(OR(NOT(ISNUMBER(G226)),NOT(ISNUMBER(I226))),"BELUM LENGKAP",ROUND(G226*I226,0)))</f>
        <v/>
      </c>
      <c r="M226" s="24" t="str">
        <f aca="false">IF(A226="","",COUNTIF($A$5:A226,A226))</f>
        <v/>
      </c>
      <c r="N226" s="24" t="str">
        <f aca="false">IF(A226="","",A226&amp;"|"&amp;M226)</f>
        <v/>
      </c>
    </row>
    <row r="227" customFormat="false" ht="15" hidden="false" customHeight="false" outlineLevel="0" collapsed="false">
      <c r="F227" s="0" t="str">
        <f aca="false">IF(E227="","",IF(COUNTIFS('MASTER BAHAN'!$A$5:$A$504,E227)=0,"BELUM ADA",INDEX('MASTER BAHAN'!$B$5:$B$504,MATCH(E227,'MASTER BAHAN'!$A$5:$A$504,0))))</f>
        <v/>
      </c>
      <c r="H227" s="0" t="str">
        <f aca="false">IF(E227="","",IF(COUNTIFS('MASTER BAHAN'!$A$5:$A$504,E227)=0,"BELUM ADA",INDEX('MASTER BAHAN'!$D$5:$D$504,MATCH(E227,'MASTER BAHAN'!$A$5:$A$504,0))))</f>
        <v/>
      </c>
      <c r="J227" s="0" t="str">
        <f aca="false">IF(A227="","",IF(OR(NOT(ISNUMBER(G227)),NOT(ISNUMBER(I227))),"BELUM LENGKAP",ROUND(G227*I227,0)))</f>
        <v/>
      </c>
      <c r="M227" s="24" t="str">
        <f aca="false">IF(A227="","",COUNTIF($A$5:A227,A227))</f>
        <v/>
      </c>
      <c r="N227" s="24" t="str">
        <f aca="false">IF(A227="","",A227&amp;"|"&amp;M227)</f>
        <v/>
      </c>
    </row>
    <row r="228" customFormat="false" ht="15" hidden="false" customHeight="false" outlineLevel="0" collapsed="false">
      <c r="F228" s="0" t="str">
        <f aca="false">IF(E228="","",IF(COUNTIFS('MASTER BAHAN'!$A$5:$A$504,E228)=0,"BELUM ADA",INDEX('MASTER BAHAN'!$B$5:$B$504,MATCH(E228,'MASTER BAHAN'!$A$5:$A$504,0))))</f>
        <v/>
      </c>
      <c r="H228" s="0" t="str">
        <f aca="false">IF(E228="","",IF(COUNTIFS('MASTER BAHAN'!$A$5:$A$504,E228)=0,"BELUM ADA",INDEX('MASTER BAHAN'!$D$5:$D$504,MATCH(E228,'MASTER BAHAN'!$A$5:$A$504,0))))</f>
        <v/>
      </c>
      <c r="J228" s="0" t="str">
        <f aca="false">IF(A228="","",IF(OR(NOT(ISNUMBER(G228)),NOT(ISNUMBER(I228))),"BELUM LENGKAP",ROUND(G228*I228,0)))</f>
        <v/>
      </c>
      <c r="M228" s="24" t="str">
        <f aca="false">IF(A228="","",COUNTIF($A$5:A228,A228))</f>
        <v/>
      </c>
      <c r="N228" s="24" t="str">
        <f aca="false">IF(A228="","",A228&amp;"|"&amp;M228)</f>
        <v/>
      </c>
    </row>
    <row r="229" customFormat="false" ht="15" hidden="false" customHeight="false" outlineLevel="0" collapsed="false">
      <c r="F229" s="0" t="str">
        <f aca="false">IF(E229="","",IF(COUNTIFS('MASTER BAHAN'!$A$5:$A$504,E229)=0,"BELUM ADA",INDEX('MASTER BAHAN'!$B$5:$B$504,MATCH(E229,'MASTER BAHAN'!$A$5:$A$504,0))))</f>
        <v/>
      </c>
      <c r="H229" s="0" t="str">
        <f aca="false">IF(E229="","",IF(COUNTIFS('MASTER BAHAN'!$A$5:$A$504,E229)=0,"BELUM ADA",INDEX('MASTER BAHAN'!$D$5:$D$504,MATCH(E229,'MASTER BAHAN'!$A$5:$A$504,0))))</f>
        <v/>
      </c>
      <c r="J229" s="0" t="str">
        <f aca="false">IF(A229="","",IF(OR(NOT(ISNUMBER(G229)),NOT(ISNUMBER(I229))),"BELUM LENGKAP",ROUND(G229*I229,0)))</f>
        <v/>
      </c>
      <c r="M229" s="24" t="str">
        <f aca="false">IF(A229="","",COUNTIF($A$5:A229,A229))</f>
        <v/>
      </c>
      <c r="N229" s="24" t="str">
        <f aca="false">IF(A229="","",A229&amp;"|"&amp;M229)</f>
        <v/>
      </c>
    </row>
    <row r="230" customFormat="false" ht="15" hidden="false" customHeight="false" outlineLevel="0" collapsed="false">
      <c r="F230" s="0" t="str">
        <f aca="false">IF(E230="","",IF(COUNTIFS('MASTER BAHAN'!$A$5:$A$504,E230)=0,"BELUM ADA",INDEX('MASTER BAHAN'!$B$5:$B$504,MATCH(E230,'MASTER BAHAN'!$A$5:$A$504,0))))</f>
        <v/>
      </c>
      <c r="H230" s="0" t="str">
        <f aca="false">IF(E230="","",IF(COUNTIFS('MASTER BAHAN'!$A$5:$A$504,E230)=0,"BELUM ADA",INDEX('MASTER BAHAN'!$D$5:$D$504,MATCH(E230,'MASTER BAHAN'!$A$5:$A$504,0))))</f>
        <v/>
      </c>
      <c r="J230" s="0" t="str">
        <f aca="false">IF(A230="","",IF(OR(NOT(ISNUMBER(G230)),NOT(ISNUMBER(I230))),"BELUM LENGKAP",ROUND(G230*I230,0)))</f>
        <v/>
      </c>
      <c r="M230" s="24" t="str">
        <f aca="false">IF(A230="","",COUNTIF($A$5:A230,A230))</f>
        <v/>
      </c>
      <c r="N230" s="24" t="str">
        <f aca="false">IF(A230="","",A230&amp;"|"&amp;M230)</f>
        <v/>
      </c>
    </row>
    <row r="231" customFormat="false" ht="15" hidden="false" customHeight="false" outlineLevel="0" collapsed="false">
      <c r="F231" s="0" t="str">
        <f aca="false">IF(E231="","",IF(COUNTIFS('MASTER BAHAN'!$A$5:$A$504,E231)=0,"BELUM ADA",INDEX('MASTER BAHAN'!$B$5:$B$504,MATCH(E231,'MASTER BAHAN'!$A$5:$A$504,0))))</f>
        <v/>
      </c>
      <c r="H231" s="0" t="str">
        <f aca="false">IF(E231="","",IF(COUNTIFS('MASTER BAHAN'!$A$5:$A$504,E231)=0,"BELUM ADA",INDEX('MASTER BAHAN'!$D$5:$D$504,MATCH(E231,'MASTER BAHAN'!$A$5:$A$504,0))))</f>
        <v/>
      </c>
      <c r="J231" s="0" t="str">
        <f aca="false">IF(A231="","",IF(OR(NOT(ISNUMBER(G231)),NOT(ISNUMBER(I231))),"BELUM LENGKAP",ROUND(G231*I231,0)))</f>
        <v/>
      </c>
      <c r="M231" s="24" t="str">
        <f aca="false">IF(A231="","",COUNTIF($A$5:A231,A231))</f>
        <v/>
      </c>
      <c r="N231" s="24" t="str">
        <f aca="false">IF(A231="","",A231&amp;"|"&amp;M231)</f>
        <v/>
      </c>
    </row>
    <row r="232" customFormat="false" ht="15" hidden="false" customHeight="false" outlineLevel="0" collapsed="false">
      <c r="F232" s="0" t="str">
        <f aca="false">IF(E232="","",IF(COUNTIFS('MASTER BAHAN'!$A$5:$A$504,E232)=0,"BELUM ADA",INDEX('MASTER BAHAN'!$B$5:$B$504,MATCH(E232,'MASTER BAHAN'!$A$5:$A$504,0))))</f>
        <v/>
      </c>
      <c r="H232" s="0" t="str">
        <f aca="false">IF(E232="","",IF(COUNTIFS('MASTER BAHAN'!$A$5:$A$504,E232)=0,"BELUM ADA",INDEX('MASTER BAHAN'!$D$5:$D$504,MATCH(E232,'MASTER BAHAN'!$A$5:$A$504,0))))</f>
        <v/>
      </c>
      <c r="J232" s="0" t="str">
        <f aca="false">IF(A232="","",IF(OR(NOT(ISNUMBER(G232)),NOT(ISNUMBER(I232))),"BELUM LENGKAP",ROUND(G232*I232,0)))</f>
        <v/>
      </c>
      <c r="M232" s="24" t="str">
        <f aca="false">IF(A232="","",COUNTIF($A$5:A232,A232))</f>
        <v/>
      </c>
      <c r="N232" s="24" t="str">
        <f aca="false">IF(A232="","",A232&amp;"|"&amp;M232)</f>
        <v/>
      </c>
    </row>
    <row r="233" customFormat="false" ht="15" hidden="false" customHeight="false" outlineLevel="0" collapsed="false">
      <c r="F233" s="0" t="str">
        <f aca="false">IF(E233="","",IF(COUNTIFS('MASTER BAHAN'!$A$5:$A$504,E233)=0,"BELUM ADA",INDEX('MASTER BAHAN'!$B$5:$B$504,MATCH(E233,'MASTER BAHAN'!$A$5:$A$504,0))))</f>
        <v/>
      </c>
      <c r="H233" s="0" t="str">
        <f aca="false">IF(E233="","",IF(COUNTIFS('MASTER BAHAN'!$A$5:$A$504,E233)=0,"BELUM ADA",INDEX('MASTER BAHAN'!$D$5:$D$504,MATCH(E233,'MASTER BAHAN'!$A$5:$A$504,0))))</f>
        <v/>
      </c>
      <c r="J233" s="0" t="str">
        <f aca="false">IF(A233="","",IF(OR(NOT(ISNUMBER(G233)),NOT(ISNUMBER(I233))),"BELUM LENGKAP",ROUND(G233*I233,0)))</f>
        <v/>
      </c>
      <c r="M233" s="24" t="str">
        <f aca="false">IF(A233="","",COUNTIF($A$5:A233,A233))</f>
        <v/>
      </c>
      <c r="N233" s="24" t="str">
        <f aca="false">IF(A233="","",A233&amp;"|"&amp;M233)</f>
        <v/>
      </c>
    </row>
    <row r="234" customFormat="false" ht="15" hidden="false" customHeight="false" outlineLevel="0" collapsed="false">
      <c r="F234" s="0" t="str">
        <f aca="false">IF(E234="","",IF(COUNTIFS('MASTER BAHAN'!$A$5:$A$504,E234)=0,"BELUM ADA",INDEX('MASTER BAHAN'!$B$5:$B$504,MATCH(E234,'MASTER BAHAN'!$A$5:$A$504,0))))</f>
        <v/>
      </c>
      <c r="H234" s="0" t="str">
        <f aca="false">IF(E234="","",IF(COUNTIFS('MASTER BAHAN'!$A$5:$A$504,E234)=0,"BELUM ADA",INDEX('MASTER BAHAN'!$D$5:$D$504,MATCH(E234,'MASTER BAHAN'!$A$5:$A$504,0))))</f>
        <v/>
      </c>
      <c r="J234" s="0" t="str">
        <f aca="false">IF(A234="","",IF(OR(NOT(ISNUMBER(G234)),NOT(ISNUMBER(I234))),"BELUM LENGKAP",ROUND(G234*I234,0)))</f>
        <v/>
      </c>
      <c r="M234" s="24" t="str">
        <f aca="false">IF(A234="","",COUNTIF($A$5:A234,A234))</f>
        <v/>
      </c>
      <c r="N234" s="24" t="str">
        <f aca="false">IF(A234="","",A234&amp;"|"&amp;M234)</f>
        <v/>
      </c>
    </row>
    <row r="235" customFormat="false" ht="15" hidden="false" customHeight="false" outlineLevel="0" collapsed="false">
      <c r="F235" s="0" t="str">
        <f aca="false">IF(E235="","",IF(COUNTIFS('MASTER BAHAN'!$A$5:$A$504,E235)=0,"BELUM ADA",INDEX('MASTER BAHAN'!$B$5:$B$504,MATCH(E235,'MASTER BAHAN'!$A$5:$A$504,0))))</f>
        <v/>
      </c>
      <c r="H235" s="0" t="str">
        <f aca="false">IF(E235="","",IF(COUNTIFS('MASTER BAHAN'!$A$5:$A$504,E235)=0,"BELUM ADA",INDEX('MASTER BAHAN'!$D$5:$D$504,MATCH(E235,'MASTER BAHAN'!$A$5:$A$504,0))))</f>
        <v/>
      </c>
      <c r="J235" s="0" t="str">
        <f aca="false">IF(A235="","",IF(OR(NOT(ISNUMBER(G235)),NOT(ISNUMBER(I235))),"BELUM LENGKAP",ROUND(G235*I235,0)))</f>
        <v/>
      </c>
      <c r="M235" s="24" t="str">
        <f aca="false">IF(A235="","",COUNTIF($A$5:A235,A235))</f>
        <v/>
      </c>
      <c r="N235" s="24" t="str">
        <f aca="false">IF(A235="","",A235&amp;"|"&amp;M235)</f>
        <v/>
      </c>
    </row>
    <row r="236" customFormat="false" ht="15" hidden="false" customHeight="false" outlineLevel="0" collapsed="false">
      <c r="F236" s="0" t="str">
        <f aca="false">IF(E236="","",IF(COUNTIFS('MASTER BAHAN'!$A$5:$A$504,E236)=0,"BELUM ADA",INDEX('MASTER BAHAN'!$B$5:$B$504,MATCH(E236,'MASTER BAHAN'!$A$5:$A$504,0))))</f>
        <v/>
      </c>
      <c r="H236" s="0" t="str">
        <f aca="false">IF(E236="","",IF(COUNTIFS('MASTER BAHAN'!$A$5:$A$504,E236)=0,"BELUM ADA",INDEX('MASTER BAHAN'!$D$5:$D$504,MATCH(E236,'MASTER BAHAN'!$A$5:$A$504,0))))</f>
        <v/>
      </c>
      <c r="J236" s="0" t="str">
        <f aca="false">IF(A236="","",IF(OR(NOT(ISNUMBER(G236)),NOT(ISNUMBER(I236))),"BELUM LENGKAP",ROUND(G236*I236,0)))</f>
        <v/>
      </c>
      <c r="M236" s="24" t="str">
        <f aca="false">IF(A236="","",COUNTIF($A$5:A236,A236))</f>
        <v/>
      </c>
      <c r="N236" s="24" t="str">
        <f aca="false">IF(A236="","",A236&amp;"|"&amp;M236)</f>
        <v/>
      </c>
    </row>
    <row r="237" customFormat="false" ht="15" hidden="false" customHeight="false" outlineLevel="0" collapsed="false">
      <c r="F237" s="0" t="str">
        <f aca="false">IF(E237="","",IF(COUNTIFS('MASTER BAHAN'!$A$5:$A$504,E237)=0,"BELUM ADA",INDEX('MASTER BAHAN'!$B$5:$B$504,MATCH(E237,'MASTER BAHAN'!$A$5:$A$504,0))))</f>
        <v/>
      </c>
      <c r="H237" s="0" t="str">
        <f aca="false">IF(E237="","",IF(COUNTIFS('MASTER BAHAN'!$A$5:$A$504,E237)=0,"BELUM ADA",INDEX('MASTER BAHAN'!$D$5:$D$504,MATCH(E237,'MASTER BAHAN'!$A$5:$A$504,0))))</f>
        <v/>
      </c>
      <c r="J237" s="0" t="str">
        <f aca="false">IF(A237="","",IF(OR(NOT(ISNUMBER(G237)),NOT(ISNUMBER(I237))),"BELUM LENGKAP",ROUND(G237*I237,0)))</f>
        <v/>
      </c>
      <c r="M237" s="24" t="str">
        <f aca="false">IF(A237="","",COUNTIF($A$5:A237,A237))</f>
        <v/>
      </c>
      <c r="N237" s="24" t="str">
        <f aca="false">IF(A237="","",A237&amp;"|"&amp;M237)</f>
        <v/>
      </c>
    </row>
    <row r="238" customFormat="false" ht="15" hidden="false" customHeight="false" outlineLevel="0" collapsed="false">
      <c r="F238" s="0" t="str">
        <f aca="false">IF(E238="","",IF(COUNTIFS('MASTER BAHAN'!$A$5:$A$504,E238)=0,"BELUM ADA",INDEX('MASTER BAHAN'!$B$5:$B$504,MATCH(E238,'MASTER BAHAN'!$A$5:$A$504,0))))</f>
        <v/>
      </c>
      <c r="H238" s="0" t="str">
        <f aca="false">IF(E238="","",IF(COUNTIFS('MASTER BAHAN'!$A$5:$A$504,E238)=0,"BELUM ADA",INDEX('MASTER BAHAN'!$D$5:$D$504,MATCH(E238,'MASTER BAHAN'!$A$5:$A$504,0))))</f>
        <v/>
      </c>
      <c r="J238" s="0" t="str">
        <f aca="false">IF(A238="","",IF(OR(NOT(ISNUMBER(G238)),NOT(ISNUMBER(I238))),"BELUM LENGKAP",ROUND(G238*I238,0)))</f>
        <v/>
      </c>
      <c r="M238" s="24" t="str">
        <f aca="false">IF(A238="","",COUNTIF($A$5:A238,A238))</f>
        <v/>
      </c>
      <c r="N238" s="24" t="str">
        <f aca="false">IF(A238="","",A238&amp;"|"&amp;M238)</f>
        <v/>
      </c>
    </row>
    <row r="239" customFormat="false" ht="15" hidden="false" customHeight="false" outlineLevel="0" collapsed="false">
      <c r="F239" s="0" t="str">
        <f aca="false">IF(E239="","",IF(COUNTIFS('MASTER BAHAN'!$A$5:$A$504,E239)=0,"BELUM ADA",INDEX('MASTER BAHAN'!$B$5:$B$504,MATCH(E239,'MASTER BAHAN'!$A$5:$A$504,0))))</f>
        <v/>
      </c>
      <c r="H239" s="0" t="str">
        <f aca="false">IF(E239="","",IF(COUNTIFS('MASTER BAHAN'!$A$5:$A$504,E239)=0,"BELUM ADA",INDEX('MASTER BAHAN'!$D$5:$D$504,MATCH(E239,'MASTER BAHAN'!$A$5:$A$504,0))))</f>
        <v/>
      </c>
      <c r="J239" s="0" t="str">
        <f aca="false">IF(A239="","",IF(OR(NOT(ISNUMBER(G239)),NOT(ISNUMBER(I239))),"BELUM LENGKAP",ROUND(G239*I239,0)))</f>
        <v/>
      </c>
      <c r="M239" s="24" t="str">
        <f aca="false">IF(A239="","",COUNTIF($A$5:A239,A239))</f>
        <v/>
      </c>
      <c r="N239" s="24" t="str">
        <f aca="false">IF(A239="","",A239&amp;"|"&amp;M239)</f>
        <v/>
      </c>
    </row>
    <row r="240" customFormat="false" ht="15" hidden="false" customHeight="false" outlineLevel="0" collapsed="false">
      <c r="F240" s="0" t="str">
        <f aca="false">IF(E240="","",IF(COUNTIFS('MASTER BAHAN'!$A$5:$A$504,E240)=0,"BELUM ADA",INDEX('MASTER BAHAN'!$B$5:$B$504,MATCH(E240,'MASTER BAHAN'!$A$5:$A$504,0))))</f>
        <v/>
      </c>
      <c r="H240" s="0" t="str">
        <f aca="false">IF(E240="","",IF(COUNTIFS('MASTER BAHAN'!$A$5:$A$504,E240)=0,"BELUM ADA",INDEX('MASTER BAHAN'!$D$5:$D$504,MATCH(E240,'MASTER BAHAN'!$A$5:$A$504,0))))</f>
        <v/>
      </c>
      <c r="J240" s="0" t="str">
        <f aca="false">IF(A240="","",IF(OR(NOT(ISNUMBER(G240)),NOT(ISNUMBER(I240))),"BELUM LENGKAP",ROUND(G240*I240,0)))</f>
        <v/>
      </c>
      <c r="M240" s="24" t="str">
        <f aca="false">IF(A240="","",COUNTIF($A$5:A240,A240))</f>
        <v/>
      </c>
      <c r="N240" s="24" t="str">
        <f aca="false">IF(A240="","",A240&amp;"|"&amp;M240)</f>
        <v/>
      </c>
    </row>
    <row r="241" customFormat="false" ht="15" hidden="false" customHeight="false" outlineLevel="0" collapsed="false">
      <c r="F241" s="0" t="str">
        <f aca="false">IF(E241="","",IF(COUNTIFS('MASTER BAHAN'!$A$5:$A$504,E241)=0,"BELUM ADA",INDEX('MASTER BAHAN'!$B$5:$B$504,MATCH(E241,'MASTER BAHAN'!$A$5:$A$504,0))))</f>
        <v/>
      </c>
      <c r="H241" s="0" t="str">
        <f aca="false">IF(E241="","",IF(COUNTIFS('MASTER BAHAN'!$A$5:$A$504,E241)=0,"BELUM ADA",INDEX('MASTER BAHAN'!$D$5:$D$504,MATCH(E241,'MASTER BAHAN'!$A$5:$A$504,0))))</f>
        <v/>
      </c>
      <c r="J241" s="0" t="str">
        <f aca="false">IF(A241="","",IF(OR(NOT(ISNUMBER(G241)),NOT(ISNUMBER(I241))),"BELUM LENGKAP",ROUND(G241*I241,0)))</f>
        <v/>
      </c>
      <c r="M241" s="24" t="str">
        <f aca="false">IF(A241="","",COUNTIF($A$5:A241,A241))</f>
        <v/>
      </c>
      <c r="N241" s="24" t="str">
        <f aca="false">IF(A241="","",A241&amp;"|"&amp;M241)</f>
        <v/>
      </c>
    </row>
    <row r="242" customFormat="false" ht="15" hidden="false" customHeight="false" outlineLevel="0" collapsed="false">
      <c r="F242" s="0" t="str">
        <f aca="false">IF(E242="","",IF(COUNTIFS('MASTER BAHAN'!$A$5:$A$504,E242)=0,"BELUM ADA",INDEX('MASTER BAHAN'!$B$5:$B$504,MATCH(E242,'MASTER BAHAN'!$A$5:$A$504,0))))</f>
        <v/>
      </c>
      <c r="H242" s="0" t="str">
        <f aca="false">IF(E242="","",IF(COUNTIFS('MASTER BAHAN'!$A$5:$A$504,E242)=0,"BELUM ADA",INDEX('MASTER BAHAN'!$D$5:$D$504,MATCH(E242,'MASTER BAHAN'!$A$5:$A$504,0))))</f>
        <v/>
      </c>
      <c r="J242" s="0" t="str">
        <f aca="false">IF(A242="","",IF(OR(NOT(ISNUMBER(G242)),NOT(ISNUMBER(I242))),"BELUM LENGKAP",ROUND(G242*I242,0)))</f>
        <v/>
      </c>
      <c r="M242" s="24" t="str">
        <f aca="false">IF(A242="","",COUNTIF($A$5:A242,A242))</f>
        <v/>
      </c>
      <c r="N242" s="24" t="str">
        <f aca="false">IF(A242="","",A242&amp;"|"&amp;M242)</f>
        <v/>
      </c>
    </row>
    <row r="243" customFormat="false" ht="15" hidden="false" customHeight="false" outlineLevel="0" collapsed="false">
      <c r="F243" s="0" t="str">
        <f aca="false">IF(E243="","",IF(COUNTIFS('MASTER BAHAN'!$A$5:$A$504,E243)=0,"BELUM ADA",INDEX('MASTER BAHAN'!$B$5:$B$504,MATCH(E243,'MASTER BAHAN'!$A$5:$A$504,0))))</f>
        <v/>
      </c>
      <c r="H243" s="0" t="str">
        <f aca="false">IF(E243="","",IF(COUNTIFS('MASTER BAHAN'!$A$5:$A$504,E243)=0,"BELUM ADA",INDEX('MASTER BAHAN'!$D$5:$D$504,MATCH(E243,'MASTER BAHAN'!$A$5:$A$504,0))))</f>
        <v/>
      </c>
      <c r="J243" s="0" t="str">
        <f aca="false">IF(A243="","",IF(OR(NOT(ISNUMBER(G243)),NOT(ISNUMBER(I243))),"BELUM LENGKAP",ROUND(G243*I243,0)))</f>
        <v/>
      </c>
      <c r="M243" s="24" t="str">
        <f aca="false">IF(A243="","",COUNTIF($A$5:A243,A243))</f>
        <v/>
      </c>
      <c r="N243" s="24" t="str">
        <f aca="false">IF(A243="","",A243&amp;"|"&amp;M243)</f>
        <v/>
      </c>
    </row>
    <row r="244" customFormat="false" ht="15" hidden="false" customHeight="false" outlineLevel="0" collapsed="false">
      <c r="F244" s="0" t="str">
        <f aca="false">IF(E244="","",IF(COUNTIFS('MASTER BAHAN'!$A$5:$A$504,E244)=0,"BELUM ADA",INDEX('MASTER BAHAN'!$B$5:$B$504,MATCH(E244,'MASTER BAHAN'!$A$5:$A$504,0))))</f>
        <v/>
      </c>
      <c r="H244" s="0" t="str">
        <f aca="false">IF(E244="","",IF(COUNTIFS('MASTER BAHAN'!$A$5:$A$504,E244)=0,"BELUM ADA",INDEX('MASTER BAHAN'!$D$5:$D$504,MATCH(E244,'MASTER BAHAN'!$A$5:$A$504,0))))</f>
        <v/>
      </c>
      <c r="J244" s="0" t="str">
        <f aca="false">IF(A244="","",IF(OR(NOT(ISNUMBER(G244)),NOT(ISNUMBER(I244))),"BELUM LENGKAP",ROUND(G244*I244,0)))</f>
        <v/>
      </c>
      <c r="M244" s="24" t="str">
        <f aca="false">IF(A244="","",COUNTIF($A$5:A244,A244))</f>
        <v/>
      </c>
      <c r="N244" s="24" t="str">
        <f aca="false">IF(A244="","",A244&amp;"|"&amp;M244)</f>
        <v/>
      </c>
    </row>
    <row r="245" customFormat="false" ht="15" hidden="false" customHeight="false" outlineLevel="0" collapsed="false">
      <c r="F245" s="0" t="str">
        <f aca="false">IF(E245="","",IF(COUNTIFS('MASTER BAHAN'!$A$5:$A$504,E245)=0,"BELUM ADA",INDEX('MASTER BAHAN'!$B$5:$B$504,MATCH(E245,'MASTER BAHAN'!$A$5:$A$504,0))))</f>
        <v/>
      </c>
      <c r="H245" s="0" t="str">
        <f aca="false">IF(E245="","",IF(COUNTIFS('MASTER BAHAN'!$A$5:$A$504,E245)=0,"BELUM ADA",INDEX('MASTER BAHAN'!$D$5:$D$504,MATCH(E245,'MASTER BAHAN'!$A$5:$A$504,0))))</f>
        <v/>
      </c>
      <c r="J245" s="0" t="str">
        <f aca="false">IF(A245="","",IF(OR(NOT(ISNUMBER(G245)),NOT(ISNUMBER(I245))),"BELUM LENGKAP",ROUND(G245*I245,0)))</f>
        <v/>
      </c>
      <c r="M245" s="24" t="str">
        <f aca="false">IF(A245="","",COUNTIF($A$5:A245,A245))</f>
        <v/>
      </c>
      <c r="N245" s="24" t="str">
        <f aca="false">IF(A245="","",A245&amp;"|"&amp;M245)</f>
        <v/>
      </c>
    </row>
    <row r="246" customFormat="false" ht="15" hidden="false" customHeight="false" outlineLevel="0" collapsed="false">
      <c r="F246" s="0" t="str">
        <f aca="false">IF(E246="","",IF(COUNTIFS('MASTER BAHAN'!$A$5:$A$504,E246)=0,"BELUM ADA",INDEX('MASTER BAHAN'!$B$5:$B$504,MATCH(E246,'MASTER BAHAN'!$A$5:$A$504,0))))</f>
        <v/>
      </c>
      <c r="H246" s="0" t="str">
        <f aca="false">IF(E246="","",IF(COUNTIFS('MASTER BAHAN'!$A$5:$A$504,E246)=0,"BELUM ADA",INDEX('MASTER BAHAN'!$D$5:$D$504,MATCH(E246,'MASTER BAHAN'!$A$5:$A$504,0))))</f>
        <v/>
      </c>
      <c r="J246" s="0" t="str">
        <f aca="false">IF(A246="","",IF(OR(NOT(ISNUMBER(G246)),NOT(ISNUMBER(I246))),"BELUM LENGKAP",ROUND(G246*I246,0)))</f>
        <v/>
      </c>
      <c r="M246" s="24" t="str">
        <f aca="false">IF(A246="","",COUNTIF($A$5:A246,A246))</f>
        <v/>
      </c>
      <c r="N246" s="24" t="str">
        <f aca="false">IF(A246="","",A246&amp;"|"&amp;M246)</f>
        <v/>
      </c>
    </row>
    <row r="247" customFormat="false" ht="15" hidden="false" customHeight="false" outlineLevel="0" collapsed="false">
      <c r="F247" s="0" t="str">
        <f aca="false">IF(E247="","",IF(COUNTIFS('MASTER BAHAN'!$A$5:$A$504,E247)=0,"BELUM ADA",INDEX('MASTER BAHAN'!$B$5:$B$504,MATCH(E247,'MASTER BAHAN'!$A$5:$A$504,0))))</f>
        <v/>
      </c>
      <c r="H247" s="0" t="str">
        <f aca="false">IF(E247="","",IF(COUNTIFS('MASTER BAHAN'!$A$5:$A$504,E247)=0,"BELUM ADA",INDEX('MASTER BAHAN'!$D$5:$D$504,MATCH(E247,'MASTER BAHAN'!$A$5:$A$504,0))))</f>
        <v/>
      </c>
      <c r="J247" s="0" t="str">
        <f aca="false">IF(A247="","",IF(OR(NOT(ISNUMBER(G247)),NOT(ISNUMBER(I247))),"BELUM LENGKAP",ROUND(G247*I247,0)))</f>
        <v/>
      </c>
      <c r="M247" s="24" t="str">
        <f aca="false">IF(A247="","",COUNTIF($A$5:A247,A247))</f>
        <v/>
      </c>
      <c r="N247" s="24" t="str">
        <f aca="false">IF(A247="","",A247&amp;"|"&amp;M247)</f>
        <v/>
      </c>
    </row>
    <row r="248" customFormat="false" ht="15" hidden="false" customHeight="false" outlineLevel="0" collapsed="false">
      <c r="F248" s="0" t="str">
        <f aca="false">IF(E248="","",IF(COUNTIFS('MASTER BAHAN'!$A$5:$A$504,E248)=0,"BELUM ADA",INDEX('MASTER BAHAN'!$B$5:$B$504,MATCH(E248,'MASTER BAHAN'!$A$5:$A$504,0))))</f>
        <v/>
      </c>
      <c r="H248" s="0" t="str">
        <f aca="false">IF(E248="","",IF(COUNTIFS('MASTER BAHAN'!$A$5:$A$504,E248)=0,"BELUM ADA",INDEX('MASTER BAHAN'!$D$5:$D$504,MATCH(E248,'MASTER BAHAN'!$A$5:$A$504,0))))</f>
        <v/>
      </c>
      <c r="J248" s="0" t="str">
        <f aca="false">IF(A248="","",IF(OR(NOT(ISNUMBER(G248)),NOT(ISNUMBER(I248))),"BELUM LENGKAP",ROUND(G248*I248,0)))</f>
        <v/>
      </c>
      <c r="M248" s="24" t="str">
        <f aca="false">IF(A248="","",COUNTIF($A$5:A248,A248))</f>
        <v/>
      </c>
      <c r="N248" s="24" t="str">
        <f aca="false">IF(A248="","",A248&amp;"|"&amp;M248)</f>
        <v/>
      </c>
    </row>
    <row r="249" customFormat="false" ht="15" hidden="false" customHeight="false" outlineLevel="0" collapsed="false">
      <c r="F249" s="0" t="str">
        <f aca="false">IF(E249="","",IF(COUNTIFS('MASTER BAHAN'!$A$5:$A$504,E249)=0,"BELUM ADA",INDEX('MASTER BAHAN'!$B$5:$B$504,MATCH(E249,'MASTER BAHAN'!$A$5:$A$504,0))))</f>
        <v/>
      </c>
      <c r="H249" s="0" t="str">
        <f aca="false">IF(E249="","",IF(COUNTIFS('MASTER BAHAN'!$A$5:$A$504,E249)=0,"BELUM ADA",INDEX('MASTER BAHAN'!$D$5:$D$504,MATCH(E249,'MASTER BAHAN'!$A$5:$A$504,0))))</f>
        <v/>
      </c>
      <c r="J249" s="0" t="str">
        <f aca="false">IF(A249="","",IF(OR(NOT(ISNUMBER(G249)),NOT(ISNUMBER(I249))),"BELUM LENGKAP",ROUND(G249*I249,0)))</f>
        <v/>
      </c>
      <c r="M249" s="24" t="str">
        <f aca="false">IF(A249="","",COUNTIF($A$5:A249,A249))</f>
        <v/>
      </c>
      <c r="N249" s="24" t="str">
        <f aca="false">IF(A249="","",A249&amp;"|"&amp;M249)</f>
        <v/>
      </c>
    </row>
    <row r="250" customFormat="false" ht="15" hidden="false" customHeight="false" outlineLevel="0" collapsed="false">
      <c r="F250" s="0" t="str">
        <f aca="false">IF(E250="","",IF(COUNTIFS('MASTER BAHAN'!$A$5:$A$504,E250)=0,"BELUM ADA",INDEX('MASTER BAHAN'!$B$5:$B$504,MATCH(E250,'MASTER BAHAN'!$A$5:$A$504,0))))</f>
        <v/>
      </c>
      <c r="H250" s="0" t="str">
        <f aca="false">IF(E250="","",IF(COUNTIFS('MASTER BAHAN'!$A$5:$A$504,E250)=0,"BELUM ADA",INDEX('MASTER BAHAN'!$D$5:$D$504,MATCH(E250,'MASTER BAHAN'!$A$5:$A$504,0))))</f>
        <v/>
      </c>
      <c r="J250" s="0" t="str">
        <f aca="false">IF(A250="","",IF(OR(NOT(ISNUMBER(G250)),NOT(ISNUMBER(I250))),"BELUM LENGKAP",ROUND(G250*I250,0)))</f>
        <v/>
      </c>
      <c r="M250" s="24" t="str">
        <f aca="false">IF(A250="","",COUNTIF($A$5:A250,A250))</f>
        <v/>
      </c>
      <c r="N250" s="24" t="str">
        <f aca="false">IF(A250="","",A250&amp;"|"&amp;M250)</f>
        <v/>
      </c>
    </row>
    <row r="251" customFormat="false" ht="15" hidden="false" customHeight="false" outlineLevel="0" collapsed="false">
      <c r="F251" s="0" t="str">
        <f aca="false">IF(E251="","",IF(COUNTIFS('MASTER BAHAN'!$A$5:$A$504,E251)=0,"BELUM ADA",INDEX('MASTER BAHAN'!$B$5:$B$504,MATCH(E251,'MASTER BAHAN'!$A$5:$A$504,0))))</f>
        <v/>
      </c>
      <c r="H251" s="0" t="str">
        <f aca="false">IF(E251="","",IF(COUNTIFS('MASTER BAHAN'!$A$5:$A$504,E251)=0,"BELUM ADA",INDEX('MASTER BAHAN'!$D$5:$D$504,MATCH(E251,'MASTER BAHAN'!$A$5:$A$504,0))))</f>
        <v/>
      </c>
      <c r="J251" s="0" t="str">
        <f aca="false">IF(A251="","",IF(OR(NOT(ISNUMBER(G251)),NOT(ISNUMBER(I251))),"BELUM LENGKAP",ROUND(G251*I251,0)))</f>
        <v/>
      </c>
      <c r="M251" s="24" t="str">
        <f aca="false">IF(A251="","",COUNTIF($A$5:A251,A251))</f>
        <v/>
      </c>
      <c r="N251" s="24" t="str">
        <f aca="false">IF(A251="","",A251&amp;"|"&amp;M251)</f>
        <v/>
      </c>
    </row>
    <row r="252" customFormat="false" ht="15" hidden="false" customHeight="false" outlineLevel="0" collapsed="false">
      <c r="F252" s="0" t="str">
        <f aca="false">IF(E252="","",IF(COUNTIFS('MASTER BAHAN'!$A$5:$A$504,E252)=0,"BELUM ADA",INDEX('MASTER BAHAN'!$B$5:$B$504,MATCH(E252,'MASTER BAHAN'!$A$5:$A$504,0))))</f>
        <v/>
      </c>
      <c r="H252" s="0" t="str">
        <f aca="false">IF(E252="","",IF(COUNTIFS('MASTER BAHAN'!$A$5:$A$504,E252)=0,"BELUM ADA",INDEX('MASTER BAHAN'!$D$5:$D$504,MATCH(E252,'MASTER BAHAN'!$A$5:$A$504,0))))</f>
        <v/>
      </c>
      <c r="J252" s="0" t="str">
        <f aca="false">IF(A252="","",IF(OR(NOT(ISNUMBER(G252)),NOT(ISNUMBER(I252))),"BELUM LENGKAP",ROUND(G252*I252,0)))</f>
        <v/>
      </c>
      <c r="M252" s="24" t="str">
        <f aca="false">IF(A252="","",COUNTIF($A$5:A252,A252))</f>
        <v/>
      </c>
      <c r="N252" s="24" t="str">
        <f aca="false">IF(A252="","",A252&amp;"|"&amp;M252)</f>
        <v/>
      </c>
    </row>
    <row r="253" customFormat="false" ht="15" hidden="false" customHeight="false" outlineLevel="0" collapsed="false">
      <c r="F253" s="0" t="str">
        <f aca="false">IF(E253="","",IF(COUNTIFS('MASTER BAHAN'!$A$5:$A$504,E253)=0,"BELUM ADA",INDEX('MASTER BAHAN'!$B$5:$B$504,MATCH(E253,'MASTER BAHAN'!$A$5:$A$504,0))))</f>
        <v/>
      </c>
      <c r="H253" s="0" t="str">
        <f aca="false">IF(E253="","",IF(COUNTIFS('MASTER BAHAN'!$A$5:$A$504,E253)=0,"BELUM ADA",INDEX('MASTER BAHAN'!$D$5:$D$504,MATCH(E253,'MASTER BAHAN'!$A$5:$A$504,0))))</f>
        <v/>
      </c>
      <c r="J253" s="0" t="str">
        <f aca="false">IF(A253="","",IF(OR(NOT(ISNUMBER(G253)),NOT(ISNUMBER(I253))),"BELUM LENGKAP",ROUND(G253*I253,0)))</f>
        <v/>
      </c>
      <c r="M253" s="24" t="str">
        <f aca="false">IF(A253="","",COUNTIF($A$5:A253,A253))</f>
        <v/>
      </c>
      <c r="N253" s="24" t="str">
        <f aca="false">IF(A253="","",A253&amp;"|"&amp;M253)</f>
        <v/>
      </c>
    </row>
    <row r="254" customFormat="false" ht="15" hidden="false" customHeight="false" outlineLevel="0" collapsed="false">
      <c r="F254" s="0" t="str">
        <f aca="false">IF(E254="","",IF(COUNTIFS('MASTER BAHAN'!$A$5:$A$504,E254)=0,"BELUM ADA",INDEX('MASTER BAHAN'!$B$5:$B$504,MATCH(E254,'MASTER BAHAN'!$A$5:$A$504,0))))</f>
        <v/>
      </c>
      <c r="H254" s="0" t="str">
        <f aca="false">IF(E254="","",IF(COUNTIFS('MASTER BAHAN'!$A$5:$A$504,E254)=0,"BELUM ADA",INDEX('MASTER BAHAN'!$D$5:$D$504,MATCH(E254,'MASTER BAHAN'!$A$5:$A$504,0))))</f>
        <v/>
      </c>
      <c r="J254" s="0" t="str">
        <f aca="false">IF(A254="","",IF(OR(NOT(ISNUMBER(G254)),NOT(ISNUMBER(I254))),"BELUM LENGKAP",ROUND(G254*I254,0)))</f>
        <v/>
      </c>
      <c r="M254" s="24" t="str">
        <f aca="false">IF(A254="","",COUNTIF($A$5:A254,A254))</f>
        <v/>
      </c>
      <c r="N254" s="24" t="str">
        <f aca="false">IF(A254="","",A254&amp;"|"&amp;M254)</f>
        <v/>
      </c>
    </row>
    <row r="255" customFormat="false" ht="15" hidden="false" customHeight="false" outlineLevel="0" collapsed="false">
      <c r="F255" s="0" t="str">
        <f aca="false">IF(E255="","",IF(COUNTIFS('MASTER BAHAN'!$A$5:$A$504,E255)=0,"BELUM ADA",INDEX('MASTER BAHAN'!$B$5:$B$504,MATCH(E255,'MASTER BAHAN'!$A$5:$A$504,0))))</f>
        <v/>
      </c>
      <c r="H255" s="0" t="str">
        <f aca="false">IF(E255="","",IF(COUNTIFS('MASTER BAHAN'!$A$5:$A$504,E255)=0,"BELUM ADA",INDEX('MASTER BAHAN'!$D$5:$D$504,MATCH(E255,'MASTER BAHAN'!$A$5:$A$504,0))))</f>
        <v/>
      </c>
      <c r="J255" s="0" t="str">
        <f aca="false">IF(A255="","",IF(OR(NOT(ISNUMBER(G255)),NOT(ISNUMBER(I255))),"BELUM LENGKAP",ROUND(G255*I255,0)))</f>
        <v/>
      </c>
      <c r="M255" s="24" t="str">
        <f aca="false">IF(A255="","",COUNTIF($A$5:A255,A255))</f>
        <v/>
      </c>
      <c r="N255" s="24" t="str">
        <f aca="false">IF(A255="","",A255&amp;"|"&amp;M255)</f>
        <v/>
      </c>
    </row>
    <row r="256" customFormat="false" ht="15" hidden="false" customHeight="false" outlineLevel="0" collapsed="false">
      <c r="F256" s="0" t="str">
        <f aca="false">IF(E256="","",IF(COUNTIFS('MASTER BAHAN'!$A$5:$A$504,E256)=0,"BELUM ADA",INDEX('MASTER BAHAN'!$B$5:$B$504,MATCH(E256,'MASTER BAHAN'!$A$5:$A$504,0))))</f>
        <v/>
      </c>
      <c r="H256" s="0" t="str">
        <f aca="false">IF(E256="","",IF(COUNTIFS('MASTER BAHAN'!$A$5:$A$504,E256)=0,"BELUM ADA",INDEX('MASTER BAHAN'!$D$5:$D$504,MATCH(E256,'MASTER BAHAN'!$A$5:$A$504,0))))</f>
        <v/>
      </c>
      <c r="J256" s="0" t="str">
        <f aca="false">IF(A256="","",IF(OR(NOT(ISNUMBER(G256)),NOT(ISNUMBER(I256))),"BELUM LENGKAP",ROUND(G256*I256,0)))</f>
        <v/>
      </c>
      <c r="M256" s="24" t="str">
        <f aca="false">IF(A256="","",COUNTIF($A$5:A256,A256))</f>
        <v/>
      </c>
      <c r="N256" s="24" t="str">
        <f aca="false">IF(A256="","",A256&amp;"|"&amp;M256)</f>
        <v/>
      </c>
    </row>
    <row r="257" customFormat="false" ht="15" hidden="false" customHeight="false" outlineLevel="0" collapsed="false">
      <c r="F257" s="0" t="str">
        <f aca="false">IF(E257="","",IF(COUNTIFS('MASTER BAHAN'!$A$5:$A$504,E257)=0,"BELUM ADA",INDEX('MASTER BAHAN'!$B$5:$B$504,MATCH(E257,'MASTER BAHAN'!$A$5:$A$504,0))))</f>
        <v/>
      </c>
      <c r="H257" s="0" t="str">
        <f aca="false">IF(E257="","",IF(COUNTIFS('MASTER BAHAN'!$A$5:$A$504,E257)=0,"BELUM ADA",INDEX('MASTER BAHAN'!$D$5:$D$504,MATCH(E257,'MASTER BAHAN'!$A$5:$A$504,0))))</f>
        <v/>
      </c>
      <c r="J257" s="0" t="str">
        <f aca="false">IF(A257="","",IF(OR(NOT(ISNUMBER(G257)),NOT(ISNUMBER(I257))),"BELUM LENGKAP",ROUND(G257*I257,0)))</f>
        <v/>
      </c>
      <c r="M257" s="24" t="str">
        <f aca="false">IF(A257="","",COUNTIF($A$5:A257,A257))</f>
        <v/>
      </c>
      <c r="N257" s="24" t="str">
        <f aca="false">IF(A257="","",A257&amp;"|"&amp;M257)</f>
        <v/>
      </c>
    </row>
    <row r="258" customFormat="false" ht="15" hidden="false" customHeight="false" outlineLevel="0" collapsed="false">
      <c r="F258" s="0" t="str">
        <f aca="false">IF(E258="","",IF(COUNTIFS('MASTER BAHAN'!$A$5:$A$504,E258)=0,"BELUM ADA",INDEX('MASTER BAHAN'!$B$5:$B$504,MATCH(E258,'MASTER BAHAN'!$A$5:$A$504,0))))</f>
        <v/>
      </c>
      <c r="H258" s="0" t="str">
        <f aca="false">IF(E258="","",IF(COUNTIFS('MASTER BAHAN'!$A$5:$A$504,E258)=0,"BELUM ADA",INDEX('MASTER BAHAN'!$D$5:$D$504,MATCH(E258,'MASTER BAHAN'!$A$5:$A$504,0))))</f>
        <v/>
      </c>
      <c r="J258" s="0" t="str">
        <f aca="false">IF(A258="","",IF(OR(NOT(ISNUMBER(G258)),NOT(ISNUMBER(I258))),"BELUM LENGKAP",ROUND(G258*I258,0)))</f>
        <v/>
      </c>
      <c r="M258" s="24" t="str">
        <f aca="false">IF(A258="","",COUNTIF($A$5:A258,A258))</f>
        <v/>
      </c>
      <c r="N258" s="24" t="str">
        <f aca="false">IF(A258="","",A258&amp;"|"&amp;M258)</f>
        <v/>
      </c>
    </row>
    <row r="259" customFormat="false" ht="15" hidden="false" customHeight="false" outlineLevel="0" collapsed="false">
      <c r="F259" s="0" t="str">
        <f aca="false">IF(E259="","",IF(COUNTIFS('MASTER BAHAN'!$A$5:$A$504,E259)=0,"BELUM ADA",INDEX('MASTER BAHAN'!$B$5:$B$504,MATCH(E259,'MASTER BAHAN'!$A$5:$A$504,0))))</f>
        <v/>
      </c>
      <c r="H259" s="0" t="str">
        <f aca="false">IF(E259="","",IF(COUNTIFS('MASTER BAHAN'!$A$5:$A$504,E259)=0,"BELUM ADA",INDEX('MASTER BAHAN'!$D$5:$D$504,MATCH(E259,'MASTER BAHAN'!$A$5:$A$504,0))))</f>
        <v/>
      </c>
      <c r="J259" s="0" t="str">
        <f aca="false">IF(A259="","",IF(OR(NOT(ISNUMBER(G259)),NOT(ISNUMBER(I259))),"BELUM LENGKAP",ROUND(G259*I259,0)))</f>
        <v/>
      </c>
      <c r="M259" s="24" t="str">
        <f aca="false">IF(A259="","",COUNTIF($A$5:A259,A259))</f>
        <v/>
      </c>
      <c r="N259" s="24" t="str">
        <f aca="false">IF(A259="","",A259&amp;"|"&amp;M259)</f>
        <v/>
      </c>
    </row>
    <row r="260" customFormat="false" ht="15" hidden="false" customHeight="false" outlineLevel="0" collapsed="false">
      <c r="F260" s="0" t="str">
        <f aca="false">IF(E260="","",IF(COUNTIFS('MASTER BAHAN'!$A$5:$A$504,E260)=0,"BELUM ADA",INDEX('MASTER BAHAN'!$B$5:$B$504,MATCH(E260,'MASTER BAHAN'!$A$5:$A$504,0))))</f>
        <v/>
      </c>
      <c r="H260" s="0" t="str">
        <f aca="false">IF(E260="","",IF(COUNTIFS('MASTER BAHAN'!$A$5:$A$504,E260)=0,"BELUM ADA",INDEX('MASTER BAHAN'!$D$5:$D$504,MATCH(E260,'MASTER BAHAN'!$A$5:$A$504,0))))</f>
        <v/>
      </c>
      <c r="J260" s="0" t="str">
        <f aca="false">IF(A260="","",IF(OR(NOT(ISNUMBER(G260)),NOT(ISNUMBER(I260))),"BELUM LENGKAP",ROUND(G260*I260,0)))</f>
        <v/>
      </c>
      <c r="M260" s="24" t="str">
        <f aca="false">IF(A260="","",COUNTIF($A$5:A260,A260))</f>
        <v/>
      </c>
      <c r="N260" s="24" t="str">
        <f aca="false">IF(A260="","",A260&amp;"|"&amp;M260)</f>
        <v/>
      </c>
    </row>
    <row r="261" customFormat="false" ht="15" hidden="false" customHeight="false" outlineLevel="0" collapsed="false">
      <c r="F261" s="0" t="str">
        <f aca="false">IF(E261="","",IF(COUNTIFS('MASTER BAHAN'!$A$5:$A$504,E261)=0,"BELUM ADA",INDEX('MASTER BAHAN'!$B$5:$B$504,MATCH(E261,'MASTER BAHAN'!$A$5:$A$504,0))))</f>
        <v/>
      </c>
      <c r="H261" s="0" t="str">
        <f aca="false">IF(E261="","",IF(COUNTIFS('MASTER BAHAN'!$A$5:$A$504,E261)=0,"BELUM ADA",INDEX('MASTER BAHAN'!$D$5:$D$504,MATCH(E261,'MASTER BAHAN'!$A$5:$A$504,0))))</f>
        <v/>
      </c>
      <c r="J261" s="0" t="str">
        <f aca="false">IF(A261="","",IF(OR(NOT(ISNUMBER(G261)),NOT(ISNUMBER(I261))),"BELUM LENGKAP",ROUND(G261*I261,0)))</f>
        <v/>
      </c>
      <c r="M261" s="24" t="str">
        <f aca="false">IF(A261="","",COUNTIF($A$5:A261,A261))</f>
        <v/>
      </c>
      <c r="N261" s="24" t="str">
        <f aca="false">IF(A261="","",A261&amp;"|"&amp;M261)</f>
        <v/>
      </c>
    </row>
    <row r="262" customFormat="false" ht="15" hidden="false" customHeight="false" outlineLevel="0" collapsed="false">
      <c r="F262" s="0" t="str">
        <f aca="false">IF(E262="","",IF(COUNTIFS('MASTER BAHAN'!$A$5:$A$504,E262)=0,"BELUM ADA",INDEX('MASTER BAHAN'!$B$5:$B$504,MATCH(E262,'MASTER BAHAN'!$A$5:$A$504,0))))</f>
        <v/>
      </c>
      <c r="H262" s="0" t="str">
        <f aca="false">IF(E262="","",IF(COUNTIFS('MASTER BAHAN'!$A$5:$A$504,E262)=0,"BELUM ADA",INDEX('MASTER BAHAN'!$D$5:$D$504,MATCH(E262,'MASTER BAHAN'!$A$5:$A$504,0))))</f>
        <v/>
      </c>
      <c r="J262" s="0" t="str">
        <f aca="false">IF(A262="","",IF(OR(NOT(ISNUMBER(G262)),NOT(ISNUMBER(I262))),"BELUM LENGKAP",ROUND(G262*I262,0)))</f>
        <v/>
      </c>
      <c r="M262" s="24" t="str">
        <f aca="false">IF(A262="","",COUNTIF($A$5:A262,A262))</f>
        <v/>
      </c>
      <c r="N262" s="24" t="str">
        <f aca="false">IF(A262="","",A262&amp;"|"&amp;M262)</f>
        <v/>
      </c>
    </row>
    <row r="263" customFormat="false" ht="15" hidden="false" customHeight="false" outlineLevel="0" collapsed="false">
      <c r="F263" s="0" t="str">
        <f aca="false">IF(E263="","",IF(COUNTIFS('MASTER BAHAN'!$A$5:$A$504,E263)=0,"BELUM ADA",INDEX('MASTER BAHAN'!$B$5:$B$504,MATCH(E263,'MASTER BAHAN'!$A$5:$A$504,0))))</f>
        <v/>
      </c>
      <c r="H263" s="0" t="str">
        <f aca="false">IF(E263="","",IF(COUNTIFS('MASTER BAHAN'!$A$5:$A$504,E263)=0,"BELUM ADA",INDEX('MASTER BAHAN'!$D$5:$D$504,MATCH(E263,'MASTER BAHAN'!$A$5:$A$504,0))))</f>
        <v/>
      </c>
      <c r="J263" s="0" t="str">
        <f aca="false">IF(A263="","",IF(OR(NOT(ISNUMBER(G263)),NOT(ISNUMBER(I263))),"BELUM LENGKAP",ROUND(G263*I263,0)))</f>
        <v/>
      </c>
      <c r="M263" s="24" t="str">
        <f aca="false">IF(A263="","",COUNTIF($A$5:A263,A263))</f>
        <v/>
      </c>
      <c r="N263" s="24" t="str">
        <f aca="false">IF(A263="","",A263&amp;"|"&amp;M263)</f>
        <v/>
      </c>
    </row>
    <row r="264" customFormat="false" ht="15" hidden="false" customHeight="false" outlineLevel="0" collapsed="false">
      <c r="F264" s="0" t="str">
        <f aca="false">IF(E264="","",IF(COUNTIFS('MASTER BAHAN'!$A$5:$A$504,E264)=0,"BELUM ADA",INDEX('MASTER BAHAN'!$B$5:$B$504,MATCH(E264,'MASTER BAHAN'!$A$5:$A$504,0))))</f>
        <v/>
      </c>
      <c r="H264" s="0" t="str">
        <f aca="false">IF(E264="","",IF(COUNTIFS('MASTER BAHAN'!$A$5:$A$504,E264)=0,"BELUM ADA",INDEX('MASTER BAHAN'!$D$5:$D$504,MATCH(E264,'MASTER BAHAN'!$A$5:$A$504,0))))</f>
        <v/>
      </c>
      <c r="J264" s="0" t="str">
        <f aca="false">IF(A264="","",IF(OR(NOT(ISNUMBER(G264)),NOT(ISNUMBER(I264))),"BELUM LENGKAP",ROUND(G264*I264,0)))</f>
        <v/>
      </c>
      <c r="M264" s="24" t="str">
        <f aca="false">IF(A264="","",COUNTIF($A$5:A264,A264))</f>
        <v/>
      </c>
      <c r="N264" s="24" t="str">
        <f aca="false">IF(A264="","",A264&amp;"|"&amp;M264)</f>
        <v/>
      </c>
    </row>
    <row r="265" customFormat="false" ht="15" hidden="false" customHeight="false" outlineLevel="0" collapsed="false">
      <c r="F265" s="0" t="str">
        <f aca="false">IF(E265="","",IF(COUNTIFS('MASTER BAHAN'!$A$5:$A$504,E265)=0,"BELUM ADA",INDEX('MASTER BAHAN'!$B$5:$B$504,MATCH(E265,'MASTER BAHAN'!$A$5:$A$504,0))))</f>
        <v/>
      </c>
      <c r="H265" s="0" t="str">
        <f aca="false">IF(E265="","",IF(COUNTIFS('MASTER BAHAN'!$A$5:$A$504,E265)=0,"BELUM ADA",INDEX('MASTER BAHAN'!$D$5:$D$504,MATCH(E265,'MASTER BAHAN'!$A$5:$A$504,0))))</f>
        <v/>
      </c>
      <c r="J265" s="0" t="str">
        <f aca="false">IF(A265="","",IF(OR(NOT(ISNUMBER(G265)),NOT(ISNUMBER(I265))),"BELUM LENGKAP",ROUND(G265*I265,0)))</f>
        <v/>
      </c>
      <c r="M265" s="24" t="str">
        <f aca="false">IF(A265="","",COUNTIF($A$5:A265,A265))</f>
        <v/>
      </c>
      <c r="N265" s="24" t="str">
        <f aca="false">IF(A265="","",A265&amp;"|"&amp;M265)</f>
        <v/>
      </c>
    </row>
    <row r="266" customFormat="false" ht="15" hidden="false" customHeight="false" outlineLevel="0" collapsed="false">
      <c r="F266" s="0" t="str">
        <f aca="false">IF(E266="","",IF(COUNTIFS('MASTER BAHAN'!$A$5:$A$504,E266)=0,"BELUM ADA",INDEX('MASTER BAHAN'!$B$5:$B$504,MATCH(E266,'MASTER BAHAN'!$A$5:$A$504,0))))</f>
        <v/>
      </c>
      <c r="H266" s="0" t="str">
        <f aca="false">IF(E266="","",IF(COUNTIFS('MASTER BAHAN'!$A$5:$A$504,E266)=0,"BELUM ADA",INDEX('MASTER BAHAN'!$D$5:$D$504,MATCH(E266,'MASTER BAHAN'!$A$5:$A$504,0))))</f>
        <v/>
      </c>
      <c r="J266" s="0" t="str">
        <f aca="false">IF(A266="","",IF(OR(NOT(ISNUMBER(G266)),NOT(ISNUMBER(I266))),"BELUM LENGKAP",ROUND(G266*I266,0)))</f>
        <v/>
      </c>
      <c r="M266" s="24" t="str">
        <f aca="false">IF(A266="","",COUNTIF($A$5:A266,A266))</f>
        <v/>
      </c>
      <c r="N266" s="24" t="str">
        <f aca="false">IF(A266="","",A266&amp;"|"&amp;M266)</f>
        <v/>
      </c>
    </row>
    <row r="267" customFormat="false" ht="15" hidden="false" customHeight="false" outlineLevel="0" collapsed="false">
      <c r="F267" s="0" t="str">
        <f aca="false">IF(E267="","",IF(COUNTIFS('MASTER BAHAN'!$A$5:$A$504,E267)=0,"BELUM ADA",INDEX('MASTER BAHAN'!$B$5:$B$504,MATCH(E267,'MASTER BAHAN'!$A$5:$A$504,0))))</f>
        <v/>
      </c>
      <c r="H267" s="0" t="str">
        <f aca="false">IF(E267="","",IF(COUNTIFS('MASTER BAHAN'!$A$5:$A$504,E267)=0,"BELUM ADA",INDEX('MASTER BAHAN'!$D$5:$D$504,MATCH(E267,'MASTER BAHAN'!$A$5:$A$504,0))))</f>
        <v/>
      </c>
      <c r="J267" s="0" t="str">
        <f aca="false">IF(A267="","",IF(OR(NOT(ISNUMBER(G267)),NOT(ISNUMBER(I267))),"BELUM LENGKAP",ROUND(G267*I267,0)))</f>
        <v/>
      </c>
      <c r="M267" s="24" t="str">
        <f aca="false">IF(A267="","",COUNTIF($A$5:A267,A267))</f>
        <v/>
      </c>
      <c r="N267" s="24" t="str">
        <f aca="false">IF(A267="","",A267&amp;"|"&amp;M267)</f>
        <v/>
      </c>
    </row>
    <row r="268" customFormat="false" ht="15" hidden="false" customHeight="false" outlineLevel="0" collapsed="false">
      <c r="F268" s="0" t="str">
        <f aca="false">IF(E268="","",IF(COUNTIFS('MASTER BAHAN'!$A$5:$A$504,E268)=0,"BELUM ADA",INDEX('MASTER BAHAN'!$B$5:$B$504,MATCH(E268,'MASTER BAHAN'!$A$5:$A$504,0))))</f>
        <v/>
      </c>
      <c r="H268" s="0" t="str">
        <f aca="false">IF(E268="","",IF(COUNTIFS('MASTER BAHAN'!$A$5:$A$504,E268)=0,"BELUM ADA",INDEX('MASTER BAHAN'!$D$5:$D$504,MATCH(E268,'MASTER BAHAN'!$A$5:$A$504,0))))</f>
        <v/>
      </c>
      <c r="J268" s="0" t="str">
        <f aca="false">IF(A268="","",IF(OR(NOT(ISNUMBER(G268)),NOT(ISNUMBER(I268))),"BELUM LENGKAP",ROUND(G268*I268,0)))</f>
        <v/>
      </c>
      <c r="M268" s="24" t="str">
        <f aca="false">IF(A268="","",COUNTIF($A$5:A268,A268))</f>
        <v/>
      </c>
      <c r="N268" s="24" t="str">
        <f aca="false">IF(A268="","",A268&amp;"|"&amp;M268)</f>
        <v/>
      </c>
    </row>
    <row r="269" customFormat="false" ht="15" hidden="false" customHeight="false" outlineLevel="0" collapsed="false">
      <c r="F269" s="0" t="str">
        <f aca="false">IF(E269="","",IF(COUNTIFS('MASTER BAHAN'!$A$5:$A$504,E269)=0,"BELUM ADA",INDEX('MASTER BAHAN'!$B$5:$B$504,MATCH(E269,'MASTER BAHAN'!$A$5:$A$504,0))))</f>
        <v/>
      </c>
      <c r="H269" s="0" t="str">
        <f aca="false">IF(E269="","",IF(COUNTIFS('MASTER BAHAN'!$A$5:$A$504,E269)=0,"BELUM ADA",INDEX('MASTER BAHAN'!$D$5:$D$504,MATCH(E269,'MASTER BAHAN'!$A$5:$A$504,0))))</f>
        <v/>
      </c>
      <c r="J269" s="0" t="str">
        <f aca="false">IF(A269="","",IF(OR(NOT(ISNUMBER(G269)),NOT(ISNUMBER(I269))),"BELUM LENGKAP",ROUND(G269*I269,0)))</f>
        <v/>
      </c>
      <c r="M269" s="24" t="str">
        <f aca="false">IF(A269="","",COUNTIF($A$5:A269,A269))</f>
        <v/>
      </c>
      <c r="N269" s="24" t="str">
        <f aca="false">IF(A269="","",A269&amp;"|"&amp;M269)</f>
        <v/>
      </c>
    </row>
    <row r="270" customFormat="false" ht="15" hidden="false" customHeight="false" outlineLevel="0" collapsed="false">
      <c r="F270" s="0" t="str">
        <f aca="false">IF(E270="","",IF(COUNTIFS('MASTER BAHAN'!$A$5:$A$504,E270)=0,"BELUM ADA",INDEX('MASTER BAHAN'!$B$5:$B$504,MATCH(E270,'MASTER BAHAN'!$A$5:$A$504,0))))</f>
        <v/>
      </c>
      <c r="H270" s="0" t="str">
        <f aca="false">IF(E270="","",IF(COUNTIFS('MASTER BAHAN'!$A$5:$A$504,E270)=0,"BELUM ADA",INDEX('MASTER BAHAN'!$D$5:$D$504,MATCH(E270,'MASTER BAHAN'!$A$5:$A$504,0))))</f>
        <v/>
      </c>
      <c r="J270" s="0" t="str">
        <f aca="false">IF(A270="","",IF(OR(NOT(ISNUMBER(G270)),NOT(ISNUMBER(I270))),"BELUM LENGKAP",ROUND(G270*I270,0)))</f>
        <v/>
      </c>
      <c r="M270" s="24" t="str">
        <f aca="false">IF(A270="","",COUNTIF($A$5:A270,A270))</f>
        <v/>
      </c>
      <c r="N270" s="24" t="str">
        <f aca="false">IF(A270="","",A270&amp;"|"&amp;M270)</f>
        <v/>
      </c>
    </row>
    <row r="271" customFormat="false" ht="15" hidden="false" customHeight="false" outlineLevel="0" collapsed="false">
      <c r="F271" s="0" t="str">
        <f aca="false">IF(E271="","",IF(COUNTIFS('MASTER BAHAN'!$A$5:$A$504,E271)=0,"BELUM ADA",INDEX('MASTER BAHAN'!$B$5:$B$504,MATCH(E271,'MASTER BAHAN'!$A$5:$A$504,0))))</f>
        <v/>
      </c>
      <c r="H271" s="0" t="str">
        <f aca="false">IF(E271="","",IF(COUNTIFS('MASTER BAHAN'!$A$5:$A$504,E271)=0,"BELUM ADA",INDEX('MASTER BAHAN'!$D$5:$D$504,MATCH(E271,'MASTER BAHAN'!$A$5:$A$504,0))))</f>
        <v/>
      </c>
      <c r="J271" s="0" t="str">
        <f aca="false">IF(A271="","",IF(OR(NOT(ISNUMBER(G271)),NOT(ISNUMBER(I271))),"BELUM LENGKAP",ROUND(G271*I271,0)))</f>
        <v/>
      </c>
      <c r="M271" s="24" t="str">
        <f aca="false">IF(A271="","",COUNTIF($A$5:A271,A271))</f>
        <v/>
      </c>
      <c r="N271" s="24" t="str">
        <f aca="false">IF(A271="","",A271&amp;"|"&amp;M271)</f>
        <v/>
      </c>
    </row>
    <row r="272" customFormat="false" ht="15" hidden="false" customHeight="false" outlineLevel="0" collapsed="false">
      <c r="F272" s="0" t="str">
        <f aca="false">IF(E272="","",IF(COUNTIFS('MASTER BAHAN'!$A$5:$A$504,E272)=0,"BELUM ADA",INDEX('MASTER BAHAN'!$B$5:$B$504,MATCH(E272,'MASTER BAHAN'!$A$5:$A$504,0))))</f>
        <v/>
      </c>
      <c r="H272" s="0" t="str">
        <f aca="false">IF(E272="","",IF(COUNTIFS('MASTER BAHAN'!$A$5:$A$504,E272)=0,"BELUM ADA",INDEX('MASTER BAHAN'!$D$5:$D$504,MATCH(E272,'MASTER BAHAN'!$A$5:$A$504,0))))</f>
        <v/>
      </c>
      <c r="J272" s="0" t="str">
        <f aca="false">IF(A272="","",IF(OR(NOT(ISNUMBER(G272)),NOT(ISNUMBER(I272))),"BELUM LENGKAP",ROUND(G272*I272,0)))</f>
        <v/>
      </c>
      <c r="M272" s="24" t="str">
        <f aca="false">IF(A272="","",COUNTIF($A$5:A272,A272))</f>
        <v/>
      </c>
      <c r="N272" s="24" t="str">
        <f aca="false">IF(A272="","",A272&amp;"|"&amp;M272)</f>
        <v/>
      </c>
    </row>
    <row r="273" customFormat="false" ht="15" hidden="false" customHeight="false" outlineLevel="0" collapsed="false">
      <c r="F273" s="0" t="str">
        <f aca="false">IF(E273="","",IF(COUNTIFS('MASTER BAHAN'!$A$5:$A$504,E273)=0,"BELUM ADA",INDEX('MASTER BAHAN'!$B$5:$B$504,MATCH(E273,'MASTER BAHAN'!$A$5:$A$504,0))))</f>
        <v/>
      </c>
      <c r="H273" s="0" t="str">
        <f aca="false">IF(E273="","",IF(COUNTIFS('MASTER BAHAN'!$A$5:$A$504,E273)=0,"BELUM ADA",INDEX('MASTER BAHAN'!$D$5:$D$504,MATCH(E273,'MASTER BAHAN'!$A$5:$A$504,0))))</f>
        <v/>
      </c>
      <c r="J273" s="0" t="str">
        <f aca="false">IF(A273="","",IF(OR(NOT(ISNUMBER(G273)),NOT(ISNUMBER(I273))),"BELUM LENGKAP",ROUND(G273*I273,0)))</f>
        <v/>
      </c>
      <c r="M273" s="24" t="str">
        <f aca="false">IF(A273="","",COUNTIF($A$5:A273,A273))</f>
        <v/>
      </c>
      <c r="N273" s="24" t="str">
        <f aca="false">IF(A273="","",A273&amp;"|"&amp;M273)</f>
        <v/>
      </c>
    </row>
    <row r="274" customFormat="false" ht="15" hidden="false" customHeight="false" outlineLevel="0" collapsed="false">
      <c r="F274" s="0" t="str">
        <f aca="false">IF(E274="","",IF(COUNTIFS('MASTER BAHAN'!$A$5:$A$504,E274)=0,"BELUM ADA",INDEX('MASTER BAHAN'!$B$5:$B$504,MATCH(E274,'MASTER BAHAN'!$A$5:$A$504,0))))</f>
        <v/>
      </c>
      <c r="H274" s="0" t="str">
        <f aca="false">IF(E274="","",IF(COUNTIFS('MASTER BAHAN'!$A$5:$A$504,E274)=0,"BELUM ADA",INDEX('MASTER BAHAN'!$D$5:$D$504,MATCH(E274,'MASTER BAHAN'!$A$5:$A$504,0))))</f>
        <v/>
      </c>
      <c r="J274" s="0" t="str">
        <f aca="false">IF(A274="","",IF(OR(NOT(ISNUMBER(G274)),NOT(ISNUMBER(I274))),"BELUM LENGKAP",ROUND(G274*I274,0)))</f>
        <v/>
      </c>
      <c r="M274" s="24" t="str">
        <f aca="false">IF(A274="","",COUNTIF($A$5:A274,A274))</f>
        <v/>
      </c>
      <c r="N274" s="24" t="str">
        <f aca="false">IF(A274="","",A274&amp;"|"&amp;M274)</f>
        <v/>
      </c>
    </row>
    <row r="275" customFormat="false" ht="15" hidden="false" customHeight="false" outlineLevel="0" collapsed="false">
      <c r="F275" s="0" t="str">
        <f aca="false">IF(E275="","",IF(COUNTIFS('MASTER BAHAN'!$A$5:$A$504,E275)=0,"BELUM ADA",INDEX('MASTER BAHAN'!$B$5:$B$504,MATCH(E275,'MASTER BAHAN'!$A$5:$A$504,0))))</f>
        <v/>
      </c>
      <c r="H275" s="0" t="str">
        <f aca="false">IF(E275="","",IF(COUNTIFS('MASTER BAHAN'!$A$5:$A$504,E275)=0,"BELUM ADA",INDEX('MASTER BAHAN'!$D$5:$D$504,MATCH(E275,'MASTER BAHAN'!$A$5:$A$504,0))))</f>
        <v/>
      </c>
      <c r="J275" s="0" t="str">
        <f aca="false">IF(A275="","",IF(OR(NOT(ISNUMBER(G275)),NOT(ISNUMBER(I275))),"BELUM LENGKAP",ROUND(G275*I275,0)))</f>
        <v/>
      </c>
      <c r="M275" s="24" t="str">
        <f aca="false">IF(A275="","",COUNTIF($A$5:A275,A275))</f>
        <v/>
      </c>
      <c r="N275" s="24" t="str">
        <f aca="false">IF(A275="","",A275&amp;"|"&amp;M275)</f>
        <v/>
      </c>
    </row>
    <row r="276" customFormat="false" ht="15" hidden="false" customHeight="false" outlineLevel="0" collapsed="false">
      <c r="F276" s="0" t="str">
        <f aca="false">IF(E276="","",IF(COUNTIFS('MASTER BAHAN'!$A$5:$A$504,E276)=0,"BELUM ADA",INDEX('MASTER BAHAN'!$B$5:$B$504,MATCH(E276,'MASTER BAHAN'!$A$5:$A$504,0))))</f>
        <v/>
      </c>
      <c r="H276" s="0" t="str">
        <f aca="false">IF(E276="","",IF(COUNTIFS('MASTER BAHAN'!$A$5:$A$504,E276)=0,"BELUM ADA",INDEX('MASTER BAHAN'!$D$5:$D$504,MATCH(E276,'MASTER BAHAN'!$A$5:$A$504,0))))</f>
        <v/>
      </c>
      <c r="J276" s="0" t="str">
        <f aca="false">IF(A276="","",IF(OR(NOT(ISNUMBER(G276)),NOT(ISNUMBER(I276))),"BELUM LENGKAP",ROUND(G276*I276,0)))</f>
        <v/>
      </c>
      <c r="M276" s="24" t="str">
        <f aca="false">IF(A276="","",COUNTIF($A$5:A276,A276))</f>
        <v/>
      </c>
      <c r="N276" s="24" t="str">
        <f aca="false">IF(A276="","",A276&amp;"|"&amp;M276)</f>
        <v/>
      </c>
    </row>
    <row r="277" customFormat="false" ht="15" hidden="false" customHeight="false" outlineLevel="0" collapsed="false">
      <c r="F277" s="0" t="str">
        <f aca="false">IF(E277="","",IF(COUNTIFS('MASTER BAHAN'!$A$5:$A$504,E277)=0,"BELUM ADA",INDEX('MASTER BAHAN'!$B$5:$B$504,MATCH(E277,'MASTER BAHAN'!$A$5:$A$504,0))))</f>
        <v/>
      </c>
      <c r="H277" s="0" t="str">
        <f aca="false">IF(E277="","",IF(COUNTIFS('MASTER BAHAN'!$A$5:$A$504,E277)=0,"BELUM ADA",INDEX('MASTER BAHAN'!$D$5:$D$504,MATCH(E277,'MASTER BAHAN'!$A$5:$A$504,0))))</f>
        <v/>
      </c>
      <c r="J277" s="0" t="str">
        <f aca="false">IF(A277="","",IF(OR(NOT(ISNUMBER(G277)),NOT(ISNUMBER(I277))),"BELUM LENGKAP",ROUND(G277*I277,0)))</f>
        <v/>
      </c>
      <c r="M277" s="24" t="str">
        <f aca="false">IF(A277="","",COUNTIF($A$5:A277,A277))</f>
        <v/>
      </c>
      <c r="N277" s="24" t="str">
        <f aca="false">IF(A277="","",A277&amp;"|"&amp;M277)</f>
        <v/>
      </c>
    </row>
    <row r="278" customFormat="false" ht="15" hidden="false" customHeight="false" outlineLevel="0" collapsed="false">
      <c r="F278" s="0" t="str">
        <f aca="false">IF(E278="","",IF(COUNTIFS('MASTER BAHAN'!$A$5:$A$504,E278)=0,"BELUM ADA",INDEX('MASTER BAHAN'!$B$5:$B$504,MATCH(E278,'MASTER BAHAN'!$A$5:$A$504,0))))</f>
        <v/>
      </c>
      <c r="H278" s="0" t="str">
        <f aca="false">IF(E278="","",IF(COUNTIFS('MASTER BAHAN'!$A$5:$A$504,E278)=0,"BELUM ADA",INDEX('MASTER BAHAN'!$D$5:$D$504,MATCH(E278,'MASTER BAHAN'!$A$5:$A$504,0))))</f>
        <v/>
      </c>
      <c r="J278" s="0" t="str">
        <f aca="false">IF(A278="","",IF(OR(NOT(ISNUMBER(G278)),NOT(ISNUMBER(I278))),"BELUM LENGKAP",ROUND(G278*I278,0)))</f>
        <v/>
      </c>
      <c r="M278" s="24" t="str">
        <f aca="false">IF(A278="","",COUNTIF($A$5:A278,A278))</f>
        <v/>
      </c>
      <c r="N278" s="24" t="str">
        <f aca="false">IF(A278="","",A278&amp;"|"&amp;M278)</f>
        <v/>
      </c>
    </row>
    <row r="279" customFormat="false" ht="15" hidden="false" customHeight="false" outlineLevel="0" collapsed="false">
      <c r="F279" s="0" t="str">
        <f aca="false">IF(E279="","",IF(COUNTIFS('MASTER BAHAN'!$A$5:$A$504,E279)=0,"BELUM ADA",INDEX('MASTER BAHAN'!$B$5:$B$504,MATCH(E279,'MASTER BAHAN'!$A$5:$A$504,0))))</f>
        <v/>
      </c>
      <c r="H279" s="0" t="str">
        <f aca="false">IF(E279="","",IF(COUNTIFS('MASTER BAHAN'!$A$5:$A$504,E279)=0,"BELUM ADA",INDEX('MASTER BAHAN'!$D$5:$D$504,MATCH(E279,'MASTER BAHAN'!$A$5:$A$504,0))))</f>
        <v/>
      </c>
      <c r="J279" s="0" t="str">
        <f aca="false">IF(A279="","",IF(OR(NOT(ISNUMBER(G279)),NOT(ISNUMBER(I279))),"BELUM LENGKAP",ROUND(G279*I279,0)))</f>
        <v/>
      </c>
      <c r="M279" s="24" t="str">
        <f aca="false">IF(A279="","",COUNTIF($A$5:A279,A279))</f>
        <v/>
      </c>
      <c r="N279" s="24" t="str">
        <f aca="false">IF(A279="","",A279&amp;"|"&amp;M279)</f>
        <v/>
      </c>
    </row>
    <row r="280" customFormat="false" ht="15" hidden="false" customHeight="false" outlineLevel="0" collapsed="false">
      <c r="F280" s="0" t="str">
        <f aca="false">IF(E280="","",IF(COUNTIFS('MASTER BAHAN'!$A$5:$A$504,E280)=0,"BELUM ADA",INDEX('MASTER BAHAN'!$B$5:$B$504,MATCH(E280,'MASTER BAHAN'!$A$5:$A$504,0))))</f>
        <v/>
      </c>
      <c r="H280" s="0" t="str">
        <f aca="false">IF(E280="","",IF(COUNTIFS('MASTER BAHAN'!$A$5:$A$504,E280)=0,"BELUM ADA",INDEX('MASTER BAHAN'!$D$5:$D$504,MATCH(E280,'MASTER BAHAN'!$A$5:$A$504,0))))</f>
        <v/>
      </c>
      <c r="J280" s="0" t="str">
        <f aca="false">IF(A280="","",IF(OR(NOT(ISNUMBER(G280)),NOT(ISNUMBER(I280))),"BELUM LENGKAP",ROUND(G280*I280,0)))</f>
        <v/>
      </c>
      <c r="M280" s="24" t="str">
        <f aca="false">IF(A280="","",COUNTIF($A$5:A280,A280))</f>
        <v/>
      </c>
      <c r="N280" s="24" t="str">
        <f aca="false">IF(A280="","",A280&amp;"|"&amp;M280)</f>
        <v/>
      </c>
    </row>
    <row r="281" customFormat="false" ht="15" hidden="false" customHeight="false" outlineLevel="0" collapsed="false">
      <c r="F281" s="0" t="str">
        <f aca="false">IF(E281="","",IF(COUNTIFS('MASTER BAHAN'!$A$5:$A$504,E281)=0,"BELUM ADA",INDEX('MASTER BAHAN'!$B$5:$B$504,MATCH(E281,'MASTER BAHAN'!$A$5:$A$504,0))))</f>
        <v/>
      </c>
      <c r="H281" s="0" t="str">
        <f aca="false">IF(E281="","",IF(COUNTIFS('MASTER BAHAN'!$A$5:$A$504,E281)=0,"BELUM ADA",INDEX('MASTER BAHAN'!$D$5:$D$504,MATCH(E281,'MASTER BAHAN'!$A$5:$A$504,0))))</f>
        <v/>
      </c>
      <c r="J281" s="0" t="str">
        <f aca="false">IF(A281="","",IF(OR(NOT(ISNUMBER(G281)),NOT(ISNUMBER(I281))),"BELUM LENGKAP",ROUND(G281*I281,0)))</f>
        <v/>
      </c>
      <c r="M281" s="24" t="str">
        <f aca="false">IF(A281="","",COUNTIF($A$5:A281,A281))</f>
        <v/>
      </c>
      <c r="N281" s="24" t="str">
        <f aca="false">IF(A281="","",A281&amp;"|"&amp;M281)</f>
        <v/>
      </c>
    </row>
    <row r="282" customFormat="false" ht="15" hidden="false" customHeight="false" outlineLevel="0" collapsed="false">
      <c r="F282" s="0" t="str">
        <f aca="false">IF(E282="","",IF(COUNTIFS('MASTER BAHAN'!$A$5:$A$504,E282)=0,"BELUM ADA",INDEX('MASTER BAHAN'!$B$5:$B$504,MATCH(E282,'MASTER BAHAN'!$A$5:$A$504,0))))</f>
        <v/>
      </c>
      <c r="H282" s="0" t="str">
        <f aca="false">IF(E282="","",IF(COUNTIFS('MASTER BAHAN'!$A$5:$A$504,E282)=0,"BELUM ADA",INDEX('MASTER BAHAN'!$D$5:$D$504,MATCH(E282,'MASTER BAHAN'!$A$5:$A$504,0))))</f>
        <v/>
      </c>
      <c r="J282" s="0" t="str">
        <f aca="false">IF(A282="","",IF(OR(NOT(ISNUMBER(G282)),NOT(ISNUMBER(I282))),"BELUM LENGKAP",ROUND(G282*I282,0)))</f>
        <v/>
      </c>
      <c r="M282" s="24" t="str">
        <f aca="false">IF(A282="","",COUNTIF($A$5:A282,A282))</f>
        <v/>
      </c>
      <c r="N282" s="24" t="str">
        <f aca="false">IF(A282="","",A282&amp;"|"&amp;M282)</f>
        <v/>
      </c>
    </row>
    <row r="283" customFormat="false" ht="15" hidden="false" customHeight="false" outlineLevel="0" collapsed="false">
      <c r="F283" s="0" t="str">
        <f aca="false">IF(E283="","",IF(COUNTIFS('MASTER BAHAN'!$A$5:$A$504,E283)=0,"BELUM ADA",INDEX('MASTER BAHAN'!$B$5:$B$504,MATCH(E283,'MASTER BAHAN'!$A$5:$A$504,0))))</f>
        <v/>
      </c>
      <c r="H283" s="0" t="str">
        <f aca="false">IF(E283="","",IF(COUNTIFS('MASTER BAHAN'!$A$5:$A$504,E283)=0,"BELUM ADA",INDEX('MASTER BAHAN'!$D$5:$D$504,MATCH(E283,'MASTER BAHAN'!$A$5:$A$504,0))))</f>
        <v/>
      </c>
      <c r="J283" s="0" t="str">
        <f aca="false">IF(A283="","",IF(OR(NOT(ISNUMBER(G283)),NOT(ISNUMBER(I283))),"BELUM LENGKAP",ROUND(G283*I283,0)))</f>
        <v/>
      </c>
      <c r="M283" s="24" t="str">
        <f aca="false">IF(A283="","",COUNTIF($A$5:A283,A283))</f>
        <v/>
      </c>
      <c r="N283" s="24" t="str">
        <f aca="false">IF(A283="","",A283&amp;"|"&amp;M283)</f>
        <v/>
      </c>
    </row>
    <row r="284" customFormat="false" ht="15" hidden="false" customHeight="false" outlineLevel="0" collapsed="false">
      <c r="F284" s="0" t="str">
        <f aca="false">IF(E284="","",IF(COUNTIFS('MASTER BAHAN'!$A$5:$A$504,E284)=0,"BELUM ADA",INDEX('MASTER BAHAN'!$B$5:$B$504,MATCH(E284,'MASTER BAHAN'!$A$5:$A$504,0))))</f>
        <v/>
      </c>
      <c r="H284" s="0" t="str">
        <f aca="false">IF(E284="","",IF(COUNTIFS('MASTER BAHAN'!$A$5:$A$504,E284)=0,"BELUM ADA",INDEX('MASTER BAHAN'!$D$5:$D$504,MATCH(E284,'MASTER BAHAN'!$A$5:$A$504,0))))</f>
        <v/>
      </c>
      <c r="J284" s="0" t="str">
        <f aca="false">IF(A284="","",IF(OR(NOT(ISNUMBER(G284)),NOT(ISNUMBER(I284))),"BELUM LENGKAP",ROUND(G284*I284,0)))</f>
        <v/>
      </c>
      <c r="M284" s="24" t="str">
        <f aca="false">IF(A284="","",COUNTIF($A$5:A284,A284))</f>
        <v/>
      </c>
      <c r="N284" s="24" t="str">
        <f aca="false">IF(A284="","",A284&amp;"|"&amp;M284)</f>
        <v/>
      </c>
    </row>
    <row r="285" customFormat="false" ht="15" hidden="false" customHeight="false" outlineLevel="0" collapsed="false">
      <c r="F285" s="0" t="str">
        <f aca="false">IF(E285="","",IF(COUNTIFS('MASTER BAHAN'!$A$5:$A$504,E285)=0,"BELUM ADA",INDEX('MASTER BAHAN'!$B$5:$B$504,MATCH(E285,'MASTER BAHAN'!$A$5:$A$504,0))))</f>
        <v/>
      </c>
      <c r="H285" s="0" t="str">
        <f aca="false">IF(E285="","",IF(COUNTIFS('MASTER BAHAN'!$A$5:$A$504,E285)=0,"BELUM ADA",INDEX('MASTER BAHAN'!$D$5:$D$504,MATCH(E285,'MASTER BAHAN'!$A$5:$A$504,0))))</f>
        <v/>
      </c>
      <c r="J285" s="0" t="str">
        <f aca="false">IF(A285="","",IF(OR(NOT(ISNUMBER(G285)),NOT(ISNUMBER(I285))),"BELUM LENGKAP",ROUND(G285*I285,0)))</f>
        <v/>
      </c>
      <c r="M285" s="24" t="str">
        <f aca="false">IF(A285="","",COUNTIF($A$5:A285,A285))</f>
        <v/>
      </c>
      <c r="N285" s="24" t="str">
        <f aca="false">IF(A285="","",A285&amp;"|"&amp;M285)</f>
        <v/>
      </c>
    </row>
    <row r="286" customFormat="false" ht="15" hidden="false" customHeight="false" outlineLevel="0" collapsed="false">
      <c r="F286" s="0" t="str">
        <f aca="false">IF(E286="","",IF(COUNTIFS('MASTER BAHAN'!$A$5:$A$504,E286)=0,"BELUM ADA",INDEX('MASTER BAHAN'!$B$5:$B$504,MATCH(E286,'MASTER BAHAN'!$A$5:$A$504,0))))</f>
        <v/>
      </c>
      <c r="H286" s="0" t="str">
        <f aca="false">IF(E286="","",IF(COUNTIFS('MASTER BAHAN'!$A$5:$A$504,E286)=0,"BELUM ADA",INDEX('MASTER BAHAN'!$D$5:$D$504,MATCH(E286,'MASTER BAHAN'!$A$5:$A$504,0))))</f>
        <v/>
      </c>
      <c r="J286" s="0" t="str">
        <f aca="false">IF(A286="","",IF(OR(NOT(ISNUMBER(G286)),NOT(ISNUMBER(I286))),"BELUM LENGKAP",ROUND(G286*I286,0)))</f>
        <v/>
      </c>
      <c r="M286" s="24" t="str">
        <f aca="false">IF(A286="","",COUNTIF($A$5:A286,A286))</f>
        <v/>
      </c>
      <c r="N286" s="24" t="str">
        <f aca="false">IF(A286="","",A286&amp;"|"&amp;M286)</f>
        <v/>
      </c>
    </row>
    <row r="287" customFormat="false" ht="15" hidden="false" customHeight="false" outlineLevel="0" collapsed="false">
      <c r="F287" s="0" t="str">
        <f aca="false">IF(E287="","",IF(COUNTIFS('MASTER BAHAN'!$A$5:$A$504,E287)=0,"BELUM ADA",INDEX('MASTER BAHAN'!$B$5:$B$504,MATCH(E287,'MASTER BAHAN'!$A$5:$A$504,0))))</f>
        <v/>
      </c>
      <c r="H287" s="0" t="str">
        <f aca="false">IF(E287="","",IF(COUNTIFS('MASTER BAHAN'!$A$5:$A$504,E287)=0,"BELUM ADA",INDEX('MASTER BAHAN'!$D$5:$D$504,MATCH(E287,'MASTER BAHAN'!$A$5:$A$504,0))))</f>
        <v/>
      </c>
      <c r="J287" s="0" t="str">
        <f aca="false">IF(A287="","",IF(OR(NOT(ISNUMBER(G287)),NOT(ISNUMBER(I287))),"BELUM LENGKAP",ROUND(G287*I287,0)))</f>
        <v/>
      </c>
      <c r="M287" s="24" t="str">
        <f aca="false">IF(A287="","",COUNTIF($A$5:A287,A287))</f>
        <v/>
      </c>
      <c r="N287" s="24" t="str">
        <f aca="false">IF(A287="","",A287&amp;"|"&amp;M287)</f>
        <v/>
      </c>
    </row>
    <row r="288" customFormat="false" ht="15" hidden="false" customHeight="false" outlineLevel="0" collapsed="false">
      <c r="F288" s="0" t="str">
        <f aca="false">IF(E288="","",IF(COUNTIFS('MASTER BAHAN'!$A$5:$A$504,E288)=0,"BELUM ADA",INDEX('MASTER BAHAN'!$B$5:$B$504,MATCH(E288,'MASTER BAHAN'!$A$5:$A$504,0))))</f>
        <v/>
      </c>
      <c r="H288" s="0" t="str">
        <f aca="false">IF(E288="","",IF(COUNTIFS('MASTER BAHAN'!$A$5:$A$504,E288)=0,"BELUM ADA",INDEX('MASTER BAHAN'!$D$5:$D$504,MATCH(E288,'MASTER BAHAN'!$A$5:$A$504,0))))</f>
        <v/>
      </c>
      <c r="J288" s="0" t="str">
        <f aca="false">IF(A288="","",IF(OR(NOT(ISNUMBER(G288)),NOT(ISNUMBER(I288))),"BELUM LENGKAP",ROUND(G288*I288,0)))</f>
        <v/>
      </c>
      <c r="M288" s="24" t="str">
        <f aca="false">IF(A288="","",COUNTIF($A$5:A288,A288))</f>
        <v/>
      </c>
      <c r="N288" s="24" t="str">
        <f aca="false">IF(A288="","",A288&amp;"|"&amp;M288)</f>
        <v/>
      </c>
    </row>
    <row r="289" customFormat="false" ht="15" hidden="false" customHeight="false" outlineLevel="0" collapsed="false">
      <c r="F289" s="0" t="str">
        <f aca="false">IF(E289="","",IF(COUNTIFS('MASTER BAHAN'!$A$5:$A$504,E289)=0,"BELUM ADA",INDEX('MASTER BAHAN'!$B$5:$B$504,MATCH(E289,'MASTER BAHAN'!$A$5:$A$504,0))))</f>
        <v/>
      </c>
      <c r="H289" s="0" t="str">
        <f aca="false">IF(E289="","",IF(COUNTIFS('MASTER BAHAN'!$A$5:$A$504,E289)=0,"BELUM ADA",INDEX('MASTER BAHAN'!$D$5:$D$504,MATCH(E289,'MASTER BAHAN'!$A$5:$A$504,0))))</f>
        <v/>
      </c>
      <c r="J289" s="0" t="str">
        <f aca="false">IF(A289="","",IF(OR(NOT(ISNUMBER(G289)),NOT(ISNUMBER(I289))),"BELUM LENGKAP",ROUND(G289*I289,0)))</f>
        <v/>
      </c>
      <c r="M289" s="24" t="str">
        <f aca="false">IF(A289="","",COUNTIF($A$5:A289,A289))</f>
        <v/>
      </c>
      <c r="N289" s="24" t="str">
        <f aca="false">IF(A289="","",A289&amp;"|"&amp;M289)</f>
        <v/>
      </c>
    </row>
    <row r="290" customFormat="false" ht="15" hidden="false" customHeight="false" outlineLevel="0" collapsed="false">
      <c r="F290" s="0" t="str">
        <f aca="false">IF(E290="","",IF(COUNTIFS('MASTER BAHAN'!$A$5:$A$504,E290)=0,"BELUM ADA",INDEX('MASTER BAHAN'!$B$5:$B$504,MATCH(E290,'MASTER BAHAN'!$A$5:$A$504,0))))</f>
        <v/>
      </c>
      <c r="H290" s="0" t="str">
        <f aca="false">IF(E290="","",IF(COUNTIFS('MASTER BAHAN'!$A$5:$A$504,E290)=0,"BELUM ADA",INDEX('MASTER BAHAN'!$D$5:$D$504,MATCH(E290,'MASTER BAHAN'!$A$5:$A$504,0))))</f>
        <v/>
      </c>
      <c r="J290" s="0" t="str">
        <f aca="false">IF(A290="","",IF(OR(NOT(ISNUMBER(G290)),NOT(ISNUMBER(I290))),"BELUM LENGKAP",ROUND(G290*I290,0)))</f>
        <v/>
      </c>
      <c r="M290" s="24" t="str">
        <f aca="false">IF(A290="","",COUNTIF($A$5:A290,A290))</f>
        <v/>
      </c>
      <c r="N290" s="24" t="str">
        <f aca="false">IF(A290="","",A290&amp;"|"&amp;M290)</f>
        <v/>
      </c>
    </row>
    <row r="291" customFormat="false" ht="15" hidden="false" customHeight="false" outlineLevel="0" collapsed="false">
      <c r="F291" s="0" t="str">
        <f aca="false">IF(E291="","",IF(COUNTIFS('MASTER BAHAN'!$A$5:$A$504,E291)=0,"BELUM ADA",INDEX('MASTER BAHAN'!$B$5:$B$504,MATCH(E291,'MASTER BAHAN'!$A$5:$A$504,0))))</f>
        <v/>
      </c>
      <c r="H291" s="0" t="str">
        <f aca="false">IF(E291="","",IF(COUNTIFS('MASTER BAHAN'!$A$5:$A$504,E291)=0,"BELUM ADA",INDEX('MASTER BAHAN'!$D$5:$D$504,MATCH(E291,'MASTER BAHAN'!$A$5:$A$504,0))))</f>
        <v/>
      </c>
      <c r="J291" s="0" t="str">
        <f aca="false">IF(A291="","",IF(OR(NOT(ISNUMBER(G291)),NOT(ISNUMBER(I291))),"BELUM LENGKAP",ROUND(G291*I291,0)))</f>
        <v/>
      </c>
      <c r="M291" s="24" t="str">
        <f aca="false">IF(A291="","",COUNTIF($A$5:A291,A291))</f>
        <v/>
      </c>
      <c r="N291" s="24" t="str">
        <f aca="false">IF(A291="","",A291&amp;"|"&amp;M291)</f>
        <v/>
      </c>
    </row>
    <row r="292" customFormat="false" ht="15" hidden="false" customHeight="false" outlineLevel="0" collapsed="false">
      <c r="F292" s="0" t="str">
        <f aca="false">IF(E292="","",IF(COUNTIFS('MASTER BAHAN'!$A$5:$A$504,E292)=0,"BELUM ADA",INDEX('MASTER BAHAN'!$B$5:$B$504,MATCH(E292,'MASTER BAHAN'!$A$5:$A$504,0))))</f>
        <v/>
      </c>
      <c r="H292" s="0" t="str">
        <f aca="false">IF(E292="","",IF(COUNTIFS('MASTER BAHAN'!$A$5:$A$504,E292)=0,"BELUM ADA",INDEX('MASTER BAHAN'!$D$5:$D$504,MATCH(E292,'MASTER BAHAN'!$A$5:$A$504,0))))</f>
        <v/>
      </c>
      <c r="J292" s="0" t="str">
        <f aca="false">IF(A292="","",IF(OR(NOT(ISNUMBER(G292)),NOT(ISNUMBER(I292))),"BELUM LENGKAP",ROUND(G292*I292,0)))</f>
        <v/>
      </c>
      <c r="M292" s="24" t="str">
        <f aca="false">IF(A292="","",COUNTIF($A$5:A292,A292))</f>
        <v/>
      </c>
      <c r="N292" s="24" t="str">
        <f aca="false">IF(A292="","",A292&amp;"|"&amp;M292)</f>
        <v/>
      </c>
    </row>
    <row r="293" customFormat="false" ht="15" hidden="false" customHeight="false" outlineLevel="0" collapsed="false">
      <c r="F293" s="0" t="str">
        <f aca="false">IF(E293="","",IF(COUNTIFS('MASTER BAHAN'!$A$5:$A$504,E293)=0,"BELUM ADA",INDEX('MASTER BAHAN'!$B$5:$B$504,MATCH(E293,'MASTER BAHAN'!$A$5:$A$504,0))))</f>
        <v/>
      </c>
      <c r="H293" s="0" t="str">
        <f aca="false">IF(E293="","",IF(COUNTIFS('MASTER BAHAN'!$A$5:$A$504,E293)=0,"BELUM ADA",INDEX('MASTER BAHAN'!$D$5:$D$504,MATCH(E293,'MASTER BAHAN'!$A$5:$A$504,0))))</f>
        <v/>
      </c>
      <c r="J293" s="0" t="str">
        <f aca="false">IF(A293="","",IF(OR(NOT(ISNUMBER(G293)),NOT(ISNUMBER(I293))),"BELUM LENGKAP",ROUND(G293*I293,0)))</f>
        <v/>
      </c>
      <c r="M293" s="24" t="str">
        <f aca="false">IF(A293="","",COUNTIF($A$5:A293,A293))</f>
        <v/>
      </c>
      <c r="N293" s="24" t="str">
        <f aca="false">IF(A293="","",A293&amp;"|"&amp;M293)</f>
        <v/>
      </c>
    </row>
    <row r="294" customFormat="false" ht="15" hidden="false" customHeight="false" outlineLevel="0" collapsed="false">
      <c r="F294" s="0" t="str">
        <f aca="false">IF(E294="","",IF(COUNTIFS('MASTER BAHAN'!$A$5:$A$504,E294)=0,"BELUM ADA",INDEX('MASTER BAHAN'!$B$5:$B$504,MATCH(E294,'MASTER BAHAN'!$A$5:$A$504,0))))</f>
        <v/>
      </c>
      <c r="H294" s="0" t="str">
        <f aca="false">IF(E294="","",IF(COUNTIFS('MASTER BAHAN'!$A$5:$A$504,E294)=0,"BELUM ADA",INDEX('MASTER BAHAN'!$D$5:$D$504,MATCH(E294,'MASTER BAHAN'!$A$5:$A$504,0))))</f>
        <v/>
      </c>
      <c r="J294" s="0" t="str">
        <f aca="false">IF(A294="","",IF(OR(NOT(ISNUMBER(G294)),NOT(ISNUMBER(I294))),"BELUM LENGKAP",ROUND(G294*I294,0)))</f>
        <v/>
      </c>
      <c r="M294" s="24" t="str">
        <f aca="false">IF(A294="","",COUNTIF($A$5:A294,A294))</f>
        <v/>
      </c>
      <c r="N294" s="24" t="str">
        <f aca="false">IF(A294="","",A294&amp;"|"&amp;M294)</f>
        <v/>
      </c>
    </row>
    <row r="295" customFormat="false" ht="15" hidden="false" customHeight="false" outlineLevel="0" collapsed="false">
      <c r="F295" s="0" t="str">
        <f aca="false">IF(E295="","",IF(COUNTIFS('MASTER BAHAN'!$A$5:$A$504,E295)=0,"BELUM ADA",INDEX('MASTER BAHAN'!$B$5:$B$504,MATCH(E295,'MASTER BAHAN'!$A$5:$A$504,0))))</f>
        <v/>
      </c>
      <c r="H295" s="0" t="str">
        <f aca="false">IF(E295="","",IF(COUNTIFS('MASTER BAHAN'!$A$5:$A$504,E295)=0,"BELUM ADA",INDEX('MASTER BAHAN'!$D$5:$D$504,MATCH(E295,'MASTER BAHAN'!$A$5:$A$504,0))))</f>
        <v/>
      </c>
      <c r="J295" s="0" t="str">
        <f aca="false">IF(A295="","",IF(OR(NOT(ISNUMBER(G295)),NOT(ISNUMBER(I295))),"BELUM LENGKAP",ROUND(G295*I295,0)))</f>
        <v/>
      </c>
      <c r="M295" s="24" t="str">
        <f aca="false">IF(A295="","",COUNTIF($A$5:A295,A295))</f>
        <v/>
      </c>
      <c r="N295" s="24" t="str">
        <f aca="false">IF(A295="","",A295&amp;"|"&amp;M295)</f>
        <v/>
      </c>
    </row>
    <row r="296" customFormat="false" ht="15" hidden="false" customHeight="false" outlineLevel="0" collapsed="false">
      <c r="F296" s="0" t="str">
        <f aca="false">IF(E296="","",IF(COUNTIFS('MASTER BAHAN'!$A$5:$A$504,E296)=0,"BELUM ADA",INDEX('MASTER BAHAN'!$B$5:$B$504,MATCH(E296,'MASTER BAHAN'!$A$5:$A$504,0))))</f>
        <v/>
      </c>
      <c r="H296" s="0" t="str">
        <f aca="false">IF(E296="","",IF(COUNTIFS('MASTER BAHAN'!$A$5:$A$504,E296)=0,"BELUM ADA",INDEX('MASTER BAHAN'!$D$5:$D$504,MATCH(E296,'MASTER BAHAN'!$A$5:$A$504,0))))</f>
        <v/>
      </c>
      <c r="J296" s="0" t="str">
        <f aca="false">IF(A296="","",IF(OR(NOT(ISNUMBER(G296)),NOT(ISNUMBER(I296))),"BELUM LENGKAP",ROUND(G296*I296,0)))</f>
        <v/>
      </c>
      <c r="M296" s="24" t="str">
        <f aca="false">IF(A296="","",COUNTIF($A$5:A296,A296))</f>
        <v/>
      </c>
      <c r="N296" s="24" t="str">
        <f aca="false">IF(A296="","",A296&amp;"|"&amp;M296)</f>
        <v/>
      </c>
    </row>
    <row r="297" customFormat="false" ht="15" hidden="false" customHeight="false" outlineLevel="0" collapsed="false">
      <c r="F297" s="0" t="str">
        <f aca="false">IF(E297="","",IF(COUNTIFS('MASTER BAHAN'!$A$5:$A$504,E297)=0,"BELUM ADA",INDEX('MASTER BAHAN'!$B$5:$B$504,MATCH(E297,'MASTER BAHAN'!$A$5:$A$504,0))))</f>
        <v/>
      </c>
      <c r="H297" s="0" t="str">
        <f aca="false">IF(E297="","",IF(COUNTIFS('MASTER BAHAN'!$A$5:$A$504,E297)=0,"BELUM ADA",INDEX('MASTER BAHAN'!$D$5:$D$504,MATCH(E297,'MASTER BAHAN'!$A$5:$A$504,0))))</f>
        <v/>
      </c>
      <c r="J297" s="0" t="str">
        <f aca="false">IF(A297="","",IF(OR(NOT(ISNUMBER(G297)),NOT(ISNUMBER(I297))),"BELUM LENGKAP",ROUND(G297*I297,0)))</f>
        <v/>
      </c>
      <c r="M297" s="24" t="str">
        <f aca="false">IF(A297="","",COUNTIF($A$5:A297,A297))</f>
        <v/>
      </c>
      <c r="N297" s="24" t="str">
        <f aca="false">IF(A297="","",A297&amp;"|"&amp;M297)</f>
        <v/>
      </c>
    </row>
    <row r="298" customFormat="false" ht="15" hidden="false" customHeight="false" outlineLevel="0" collapsed="false">
      <c r="F298" s="0" t="str">
        <f aca="false">IF(E298="","",IF(COUNTIFS('MASTER BAHAN'!$A$5:$A$504,E298)=0,"BELUM ADA",INDEX('MASTER BAHAN'!$B$5:$B$504,MATCH(E298,'MASTER BAHAN'!$A$5:$A$504,0))))</f>
        <v/>
      </c>
      <c r="H298" s="0" t="str">
        <f aca="false">IF(E298="","",IF(COUNTIFS('MASTER BAHAN'!$A$5:$A$504,E298)=0,"BELUM ADA",INDEX('MASTER BAHAN'!$D$5:$D$504,MATCH(E298,'MASTER BAHAN'!$A$5:$A$504,0))))</f>
        <v/>
      </c>
      <c r="J298" s="0" t="str">
        <f aca="false">IF(A298="","",IF(OR(NOT(ISNUMBER(G298)),NOT(ISNUMBER(I298))),"BELUM LENGKAP",ROUND(G298*I298,0)))</f>
        <v/>
      </c>
      <c r="M298" s="24" t="str">
        <f aca="false">IF(A298="","",COUNTIF($A$5:A298,A298))</f>
        <v/>
      </c>
      <c r="N298" s="24" t="str">
        <f aca="false">IF(A298="","",A298&amp;"|"&amp;M298)</f>
        <v/>
      </c>
    </row>
    <row r="299" customFormat="false" ht="15" hidden="false" customHeight="false" outlineLevel="0" collapsed="false">
      <c r="F299" s="0" t="str">
        <f aca="false">IF(E299="","",IF(COUNTIFS('MASTER BAHAN'!$A$5:$A$504,E299)=0,"BELUM ADA",INDEX('MASTER BAHAN'!$B$5:$B$504,MATCH(E299,'MASTER BAHAN'!$A$5:$A$504,0))))</f>
        <v/>
      </c>
      <c r="H299" s="0" t="str">
        <f aca="false">IF(E299="","",IF(COUNTIFS('MASTER BAHAN'!$A$5:$A$504,E299)=0,"BELUM ADA",INDEX('MASTER BAHAN'!$D$5:$D$504,MATCH(E299,'MASTER BAHAN'!$A$5:$A$504,0))))</f>
        <v/>
      </c>
      <c r="J299" s="0" t="str">
        <f aca="false">IF(A299="","",IF(OR(NOT(ISNUMBER(G299)),NOT(ISNUMBER(I299))),"BELUM LENGKAP",ROUND(G299*I299,0)))</f>
        <v/>
      </c>
      <c r="M299" s="24" t="str">
        <f aca="false">IF(A299="","",COUNTIF($A$5:A299,A299))</f>
        <v/>
      </c>
      <c r="N299" s="24" t="str">
        <f aca="false">IF(A299="","",A299&amp;"|"&amp;M299)</f>
        <v/>
      </c>
    </row>
    <row r="300" customFormat="false" ht="15" hidden="false" customHeight="false" outlineLevel="0" collapsed="false">
      <c r="F300" s="0" t="str">
        <f aca="false">IF(E300="","",IF(COUNTIFS('MASTER BAHAN'!$A$5:$A$504,E300)=0,"BELUM ADA",INDEX('MASTER BAHAN'!$B$5:$B$504,MATCH(E300,'MASTER BAHAN'!$A$5:$A$504,0))))</f>
        <v/>
      </c>
      <c r="H300" s="0" t="str">
        <f aca="false">IF(E300="","",IF(COUNTIFS('MASTER BAHAN'!$A$5:$A$504,E300)=0,"BELUM ADA",INDEX('MASTER BAHAN'!$D$5:$D$504,MATCH(E300,'MASTER BAHAN'!$A$5:$A$504,0))))</f>
        <v/>
      </c>
      <c r="J300" s="0" t="str">
        <f aca="false">IF(A300="","",IF(OR(NOT(ISNUMBER(G300)),NOT(ISNUMBER(I300))),"BELUM LENGKAP",ROUND(G300*I300,0)))</f>
        <v/>
      </c>
      <c r="M300" s="24" t="str">
        <f aca="false">IF(A300="","",COUNTIF($A$5:A300,A300))</f>
        <v/>
      </c>
      <c r="N300" s="24" t="str">
        <f aca="false">IF(A300="","",A300&amp;"|"&amp;M300)</f>
        <v/>
      </c>
    </row>
    <row r="301" customFormat="false" ht="15" hidden="false" customHeight="false" outlineLevel="0" collapsed="false">
      <c r="F301" s="0" t="str">
        <f aca="false">IF(E301="","",IF(COUNTIFS('MASTER BAHAN'!$A$5:$A$504,E301)=0,"BELUM ADA",INDEX('MASTER BAHAN'!$B$5:$B$504,MATCH(E301,'MASTER BAHAN'!$A$5:$A$504,0))))</f>
        <v/>
      </c>
      <c r="H301" s="0" t="str">
        <f aca="false">IF(E301="","",IF(COUNTIFS('MASTER BAHAN'!$A$5:$A$504,E301)=0,"BELUM ADA",INDEX('MASTER BAHAN'!$D$5:$D$504,MATCH(E301,'MASTER BAHAN'!$A$5:$A$504,0))))</f>
        <v/>
      </c>
      <c r="J301" s="0" t="str">
        <f aca="false">IF(A301="","",IF(OR(NOT(ISNUMBER(G301)),NOT(ISNUMBER(I301))),"BELUM LENGKAP",ROUND(G301*I301,0)))</f>
        <v/>
      </c>
      <c r="M301" s="24" t="str">
        <f aca="false">IF(A301="","",COUNTIF($A$5:A301,A301))</f>
        <v/>
      </c>
      <c r="N301" s="24" t="str">
        <f aca="false">IF(A301="","",A301&amp;"|"&amp;M301)</f>
        <v/>
      </c>
    </row>
    <row r="302" customFormat="false" ht="15" hidden="false" customHeight="false" outlineLevel="0" collapsed="false">
      <c r="F302" s="0" t="str">
        <f aca="false">IF(E302="","",IF(COUNTIFS('MASTER BAHAN'!$A$5:$A$504,E302)=0,"BELUM ADA",INDEX('MASTER BAHAN'!$B$5:$B$504,MATCH(E302,'MASTER BAHAN'!$A$5:$A$504,0))))</f>
        <v/>
      </c>
      <c r="H302" s="0" t="str">
        <f aca="false">IF(E302="","",IF(COUNTIFS('MASTER BAHAN'!$A$5:$A$504,E302)=0,"BELUM ADA",INDEX('MASTER BAHAN'!$D$5:$D$504,MATCH(E302,'MASTER BAHAN'!$A$5:$A$504,0))))</f>
        <v/>
      </c>
      <c r="J302" s="0" t="str">
        <f aca="false">IF(A302="","",IF(OR(NOT(ISNUMBER(G302)),NOT(ISNUMBER(I302))),"BELUM LENGKAP",ROUND(G302*I302,0)))</f>
        <v/>
      </c>
      <c r="M302" s="24" t="str">
        <f aca="false">IF(A302="","",COUNTIF($A$5:A302,A302))</f>
        <v/>
      </c>
      <c r="N302" s="24" t="str">
        <f aca="false">IF(A302="","",A302&amp;"|"&amp;M302)</f>
        <v/>
      </c>
    </row>
    <row r="303" customFormat="false" ht="15" hidden="false" customHeight="false" outlineLevel="0" collapsed="false">
      <c r="F303" s="0" t="str">
        <f aca="false">IF(E303="","",IF(COUNTIFS('MASTER BAHAN'!$A$5:$A$504,E303)=0,"BELUM ADA",INDEX('MASTER BAHAN'!$B$5:$B$504,MATCH(E303,'MASTER BAHAN'!$A$5:$A$504,0))))</f>
        <v/>
      </c>
      <c r="H303" s="0" t="str">
        <f aca="false">IF(E303="","",IF(COUNTIFS('MASTER BAHAN'!$A$5:$A$504,E303)=0,"BELUM ADA",INDEX('MASTER BAHAN'!$D$5:$D$504,MATCH(E303,'MASTER BAHAN'!$A$5:$A$504,0))))</f>
        <v/>
      </c>
      <c r="J303" s="0" t="str">
        <f aca="false">IF(A303="","",IF(OR(NOT(ISNUMBER(G303)),NOT(ISNUMBER(I303))),"BELUM LENGKAP",ROUND(G303*I303,0)))</f>
        <v/>
      </c>
      <c r="M303" s="24" t="str">
        <f aca="false">IF(A303="","",COUNTIF($A$5:A303,A303))</f>
        <v/>
      </c>
      <c r="N303" s="24" t="str">
        <f aca="false">IF(A303="","",A303&amp;"|"&amp;M303)</f>
        <v/>
      </c>
    </row>
    <row r="304" customFormat="false" ht="15" hidden="false" customHeight="false" outlineLevel="0" collapsed="false">
      <c r="F304" s="0" t="str">
        <f aca="false">IF(E304="","",IF(COUNTIFS('MASTER BAHAN'!$A$5:$A$504,E304)=0,"BELUM ADA",INDEX('MASTER BAHAN'!$B$5:$B$504,MATCH(E304,'MASTER BAHAN'!$A$5:$A$504,0))))</f>
        <v/>
      </c>
      <c r="H304" s="0" t="str">
        <f aca="false">IF(E304="","",IF(COUNTIFS('MASTER BAHAN'!$A$5:$A$504,E304)=0,"BELUM ADA",INDEX('MASTER BAHAN'!$D$5:$D$504,MATCH(E304,'MASTER BAHAN'!$A$5:$A$504,0))))</f>
        <v/>
      </c>
      <c r="J304" s="0" t="str">
        <f aca="false">IF(A304="","",IF(OR(NOT(ISNUMBER(G304)),NOT(ISNUMBER(I304))),"BELUM LENGKAP",ROUND(G304*I304,0)))</f>
        <v/>
      </c>
      <c r="M304" s="24" t="str">
        <f aca="false">IF(A304="","",COUNTIF($A$5:A304,A304))</f>
        <v/>
      </c>
      <c r="N304" s="24" t="str">
        <f aca="false">IF(A304="","",A304&amp;"|"&amp;M304)</f>
        <v/>
      </c>
    </row>
    <row r="305" customFormat="false" ht="15" hidden="false" customHeight="false" outlineLevel="0" collapsed="false">
      <c r="F305" s="0" t="str">
        <f aca="false">IF(E305="","",IF(COUNTIFS('MASTER BAHAN'!$A$5:$A$504,E305)=0,"BELUM ADA",INDEX('MASTER BAHAN'!$B$5:$B$504,MATCH(E305,'MASTER BAHAN'!$A$5:$A$504,0))))</f>
        <v/>
      </c>
      <c r="H305" s="0" t="str">
        <f aca="false">IF(E305="","",IF(COUNTIFS('MASTER BAHAN'!$A$5:$A$504,E305)=0,"BELUM ADA",INDEX('MASTER BAHAN'!$D$5:$D$504,MATCH(E305,'MASTER BAHAN'!$A$5:$A$504,0))))</f>
        <v/>
      </c>
      <c r="J305" s="0" t="str">
        <f aca="false">IF(A305="","",IF(OR(NOT(ISNUMBER(G305)),NOT(ISNUMBER(I305))),"BELUM LENGKAP",ROUND(G305*I305,0)))</f>
        <v/>
      </c>
      <c r="M305" s="24" t="str">
        <f aca="false">IF(A305="","",COUNTIF($A$5:A305,A305))</f>
        <v/>
      </c>
      <c r="N305" s="24" t="str">
        <f aca="false">IF(A305="","",A305&amp;"|"&amp;M305)</f>
        <v/>
      </c>
    </row>
    <row r="306" customFormat="false" ht="15" hidden="false" customHeight="false" outlineLevel="0" collapsed="false">
      <c r="F306" s="0" t="str">
        <f aca="false">IF(E306="","",IF(COUNTIFS('MASTER BAHAN'!$A$5:$A$504,E306)=0,"BELUM ADA",INDEX('MASTER BAHAN'!$B$5:$B$504,MATCH(E306,'MASTER BAHAN'!$A$5:$A$504,0))))</f>
        <v/>
      </c>
      <c r="H306" s="0" t="str">
        <f aca="false">IF(E306="","",IF(COUNTIFS('MASTER BAHAN'!$A$5:$A$504,E306)=0,"BELUM ADA",INDEX('MASTER BAHAN'!$D$5:$D$504,MATCH(E306,'MASTER BAHAN'!$A$5:$A$504,0))))</f>
        <v/>
      </c>
      <c r="J306" s="0" t="str">
        <f aca="false">IF(A306="","",IF(OR(NOT(ISNUMBER(G306)),NOT(ISNUMBER(I306))),"BELUM LENGKAP",ROUND(G306*I306,0)))</f>
        <v/>
      </c>
      <c r="M306" s="24" t="str">
        <f aca="false">IF(A306="","",COUNTIF($A$5:A306,A306))</f>
        <v/>
      </c>
      <c r="N306" s="24" t="str">
        <f aca="false">IF(A306="","",A306&amp;"|"&amp;M306)</f>
        <v/>
      </c>
    </row>
    <row r="307" customFormat="false" ht="15" hidden="false" customHeight="false" outlineLevel="0" collapsed="false">
      <c r="F307" s="0" t="str">
        <f aca="false">IF(E307="","",IF(COUNTIFS('MASTER BAHAN'!$A$5:$A$504,E307)=0,"BELUM ADA",INDEX('MASTER BAHAN'!$B$5:$B$504,MATCH(E307,'MASTER BAHAN'!$A$5:$A$504,0))))</f>
        <v/>
      </c>
      <c r="H307" s="0" t="str">
        <f aca="false">IF(E307="","",IF(COUNTIFS('MASTER BAHAN'!$A$5:$A$504,E307)=0,"BELUM ADA",INDEX('MASTER BAHAN'!$D$5:$D$504,MATCH(E307,'MASTER BAHAN'!$A$5:$A$504,0))))</f>
        <v/>
      </c>
      <c r="J307" s="0" t="str">
        <f aca="false">IF(A307="","",IF(OR(NOT(ISNUMBER(G307)),NOT(ISNUMBER(I307))),"BELUM LENGKAP",ROUND(G307*I307,0)))</f>
        <v/>
      </c>
      <c r="M307" s="24" t="str">
        <f aca="false">IF(A307="","",COUNTIF($A$5:A307,A307))</f>
        <v/>
      </c>
      <c r="N307" s="24" t="str">
        <f aca="false">IF(A307="","",A307&amp;"|"&amp;M307)</f>
        <v/>
      </c>
    </row>
    <row r="308" customFormat="false" ht="15" hidden="false" customHeight="false" outlineLevel="0" collapsed="false">
      <c r="F308" s="0" t="str">
        <f aca="false">IF(E308="","",IF(COUNTIFS('MASTER BAHAN'!$A$5:$A$504,E308)=0,"BELUM ADA",INDEX('MASTER BAHAN'!$B$5:$B$504,MATCH(E308,'MASTER BAHAN'!$A$5:$A$504,0))))</f>
        <v/>
      </c>
      <c r="H308" s="0" t="str">
        <f aca="false">IF(E308="","",IF(COUNTIFS('MASTER BAHAN'!$A$5:$A$504,E308)=0,"BELUM ADA",INDEX('MASTER BAHAN'!$D$5:$D$504,MATCH(E308,'MASTER BAHAN'!$A$5:$A$504,0))))</f>
        <v/>
      </c>
      <c r="J308" s="0" t="str">
        <f aca="false">IF(A308="","",IF(OR(NOT(ISNUMBER(G308)),NOT(ISNUMBER(I308))),"BELUM LENGKAP",ROUND(G308*I308,0)))</f>
        <v/>
      </c>
      <c r="M308" s="24" t="str">
        <f aca="false">IF(A308="","",COUNTIF($A$5:A308,A308))</f>
        <v/>
      </c>
      <c r="N308" s="24" t="str">
        <f aca="false">IF(A308="","",A308&amp;"|"&amp;M308)</f>
        <v/>
      </c>
    </row>
    <row r="309" customFormat="false" ht="15" hidden="false" customHeight="false" outlineLevel="0" collapsed="false">
      <c r="F309" s="0" t="str">
        <f aca="false">IF(E309="","",IF(COUNTIFS('MASTER BAHAN'!$A$5:$A$504,E309)=0,"BELUM ADA",INDEX('MASTER BAHAN'!$B$5:$B$504,MATCH(E309,'MASTER BAHAN'!$A$5:$A$504,0))))</f>
        <v/>
      </c>
      <c r="H309" s="0" t="str">
        <f aca="false">IF(E309="","",IF(COUNTIFS('MASTER BAHAN'!$A$5:$A$504,E309)=0,"BELUM ADA",INDEX('MASTER BAHAN'!$D$5:$D$504,MATCH(E309,'MASTER BAHAN'!$A$5:$A$504,0))))</f>
        <v/>
      </c>
      <c r="J309" s="0" t="str">
        <f aca="false">IF(A309="","",IF(OR(NOT(ISNUMBER(G309)),NOT(ISNUMBER(I309))),"BELUM LENGKAP",ROUND(G309*I309,0)))</f>
        <v/>
      </c>
      <c r="M309" s="24" t="str">
        <f aca="false">IF(A309="","",COUNTIF($A$5:A309,A309))</f>
        <v/>
      </c>
      <c r="N309" s="24" t="str">
        <f aca="false">IF(A309="","",A309&amp;"|"&amp;M309)</f>
        <v/>
      </c>
    </row>
    <row r="310" customFormat="false" ht="15" hidden="false" customHeight="false" outlineLevel="0" collapsed="false">
      <c r="F310" s="0" t="str">
        <f aca="false">IF(E310="","",IF(COUNTIFS('MASTER BAHAN'!$A$5:$A$504,E310)=0,"BELUM ADA",INDEX('MASTER BAHAN'!$B$5:$B$504,MATCH(E310,'MASTER BAHAN'!$A$5:$A$504,0))))</f>
        <v/>
      </c>
      <c r="H310" s="0" t="str">
        <f aca="false">IF(E310="","",IF(COUNTIFS('MASTER BAHAN'!$A$5:$A$504,E310)=0,"BELUM ADA",INDEX('MASTER BAHAN'!$D$5:$D$504,MATCH(E310,'MASTER BAHAN'!$A$5:$A$504,0))))</f>
        <v/>
      </c>
      <c r="J310" s="0" t="str">
        <f aca="false">IF(A310="","",IF(OR(NOT(ISNUMBER(G310)),NOT(ISNUMBER(I310))),"BELUM LENGKAP",ROUND(G310*I310,0)))</f>
        <v/>
      </c>
      <c r="M310" s="24" t="str">
        <f aca="false">IF(A310="","",COUNTIF($A$5:A310,A310))</f>
        <v/>
      </c>
      <c r="N310" s="24" t="str">
        <f aca="false">IF(A310="","",A310&amp;"|"&amp;M310)</f>
        <v/>
      </c>
    </row>
    <row r="311" customFormat="false" ht="15" hidden="false" customHeight="false" outlineLevel="0" collapsed="false">
      <c r="F311" s="0" t="str">
        <f aca="false">IF(E311="","",IF(COUNTIFS('MASTER BAHAN'!$A$5:$A$504,E311)=0,"BELUM ADA",INDEX('MASTER BAHAN'!$B$5:$B$504,MATCH(E311,'MASTER BAHAN'!$A$5:$A$504,0))))</f>
        <v/>
      </c>
      <c r="H311" s="0" t="str">
        <f aca="false">IF(E311="","",IF(COUNTIFS('MASTER BAHAN'!$A$5:$A$504,E311)=0,"BELUM ADA",INDEX('MASTER BAHAN'!$D$5:$D$504,MATCH(E311,'MASTER BAHAN'!$A$5:$A$504,0))))</f>
        <v/>
      </c>
      <c r="J311" s="0" t="str">
        <f aca="false">IF(A311="","",IF(OR(NOT(ISNUMBER(G311)),NOT(ISNUMBER(I311))),"BELUM LENGKAP",ROUND(G311*I311,0)))</f>
        <v/>
      </c>
      <c r="M311" s="24" t="str">
        <f aca="false">IF(A311="","",COUNTIF($A$5:A311,A311))</f>
        <v/>
      </c>
      <c r="N311" s="24" t="str">
        <f aca="false">IF(A311="","",A311&amp;"|"&amp;M311)</f>
        <v/>
      </c>
    </row>
    <row r="312" customFormat="false" ht="15" hidden="false" customHeight="false" outlineLevel="0" collapsed="false">
      <c r="F312" s="0" t="str">
        <f aca="false">IF(E312="","",IF(COUNTIFS('MASTER BAHAN'!$A$5:$A$504,E312)=0,"BELUM ADA",INDEX('MASTER BAHAN'!$B$5:$B$504,MATCH(E312,'MASTER BAHAN'!$A$5:$A$504,0))))</f>
        <v/>
      </c>
      <c r="H312" s="0" t="str">
        <f aca="false">IF(E312="","",IF(COUNTIFS('MASTER BAHAN'!$A$5:$A$504,E312)=0,"BELUM ADA",INDEX('MASTER BAHAN'!$D$5:$D$504,MATCH(E312,'MASTER BAHAN'!$A$5:$A$504,0))))</f>
        <v/>
      </c>
      <c r="J312" s="0" t="str">
        <f aca="false">IF(A312="","",IF(OR(NOT(ISNUMBER(G312)),NOT(ISNUMBER(I312))),"BELUM LENGKAP",ROUND(G312*I312,0)))</f>
        <v/>
      </c>
      <c r="M312" s="24" t="str">
        <f aca="false">IF(A312="","",COUNTIF($A$5:A312,A312))</f>
        <v/>
      </c>
      <c r="N312" s="24" t="str">
        <f aca="false">IF(A312="","",A312&amp;"|"&amp;M312)</f>
        <v/>
      </c>
    </row>
    <row r="313" customFormat="false" ht="15" hidden="false" customHeight="false" outlineLevel="0" collapsed="false">
      <c r="F313" s="0" t="str">
        <f aca="false">IF(E313="","",IF(COUNTIFS('MASTER BAHAN'!$A$5:$A$504,E313)=0,"BELUM ADA",INDEX('MASTER BAHAN'!$B$5:$B$504,MATCH(E313,'MASTER BAHAN'!$A$5:$A$504,0))))</f>
        <v/>
      </c>
      <c r="H313" s="0" t="str">
        <f aca="false">IF(E313="","",IF(COUNTIFS('MASTER BAHAN'!$A$5:$A$504,E313)=0,"BELUM ADA",INDEX('MASTER BAHAN'!$D$5:$D$504,MATCH(E313,'MASTER BAHAN'!$A$5:$A$504,0))))</f>
        <v/>
      </c>
      <c r="J313" s="0" t="str">
        <f aca="false">IF(A313="","",IF(OR(NOT(ISNUMBER(G313)),NOT(ISNUMBER(I313))),"BELUM LENGKAP",ROUND(G313*I313,0)))</f>
        <v/>
      </c>
      <c r="M313" s="24" t="str">
        <f aca="false">IF(A313="","",COUNTIF($A$5:A313,A313))</f>
        <v/>
      </c>
      <c r="N313" s="24" t="str">
        <f aca="false">IF(A313="","",A313&amp;"|"&amp;M313)</f>
        <v/>
      </c>
    </row>
    <row r="314" customFormat="false" ht="15" hidden="false" customHeight="false" outlineLevel="0" collapsed="false">
      <c r="F314" s="0" t="str">
        <f aca="false">IF(E314="","",IF(COUNTIFS('MASTER BAHAN'!$A$5:$A$504,E314)=0,"BELUM ADA",INDEX('MASTER BAHAN'!$B$5:$B$504,MATCH(E314,'MASTER BAHAN'!$A$5:$A$504,0))))</f>
        <v/>
      </c>
      <c r="H314" s="0" t="str">
        <f aca="false">IF(E314="","",IF(COUNTIFS('MASTER BAHAN'!$A$5:$A$504,E314)=0,"BELUM ADA",INDEX('MASTER BAHAN'!$D$5:$D$504,MATCH(E314,'MASTER BAHAN'!$A$5:$A$504,0))))</f>
        <v/>
      </c>
      <c r="J314" s="0" t="str">
        <f aca="false">IF(A314="","",IF(OR(NOT(ISNUMBER(G314)),NOT(ISNUMBER(I314))),"BELUM LENGKAP",ROUND(G314*I314,0)))</f>
        <v/>
      </c>
      <c r="M314" s="24" t="str">
        <f aca="false">IF(A314="","",COUNTIF($A$5:A314,A314))</f>
        <v/>
      </c>
      <c r="N314" s="24" t="str">
        <f aca="false">IF(A314="","",A314&amp;"|"&amp;M314)</f>
        <v/>
      </c>
    </row>
    <row r="315" customFormat="false" ht="15" hidden="false" customHeight="false" outlineLevel="0" collapsed="false">
      <c r="F315" s="0" t="str">
        <f aca="false">IF(E315="","",IF(COUNTIFS('MASTER BAHAN'!$A$5:$A$504,E315)=0,"BELUM ADA",INDEX('MASTER BAHAN'!$B$5:$B$504,MATCH(E315,'MASTER BAHAN'!$A$5:$A$504,0))))</f>
        <v/>
      </c>
      <c r="H315" s="0" t="str">
        <f aca="false">IF(E315="","",IF(COUNTIFS('MASTER BAHAN'!$A$5:$A$504,E315)=0,"BELUM ADA",INDEX('MASTER BAHAN'!$D$5:$D$504,MATCH(E315,'MASTER BAHAN'!$A$5:$A$504,0))))</f>
        <v/>
      </c>
      <c r="J315" s="0" t="str">
        <f aca="false">IF(A315="","",IF(OR(NOT(ISNUMBER(G315)),NOT(ISNUMBER(I315))),"BELUM LENGKAP",ROUND(G315*I315,0)))</f>
        <v/>
      </c>
      <c r="M315" s="24" t="str">
        <f aca="false">IF(A315="","",COUNTIF($A$5:A315,A315))</f>
        <v/>
      </c>
      <c r="N315" s="24" t="str">
        <f aca="false">IF(A315="","",A315&amp;"|"&amp;M315)</f>
        <v/>
      </c>
    </row>
    <row r="316" customFormat="false" ht="15" hidden="false" customHeight="false" outlineLevel="0" collapsed="false">
      <c r="F316" s="0" t="str">
        <f aca="false">IF(E316="","",IF(COUNTIFS('MASTER BAHAN'!$A$5:$A$504,E316)=0,"BELUM ADA",INDEX('MASTER BAHAN'!$B$5:$B$504,MATCH(E316,'MASTER BAHAN'!$A$5:$A$504,0))))</f>
        <v/>
      </c>
      <c r="H316" s="0" t="str">
        <f aca="false">IF(E316="","",IF(COUNTIFS('MASTER BAHAN'!$A$5:$A$504,E316)=0,"BELUM ADA",INDEX('MASTER BAHAN'!$D$5:$D$504,MATCH(E316,'MASTER BAHAN'!$A$5:$A$504,0))))</f>
        <v/>
      </c>
      <c r="J316" s="0" t="str">
        <f aca="false">IF(A316="","",IF(OR(NOT(ISNUMBER(G316)),NOT(ISNUMBER(I316))),"BELUM LENGKAP",ROUND(G316*I316,0)))</f>
        <v/>
      </c>
      <c r="M316" s="24" t="str">
        <f aca="false">IF(A316="","",COUNTIF($A$5:A316,A316))</f>
        <v/>
      </c>
      <c r="N316" s="24" t="str">
        <f aca="false">IF(A316="","",A316&amp;"|"&amp;M316)</f>
        <v/>
      </c>
    </row>
    <row r="317" customFormat="false" ht="15" hidden="false" customHeight="false" outlineLevel="0" collapsed="false">
      <c r="F317" s="0" t="str">
        <f aca="false">IF(E317="","",IF(COUNTIFS('MASTER BAHAN'!$A$5:$A$504,E317)=0,"BELUM ADA",INDEX('MASTER BAHAN'!$B$5:$B$504,MATCH(E317,'MASTER BAHAN'!$A$5:$A$504,0))))</f>
        <v/>
      </c>
      <c r="H317" s="0" t="str">
        <f aca="false">IF(E317="","",IF(COUNTIFS('MASTER BAHAN'!$A$5:$A$504,E317)=0,"BELUM ADA",INDEX('MASTER BAHAN'!$D$5:$D$504,MATCH(E317,'MASTER BAHAN'!$A$5:$A$504,0))))</f>
        <v/>
      </c>
      <c r="J317" s="0" t="str">
        <f aca="false">IF(A317="","",IF(OR(NOT(ISNUMBER(G317)),NOT(ISNUMBER(I317))),"BELUM LENGKAP",ROUND(G317*I317,0)))</f>
        <v/>
      </c>
      <c r="M317" s="24" t="str">
        <f aca="false">IF(A317="","",COUNTIF($A$5:A317,A317))</f>
        <v/>
      </c>
      <c r="N317" s="24" t="str">
        <f aca="false">IF(A317="","",A317&amp;"|"&amp;M317)</f>
        <v/>
      </c>
    </row>
    <row r="318" customFormat="false" ht="15" hidden="false" customHeight="false" outlineLevel="0" collapsed="false">
      <c r="F318" s="0" t="str">
        <f aca="false">IF(E318="","",IF(COUNTIFS('MASTER BAHAN'!$A$5:$A$504,E318)=0,"BELUM ADA",INDEX('MASTER BAHAN'!$B$5:$B$504,MATCH(E318,'MASTER BAHAN'!$A$5:$A$504,0))))</f>
        <v/>
      </c>
      <c r="H318" s="0" t="str">
        <f aca="false">IF(E318="","",IF(COUNTIFS('MASTER BAHAN'!$A$5:$A$504,E318)=0,"BELUM ADA",INDEX('MASTER BAHAN'!$D$5:$D$504,MATCH(E318,'MASTER BAHAN'!$A$5:$A$504,0))))</f>
        <v/>
      </c>
      <c r="J318" s="0" t="str">
        <f aca="false">IF(A318="","",IF(OR(NOT(ISNUMBER(G318)),NOT(ISNUMBER(I318))),"BELUM LENGKAP",ROUND(G318*I318,0)))</f>
        <v/>
      </c>
      <c r="M318" s="24" t="str">
        <f aca="false">IF(A318="","",COUNTIF($A$5:A318,A318))</f>
        <v/>
      </c>
      <c r="N318" s="24" t="str">
        <f aca="false">IF(A318="","",A318&amp;"|"&amp;M318)</f>
        <v/>
      </c>
    </row>
    <row r="319" customFormat="false" ht="15" hidden="false" customHeight="false" outlineLevel="0" collapsed="false">
      <c r="F319" s="0" t="str">
        <f aca="false">IF(E319="","",IF(COUNTIFS('MASTER BAHAN'!$A$5:$A$504,E319)=0,"BELUM ADA",INDEX('MASTER BAHAN'!$B$5:$B$504,MATCH(E319,'MASTER BAHAN'!$A$5:$A$504,0))))</f>
        <v/>
      </c>
      <c r="H319" s="0" t="str">
        <f aca="false">IF(E319="","",IF(COUNTIFS('MASTER BAHAN'!$A$5:$A$504,E319)=0,"BELUM ADA",INDEX('MASTER BAHAN'!$D$5:$D$504,MATCH(E319,'MASTER BAHAN'!$A$5:$A$504,0))))</f>
        <v/>
      </c>
      <c r="J319" s="0" t="str">
        <f aca="false">IF(A319="","",IF(OR(NOT(ISNUMBER(G319)),NOT(ISNUMBER(I319))),"BELUM LENGKAP",ROUND(G319*I319,0)))</f>
        <v/>
      </c>
      <c r="M319" s="24" t="str">
        <f aca="false">IF(A319="","",COUNTIF($A$5:A319,A319))</f>
        <v/>
      </c>
      <c r="N319" s="24" t="str">
        <f aca="false">IF(A319="","",A319&amp;"|"&amp;M319)</f>
        <v/>
      </c>
    </row>
    <row r="320" customFormat="false" ht="15" hidden="false" customHeight="false" outlineLevel="0" collapsed="false">
      <c r="F320" s="0" t="str">
        <f aca="false">IF(E320="","",IF(COUNTIFS('MASTER BAHAN'!$A$5:$A$504,E320)=0,"BELUM ADA",INDEX('MASTER BAHAN'!$B$5:$B$504,MATCH(E320,'MASTER BAHAN'!$A$5:$A$504,0))))</f>
        <v/>
      </c>
      <c r="H320" s="0" t="str">
        <f aca="false">IF(E320="","",IF(COUNTIFS('MASTER BAHAN'!$A$5:$A$504,E320)=0,"BELUM ADA",INDEX('MASTER BAHAN'!$D$5:$D$504,MATCH(E320,'MASTER BAHAN'!$A$5:$A$504,0))))</f>
        <v/>
      </c>
      <c r="J320" s="0" t="str">
        <f aca="false">IF(A320="","",IF(OR(NOT(ISNUMBER(G320)),NOT(ISNUMBER(I320))),"BELUM LENGKAP",ROUND(G320*I320,0)))</f>
        <v/>
      </c>
      <c r="M320" s="24" t="str">
        <f aca="false">IF(A320="","",COUNTIF($A$5:A320,A320))</f>
        <v/>
      </c>
      <c r="N320" s="24" t="str">
        <f aca="false">IF(A320="","",A320&amp;"|"&amp;M320)</f>
        <v/>
      </c>
    </row>
    <row r="321" customFormat="false" ht="15" hidden="false" customHeight="false" outlineLevel="0" collapsed="false">
      <c r="F321" s="0" t="str">
        <f aca="false">IF(E321="","",IF(COUNTIFS('MASTER BAHAN'!$A$5:$A$504,E321)=0,"BELUM ADA",INDEX('MASTER BAHAN'!$B$5:$B$504,MATCH(E321,'MASTER BAHAN'!$A$5:$A$504,0))))</f>
        <v/>
      </c>
      <c r="H321" s="0" t="str">
        <f aca="false">IF(E321="","",IF(COUNTIFS('MASTER BAHAN'!$A$5:$A$504,E321)=0,"BELUM ADA",INDEX('MASTER BAHAN'!$D$5:$D$504,MATCH(E321,'MASTER BAHAN'!$A$5:$A$504,0))))</f>
        <v/>
      </c>
      <c r="J321" s="0" t="str">
        <f aca="false">IF(A321="","",IF(OR(NOT(ISNUMBER(G321)),NOT(ISNUMBER(I321))),"BELUM LENGKAP",ROUND(G321*I321,0)))</f>
        <v/>
      </c>
      <c r="M321" s="24" t="str">
        <f aca="false">IF(A321="","",COUNTIF($A$5:A321,A321))</f>
        <v/>
      </c>
      <c r="N321" s="24" t="str">
        <f aca="false">IF(A321="","",A321&amp;"|"&amp;M321)</f>
        <v/>
      </c>
    </row>
    <row r="322" customFormat="false" ht="15" hidden="false" customHeight="false" outlineLevel="0" collapsed="false">
      <c r="F322" s="0" t="str">
        <f aca="false">IF(E322="","",IF(COUNTIFS('MASTER BAHAN'!$A$5:$A$504,E322)=0,"BELUM ADA",INDEX('MASTER BAHAN'!$B$5:$B$504,MATCH(E322,'MASTER BAHAN'!$A$5:$A$504,0))))</f>
        <v/>
      </c>
      <c r="H322" s="0" t="str">
        <f aca="false">IF(E322="","",IF(COUNTIFS('MASTER BAHAN'!$A$5:$A$504,E322)=0,"BELUM ADA",INDEX('MASTER BAHAN'!$D$5:$D$504,MATCH(E322,'MASTER BAHAN'!$A$5:$A$504,0))))</f>
        <v/>
      </c>
      <c r="J322" s="0" t="str">
        <f aca="false">IF(A322="","",IF(OR(NOT(ISNUMBER(G322)),NOT(ISNUMBER(I322))),"BELUM LENGKAP",ROUND(G322*I322,0)))</f>
        <v/>
      </c>
      <c r="M322" s="24" t="str">
        <f aca="false">IF(A322="","",COUNTIF($A$5:A322,A322))</f>
        <v/>
      </c>
      <c r="N322" s="24" t="str">
        <f aca="false">IF(A322="","",A322&amp;"|"&amp;M322)</f>
        <v/>
      </c>
    </row>
    <row r="323" customFormat="false" ht="15" hidden="false" customHeight="false" outlineLevel="0" collapsed="false">
      <c r="F323" s="0" t="str">
        <f aca="false">IF(E323="","",IF(COUNTIFS('MASTER BAHAN'!$A$5:$A$504,E323)=0,"BELUM ADA",INDEX('MASTER BAHAN'!$B$5:$B$504,MATCH(E323,'MASTER BAHAN'!$A$5:$A$504,0))))</f>
        <v/>
      </c>
      <c r="H323" s="0" t="str">
        <f aca="false">IF(E323="","",IF(COUNTIFS('MASTER BAHAN'!$A$5:$A$504,E323)=0,"BELUM ADA",INDEX('MASTER BAHAN'!$D$5:$D$504,MATCH(E323,'MASTER BAHAN'!$A$5:$A$504,0))))</f>
        <v/>
      </c>
      <c r="J323" s="0" t="str">
        <f aca="false">IF(A323="","",IF(OR(NOT(ISNUMBER(G323)),NOT(ISNUMBER(I323))),"BELUM LENGKAP",ROUND(G323*I323,0)))</f>
        <v/>
      </c>
      <c r="M323" s="24" t="str">
        <f aca="false">IF(A323="","",COUNTIF($A$5:A323,A323))</f>
        <v/>
      </c>
      <c r="N323" s="24" t="str">
        <f aca="false">IF(A323="","",A323&amp;"|"&amp;M323)</f>
        <v/>
      </c>
    </row>
    <row r="324" customFormat="false" ht="15" hidden="false" customHeight="false" outlineLevel="0" collapsed="false">
      <c r="F324" s="0" t="str">
        <f aca="false">IF(E324="","",IF(COUNTIFS('MASTER BAHAN'!$A$5:$A$504,E324)=0,"BELUM ADA",INDEX('MASTER BAHAN'!$B$5:$B$504,MATCH(E324,'MASTER BAHAN'!$A$5:$A$504,0))))</f>
        <v/>
      </c>
      <c r="H324" s="0" t="str">
        <f aca="false">IF(E324="","",IF(COUNTIFS('MASTER BAHAN'!$A$5:$A$504,E324)=0,"BELUM ADA",INDEX('MASTER BAHAN'!$D$5:$D$504,MATCH(E324,'MASTER BAHAN'!$A$5:$A$504,0))))</f>
        <v/>
      </c>
      <c r="J324" s="0" t="str">
        <f aca="false">IF(A324="","",IF(OR(NOT(ISNUMBER(G324)),NOT(ISNUMBER(I324))),"BELUM LENGKAP",ROUND(G324*I324,0)))</f>
        <v/>
      </c>
      <c r="M324" s="24" t="str">
        <f aca="false">IF(A324="","",COUNTIF($A$5:A324,A324))</f>
        <v/>
      </c>
      <c r="N324" s="24" t="str">
        <f aca="false">IF(A324="","",A324&amp;"|"&amp;M324)</f>
        <v/>
      </c>
    </row>
    <row r="325" customFormat="false" ht="15" hidden="false" customHeight="false" outlineLevel="0" collapsed="false">
      <c r="F325" s="0" t="str">
        <f aca="false">IF(E325="","",IF(COUNTIFS('MASTER BAHAN'!$A$5:$A$504,E325)=0,"BELUM ADA",INDEX('MASTER BAHAN'!$B$5:$B$504,MATCH(E325,'MASTER BAHAN'!$A$5:$A$504,0))))</f>
        <v/>
      </c>
      <c r="H325" s="0" t="str">
        <f aca="false">IF(E325="","",IF(COUNTIFS('MASTER BAHAN'!$A$5:$A$504,E325)=0,"BELUM ADA",INDEX('MASTER BAHAN'!$D$5:$D$504,MATCH(E325,'MASTER BAHAN'!$A$5:$A$504,0))))</f>
        <v/>
      </c>
      <c r="J325" s="0" t="str">
        <f aca="false">IF(A325="","",IF(OR(NOT(ISNUMBER(G325)),NOT(ISNUMBER(I325))),"BELUM LENGKAP",ROUND(G325*I325,0)))</f>
        <v/>
      </c>
      <c r="M325" s="24" t="str">
        <f aca="false">IF(A325="","",COUNTIF($A$5:A325,A325))</f>
        <v/>
      </c>
      <c r="N325" s="24" t="str">
        <f aca="false">IF(A325="","",A325&amp;"|"&amp;M325)</f>
        <v/>
      </c>
    </row>
    <row r="326" customFormat="false" ht="15" hidden="false" customHeight="false" outlineLevel="0" collapsed="false">
      <c r="F326" s="0" t="str">
        <f aca="false">IF(E326="","",IF(COUNTIFS('MASTER BAHAN'!$A$5:$A$504,E326)=0,"BELUM ADA",INDEX('MASTER BAHAN'!$B$5:$B$504,MATCH(E326,'MASTER BAHAN'!$A$5:$A$504,0))))</f>
        <v/>
      </c>
      <c r="H326" s="0" t="str">
        <f aca="false">IF(E326="","",IF(COUNTIFS('MASTER BAHAN'!$A$5:$A$504,E326)=0,"BELUM ADA",INDEX('MASTER BAHAN'!$D$5:$D$504,MATCH(E326,'MASTER BAHAN'!$A$5:$A$504,0))))</f>
        <v/>
      </c>
      <c r="J326" s="0" t="str">
        <f aca="false">IF(A326="","",IF(OR(NOT(ISNUMBER(G326)),NOT(ISNUMBER(I326))),"BELUM LENGKAP",ROUND(G326*I326,0)))</f>
        <v/>
      </c>
      <c r="M326" s="24" t="str">
        <f aca="false">IF(A326="","",COUNTIF($A$5:A326,A326))</f>
        <v/>
      </c>
      <c r="N326" s="24" t="str">
        <f aca="false">IF(A326="","",A326&amp;"|"&amp;M326)</f>
        <v/>
      </c>
    </row>
    <row r="327" customFormat="false" ht="15" hidden="false" customHeight="false" outlineLevel="0" collapsed="false">
      <c r="F327" s="0" t="str">
        <f aca="false">IF(E327="","",IF(COUNTIFS('MASTER BAHAN'!$A$5:$A$504,E327)=0,"BELUM ADA",INDEX('MASTER BAHAN'!$B$5:$B$504,MATCH(E327,'MASTER BAHAN'!$A$5:$A$504,0))))</f>
        <v/>
      </c>
      <c r="H327" s="0" t="str">
        <f aca="false">IF(E327="","",IF(COUNTIFS('MASTER BAHAN'!$A$5:$A$504,E327)=0,"BELUM ADA",INDEX('MASTER BAHAN'!$D$5:$D$504,MATCH(E327,'MASTER BAHAN'!$A$5:$A$504,0))))</f>
        <v/>
      </c>
      <c r="J327" s="0" t="str">
        <f aca="false">IF(A327="","",IF(OR(NOT(ISNUMBER(G327)),NOT(ISNUMBER(I327))),"BELUM LENGKAP",ROUND(G327*I327,0)))</f>
        <v/>
      </c>
      <c r="M327" s="24" t="str">
        <f aca="false">IF(A327="","",COUNTIF($A$5:A327,A327))</f>
        <v/>
      </c>
      <c r="N327" s="24" t="str">
        <f aca="false">IF(A327="","",A327&amp;"|"&amp;M327)</f>
        <v/>
      </c>
    </row>
    <row r="328" customFormat="false" ht="15" hidden="false" customHeight="false" outlineLevel="0" collapsed="false">
      <c r="F328" s="0" t="str">
        <f aca="false">IF(E328="","",IF(COUNTIFS('MASTER BAHAN'!$A$5:$A$504,E328)=0,"BELUM ADA",INDEX('MASTER BAHAN'!$B$5:$B$504,MATCH(E328,'MASTER BAHAN'!$A$5:$A$504,0))))</f>
        <v/>
      </c>
      <c r="H328" s="0" t="str">
        <f aca="false">IF(E328="","",IF(COUNTIFS('MASTER BAHAN'!$A$5:$A$504,E328)=0,"BELUM ADA",INDEX('MASTER BAHAN'!$D$5:$D$504,MATCH(E328,'MASTER BAHAN'!$A$5:$A$504,0))))</f>
        <v/>
      </c>
      <c r="J328" s="0" t="str">
        <f aca="false">IF(A328="","",IF(OR(NOT(ISNUMBER(G328)),NOT(ISNUMBER(I328))),"BELUM LENGKAP",ROUND(G328*I328,0)))</f>
        <v/>
      </c>
      <c r="M328" s="24" t="str">
        <f aca="false">IF(A328="","",COUNTIF($A$5:A328,A328))</f>
        <v/>
      </c>
      <c r="N328" s="24" t="str">
        <f aca="false">IF(A328="","",A328&amp;"|"&amp;M328)</f>
        <v/>
      </c>
    </row>
    <row r="329" customFormat="false" ht="15" hidden="false" customHeight="false" outlineLevel="0" collapsed="false">
      <c r="F329" s="0" t="str">
        <f aca="false">IF(E329="","",IF(COUNTIFS('MASTER BAHAN'!$A$5:$A$504,E329)=0,"BELUM ADA",INDEX('MASTER BAHAN'!$B$5:$B$504,MATCH(E329,'MASTER BAHAN'!$A$5:$A$504,0))))</f>
        <v/>
      </c>
      <c r="H329" s="0" t="str">
        <f aca="false">IF(E329="","",IF(COUNTIFS('MASTER BAHAN'!$A$5:$A$504,E329)=0,"BELUM ADA",INDEX('MASTER BAHAN'!$D$5:$D$504,MATCH(E329,'MASTER BAHAN'!$A$5:$A$504,0))))</f>
        <v/>
      </c>
      <c r="J329" s="0" t="str">
        <f aca="false">IF(A329="","",IF(OR(NOT(ISNUMBER(G329)),NOT(ISNUMBER(I329))),"BELUM LENGKAP",ROUND(G329*I329,0)))</f>
        <v/>
      </c>
      <c r="M329" s="24" t="str">
        <f aca="false">IF(A329="","",COUNTIF($A$5:A329,A329))</f>
        <v/>
      </c>
      <c r="N329" s="24" t="str">
        <f aca="false">IF(A329="","",A329&amp;"|"&amp;M329)</f>
        <v/>
      </c>
    </row>
    <row r="330" customFormat="false" ht="15" hidden="false" customHeight="false" outlineLevel="0" collapsed="false">
      <c r="F330" s="0" t="str">
        <f aca="false">IF(E330="","",IF(COUNTIFS('MASTER BAHAN'!$A$5:$A$504,E330)=0,"BELUM ADA",INDEX('MASTER BAHAN'!$B$5:$B$504,MATCH(E330,'MASTER BAHAN'!$A$5:$A$504,0))))</f>
        <v/>
      </c>
      <c r="H330" s="0" t="str">
        <f aca="false">IF(E330="","",IF(COUNTIFS('MASTER BAHAN'!$A$5:$A$504,E330)=0,"BELUM ADA",INDEX('MASTER BAHAN'!$D$5:$D$504,MATCH(E330,'MASTER BAHAN'!$A$5:$A$504,0))))</f>
        <v/>
      </c>
      <c r="J330" s="0" t="str">
        <f aca="false">IF(A330="","",IF(OR(NOT(ISNUMBER(G330)),NOT(ISNUMBER(I330))),"BELUM LENGKAP",ROUND(G330*I330,0)))</f>
        <v/>
      </c>
      <c r="M330" s="24" t="str">
        <f aca="false">IF(A330="","",COUNTIF($A$5:A330,A330))</f>
        <v/>
      </c>
      <c r="N330" s="24" t="str">
        <f aca="false">IF(A330="","",A330&amp;"|"&amp;M330)</f>
        <v/>
      </c>
    </row>
    <row r="331" customFormat="false" ht="15" hidden="false" customHeight="false" outlineLevel="0" collapsed="false">
      <c r="F331" s="0" t="str">
        <f aca="false">IF(E331="","",IF(COUNTIFS('MASTER BAHAN'!$A$5:$A$504,E331)=0,"BELUM ADA",INDEX('MASTER BAHAN'!$B$5:$B$504,MATCH(E331,'MASTER BAHAN'!$A$5:$A$504,0))))</f>
        <v/>
      </c>
      <c r="H331" s="0" t="str">
        <f aca="false">IF(E331="","",IF(COUNTIFS('MASTER BAHAN'!$A$5:$A$504,E331)=0,"BELUM ADA",INDEX('MASTER BAHAN'!$D$5:$D$504,MATCH(E331,'MASTER BAHAN'!$A$5:$A$504,0))))</f>
        <v/>
      </c>
      <c r="J331" s="0" t="str">
        <f aca="false">IF(A331="","",IF(OR(NOT(ISNUMBER(G331)),NOT(ISNUMBER(I331))),"BELUM LENGKAP",ROUND(G331*I331,0)))</f>
        <v/>
      </c>
      <c r="M331" s="24" t="str">
        <f aca="false">IF(A331="","",COUNTIF($A$5:A331,A331))</f>
        <v/>
      </c>
      <c r="N331" s="24" t="str">
        <f aca="false">IF(A331="","",A331&amp;"|"&amp;M331)</f>
        <v/>
      </c>
    </row>
    <row r="332" customFormat="false" ht="15" hidden="false" customHeight="false" outlineLevel="0" collapsed="false">
      <c r="F332" s="0" t="str">
        <f aca="false">IF(E332="","",IF(COUNTIFS('MASTER BAHAN'!$A$5:$A$504,E332)=0,"BELUM ADA",INDEX('MASTER BAHAN'!$B$5:$B$504,MATCH(E332,'MASTER BAHAN'!$A$5:$A$504,0))))</f>
        <v/>
      </c>
      <c r="H332" s="0" t="str">
        <f aca="false">IF(E332="","",IF(COUNTIFS('MASTER BAHAN'!$A$5:$A$504,E332)=0,"BELUM ADA",INDEX('MASTER BAHAN'!$D$5:$D$504,MATCH(E332,'MASTER BAHAN'!$A$5:$A$504,0))))</f>
        <v/>
      </c>
      <c r="J332" s="0" t="str">
        <f aca="false">IF(A332="","",IF(OR(NOT(ISNUMBER(G332)),NOT(ISNUMBER(I332))),"BELUM LENGKAP",ROUND(G332*I332,0)))</f>
        <v/>
      </c>
      <c r="M332" s="24" t="str">
        <f aca="false">IF(A332="","",COUNTIF($A$5:A332,A332))</f>
        <v/>
      </c>
      <c r="N332" s="24" t="str">
        <f aca="false">IF(A332="","",A332&amp;"|"&amp;M332)</f>
        <v/>
      </c>
    </row>
    <row r="333" customFormat="false" ht="15" hidden="false" customHeight="false" outlineLevel="0" collapsed="false">
      <c r="F333" s="0" t="str">
        <f aca="false">IF(E333="","",IF(COUNTIFS('MASTER BAHAN'!$A$5:$A$504,E333)=0,"BELUM ADA",INDEX('MASTER BAHAN'!$B$5:$B$504,MATCH(E333,'MASTER BAHAN'!$A$5:$A$504,0))))</f>
        <v/>
      </c>
      <c r="H333" s="0" t="str">
        <f aca="false">IF(E333="","",IF(COUNTIFS('MASTER BAHAN'!$A$5:$A$504,E333)=0,"BELUM ADA",INDEX('MASTER BAHAN'!$D$5:$D$504,MATCH(E333,'MASTER BAHAN'!$A$5:$A$504,0))))</f>
        <v/>
      </c>
      <c r="J333" s="0" t="str">
        <f aca="false">IF(A333="","",IF(OR(NOT(ISNUMBER(G333)),NOT(ISNUMBER(I333))),"BELUM LENGKAP",ROUND(G333*I333,0)))</f>
        <v/>
      </c>
      <c r="M333" s="24" t="str">
        <f aca="false">IF(A333="","",COUNTIF($A$5:A333,A333))</f>
        <v/>
      </c>
      <c r="N333" s="24" t="str">
        <f aca="false">IF(A333="","",A333&amp;"|"&amp;M333)</f>
        <v/>
      </c>
    </row>
    <row r="334" customFormat="false" ht="15" hidden="false" customHeight="false" outlineLevel="0" collapsed="false">
      <c r="F334" s="0" t="str">
        <f aca="false">IF(E334="","",IF(COUNTIFS('MASTER BAHAN'!$A$5:$A$504,E334)=0,"BELUM ADA",INDEX('MASTER BAHAN'!$B$5:$B$504,MATCH(E334,'MASTER BAHAN'!$A$5:$A$504,0))))</f>
        <v/>
      </c>
      <c r="H334" s="0" t="str">
        <f aca="false">IF(E334="","",IF(COUNTIFS('MASTER BAHAN'!$A$5:$A$504,E334)=0,"BELUM ADA",INDEX('MASTER BAHAN'!$D$5:$D$504,MATCH(E334,'MASTER BAHAN'!$A$5:$A$504,0))))</f>
        <v/>
      </c>
      <c r="J334" s="0" t="str">
        <f aca="false">IF(A334="","",IF(OR(NOT(ISNUMBER(G334)),NOT(ISNUMBER(I334))),"BELUM LENGKAP",ROUND(G334*I334,0)))</f>
        <v/>
      </c>
      <c r="M334" s="24" t="str">
        <f aca="false">IF(A334="","",COUNTIF($A$5:A334,A334))</f>
        <v/>
      </c>
      <c r="N334" s="24" t="str">
        <f aca="false">IF(A334="","",A334&amp;"|"&amp;M334)</f>
        <v/>
      </c>
    </row>
    <row r="335" customFormat="false" ht="15" hidden="false" customHeight="false" outlineLevel="0" collapsed="false">
      <c r="F335" s="0" t="str">
        <f aca="false">IF(E335="","",IF(COUNTIFS('MASTER BAHAN'!$A$5:$A$504,E335)=0,"BELUM ADA",INDEX('MASTER BAHAN'!$B$5:$B$504,MATCH(E335,'MASTER BAHAN'!$A$5:$A$504,0))))</f>
        <v/>
      </c>
      <c r="H335" s="0" t="str">
        <f aca="false">IF(E335="","",IF(COUNTIFS('MASTER BAHAN'!$A$5:$A$504,E335)=0,"BELUM ADA",INDEX('MASTER BAHAN'!$D$5:$D$504,MATCH(E335,'MASTER BAHAN'!$A$5:$A$504,0))))</f>
        <v/>
      </c>
      <c r="J335" s="0" t="str">
        <f aca="false">IF(A335="","",IF(OR(NOT(ISNUMBER(G335)),NOT(ISNUMBER(I335))),"BELUM LENGKAP",ROUND(G335*I335,0)))</f>
        <v/>
      </c>
      <c r="M335" s="24" t="str">
        <f aca="false">IF(A335="","",COUNTIF($A$5:A335,A335))</f>
        <v/>
      </c>
      <c r="N335" s="24" t="str">
        <f aca="false">IF(A335="","",A335&amp;"|"&amp;M335)</f>
        <v/>
      </c>
    </row>
    <row r="336" customFormat="false" ht="15" hidden="false" customHeight="false" outlineLevel="0" collapsed="false">
      <c r="F336" s="0" t="str">
        <f aca="false">IF(E336="","",IF(COUNTIFS('MASTER BAHAN'!$A$5:$A$504,E336)=0,"BELUM ADA",INDEX('MASTER BAHAN'!$B$5:$B$504,MATCH(E336,'MASTER BAHAN'!$A$5:$A$504,0))))</f>
        <v/>
      </c>
      <c r="H336" s="0" t="str">
        <f aca="false">IF(E336="","",IF(COUNTIFS('MASTER BAHAN'!$A$5:$A$504,E336)=0,"BELUM ADA",INDEX('MASTER BAHAN'!$D$5:$D$504,MATCH(E336,'MASTER BAHAN'!$A$5:$A$504,0))))</f>
        <v/>
      </c>
      <c r="J336" s="0" t="str">
        <f aca="false">IF(A336="","",IF(OR(NOT(ISNUMBER(G336)),NOT(ISNUMBER(I336))),"BELUM LENGKAP",ROUND(G336*I336,0)))</f>
        <v/>
      </c>
      <c r="M336" s="24" t="str">
        <f aca="false">IF(A336="","",COUNTIF($A$5:A336,A336))</f>
        <v/>
      </c>
      <c r="N336" s="24" t="str">
        <f aca="false">IF(A336="","",A336&amp;"|"&amp;M336)</f>
        <v/>
      </c>
    </row>
    <row r="337" customFormat="false" ht="15" hidden="false" customHeight="false" outlineLevel="0" collapsed="false">
      <c r="F337" s="0" t="str">
        <f aca="false">IF(E337="","",IF(COUNTIFS('MASTER BAHAN'!$A$5:$A$504,E337)=0,"BELUM ADA",INDEX('MASTER BAHAN'!$B$5:$B$504,MATCH(E337,'MASTER BAHAN'!$A$5:$A$504,0))))</f>
        <v/>
      </c>
      <c r="H337" s="0" t="str">
        <f aca="false">IF(E337="","",IF(COUNTIFS('MASTER BAHAN'!$A$5:$A$504,E337)=0,"BELUM ADA",INDEX('MASTER BAHAN'!$D$5:$D$504,MATCH(E337,'MASTER BAHAN'!$A$5:$A$504,0))))</f>
        <v/>
      </c>
      <c r="J337" s="0" t="str">
        <f aca="false">IF(A337="","",IF(OR(NOT(ISNUMBER(G337)),NOT(ISNUMBER(I337))),"BELUM LENGKAP",ROUND(G337*I337,0)))</f>
        <v/>
      </c>
      <c r="M337" s="24" t="str">
        <f aca="false">IF(A337="","",COUNTIF($A$5:A337,A337))</f>
        <v/>
      </c>
      <c r="N337" s="24" t="str">
        <f aca="false">IF(A337="","",A337&amp;"|"&amp;M337)</f>
        <v/>
      </c>
    </row>
    <row r="338" customFormat="false" ht="15" hidden="false" customHeight="false" outlineLevel="0" collapsed="false">
      <c r="F338" s="0" t="str">
        <f aca="false">IF(E338="","",IF(COUNTIFS('MASTER BAHAN'!$A$5:$A$504,E338)=0,"BELUM ADA",INDEX('MASTER BAHAN'!$B$5:$B$504,MATCH(E338,'MASTER BAHAN'!$A$5:$A$504,0))))</f>
        <v/>
      </c>
      <c r="H338" s="0" t="str">
        <f aca="false">IF(E338="","",IF(COUNTIFS('MASTER BAHAN'!$A$5:$A$504,E338)=0,"BELUM ADA",INDEX('MASTER BAHAN'!$D$5:$D$504,MATCH(E338,'MASTER BAHAN'!$A$5:$A$504,0))))</f>
        <v/>
      </c>
      <c r="J338" s="0" t="str">
        <f aca="false">IF(A338="","",IF(OR(NOT(ISNUMBER(G338)),NOT(ISNUMBER(I338))),"BELUM LENGKAP",ROUND(G338*I338,0)))</f>
        <v/>
      </c>
      <c r="M338" s="24" t="str">
        <f aca="false">IF(A338="","",COUNTIF($A$5:A338,A338))</f>
        <v/>
      </c>
      <c r="N338" s="24" t="str">
        <f aca="false">IF(A338="","",A338&amp;"|"&amp;M338)</f>
        <v/>
      </c>
    </row>
    <row r="339" customFormat="false" ht="15" hidden="false" customHeight="false" outlineLevel="0" collapsed="false">
      <c r="F339" s="0" t="str">
        <f aca="false">IF(E339="","",IF(COUNTIFS('MASTER BAHAN'!$A$5:$A$504,E339)=0,"BELUM ADA",INDEX('MASTER BAHAN'!$B$5:$B$504,MATCH(E339,'MASTER BAHAN'!$A$5:$A$504,0))))</f>
        <v/>
      </c>
      <c r="H339" s="0" t="str">
        <f aca="false">IF(E339="","",IF(COUNTIFS('MASTER BAHAN'!$A$5:$A$504,E339)=0,"BELUM ADA",INDEX('MASTER BAHAN'!$D$5:$D$504,MATCH(E339,'MASTER BAHAN'!$A$5:$A$504,0))))</f>
        <v/>
      </c>
      <c r="J339" s="0" t="str">
        <f aca="false">IF(A339="","",IF(OR(NOT(ISNUMBER(G339)),NOT(ISNUMBER(I339))),"BELUM LENGKAP",ROUND(G339*I339,0)))</f>
        <v/>
      </c>
      <c r="M339" s="24" t="str">
        <f aca="false">IF(A339="","",COUNTIF($A$5:A339,A339))</f>
        <v/>
      </c>
      <c r="N339" s="24" t="str">
        <f aca="false">IF(A339="","",A339&amp;"|"&amp;M339)</f>
        <v/>
      </c>
    </row>
    <row r="340" customFormat="false" ht="15" hidden="false" customHeight="false" outlineLevel="0" collapsed="false">
      <c r="F340" s="0" t="str">
        <f aca="false">IF(E340="","",IF(COUNTIFS('MASTER BAHAN'!$A$5:$A$504,E340)=0,"BELUM ADA",INDEX('MASTER BAHAN'!$B$5:$B$504,MATCH(E340,'MASTER BAHAN'!$A$5:$A$504,0))))</f>
        <v/>
      </c>
      <c r="H340" s="0" t="str">
        <f aca="false">IF(E340="","",IF(COUNTIFS('MASTER BAHAN'!$A$5:$A$504,E340)=0,"BELUM ADA",INDEX('MASTER BAHAN'!$D$5:$D$504,MATCH(E340,'MASTER BAHAN'!$A$5:$A$504,0))))</f>
        <v/>
      </c>
      <c r="J340" s="0" t="str">
        <f aca="false">IF(A340="","",IF(OR(NOT(ISNUMBER(G340)),NOT(ISNUMBER(I340))),"BELUM LENGKAP",ROUND(G340*I340,0)))</f>
        <v/>
      </c>
      <c r="M340" s="24" t="str">
        <f aca="false">IF(A340="","",COUNTIF($A$5:A340,A340))</f>
        <v/>
      </c>
      <c r="N340" s="24" t="str">
        <f aca="false">IF(A340="","",A340&amp;"|"&amp;M340)</f>
        <v/>
      </c>
    </row>
    <row r="341" customFormat="false" ht="15" hidden="false" customHeight="false" outlineLevel="0" collapsed="false">
      <c r="F341" s="0" t="str">
        <f aca="false">IF(E341="","",IF(COUNTIFS('MASTER BAHAN'!$A$5:$A$504,E341)=0,"BELUM ADA",INDEX('MASTER BAHAN'!$B$5:$B$504,MATCH(E341,'MASTER BAHAN'!$A$5:$A$504,0))))</f>
        <v/>
      </c>
      <c r="H341" s="0" t="str">
        <f aca="false">IF(E341="","",IF(COUNTIFS('MASTER BAHAN'!$A$5:$A$504,E341)=0,"BELUM ADA",INDEX('MASTER BAHAN'!$D$5:$D$504,MATCH(E341,'MASTER BAHAN'!$A$5:$A$504,0))))</f>
        <v/>
      </c>
      <c r="J341" s="0" t="str">
        <f aca="false">IF(A341="","",IF(OR(NOT(ISNUMBER(G341)),NOT(ISNUMBER(I341))),"BELUM LENGKAP",ROUND(G341*I341,0)))</f>
        <v/>
      </c>
      <c r="M341" s="24" t="str">
        <f aca="false">IF(A341="","",COUNTIF($A$5:A341,A341))</f>
        <v/>
      </c>
      <c r="N341" s="24" t="str">
        <f aca="false">IF(A341="","",A341&amp;"|"&amp;M341)</f>
        <v/>
      </c>
    </row>
    <row r="342" customFormat="false" ht="15" hidden="false" customHeight="false" outlineLevel="0" collapsed="false">
      <c r="F342" s="0" t="str">
        <f aca="false">IF(E342="","",IF(COUNTIFS('MASTER BAHAN'!$A$5:$A$504,E342)=0,"BELUM ADA",INDEX('MASTER BAHAN'!$B$5:$B$504,MATCH(E342,'MASTER BAHAN'!$A$5:$A$504,0))))</f>
        <v/>
      </c>
      <c r="H342" s="0" t="str">
        <f aca="false">IF(E342="","",IF(COUNTIFS('MASTER BAHAN'!$A$5:$A$504,E342)=0,"BELUM ADA",INDEX('MASTER BAHAN'!$D$5:$D$504,MATCH(E342,'MASTER BAHAN'!$A$5:$A$504,0))))</f>
        <v/>
      </c>
      <c r="J342" s="0" t="str">
        <f aca="false">IF(A342="","",IF(OR(NOT(ISNUMBER(G342)),NOT(ISNUMBER(I342))),"BELUM LENGKAP",ROUND(G342*I342,0)))</f>
        <v/>
      </c>
      <c r="M342" s="24" t="str">
        <f aca="false">IF(A342="","",COUNTIF($A$5:A342,A342))</f>
        <v/>
      </c>
      <c r="N342" s="24" t="str">
        <f aca="false">IF(A342="","",A342&amp;"|"&amp;M342)</f>
        <v/>
      </c>
    </row>
    <row r="343" customFormat="false" ht="15" hidden="false" customHeight="false" outlineLevel="0" collapsed="false">
      <c r="F343" s="0" t="str">
        <f aca="false">IF(E343="","",IF(COUNTIFS('MASTER BAHAN'!$A$5:$A$504,E343)=0,"BELUM ADA",INDEX('MASTER BAHAN'!$B$5:$B$504,MATCH(E343,'MASTER BAHAN'!$A$5:$A$504,0))))</f>
        <v/>
      </c>
      <c r="H343" s="0" t="str">
        <f aca="false">IF(E343="","",IF(COUNTIFS('MASTER BAHAN'!$A$5:$A$504,E343)=0,"BELUM ADA",INDEX('MASTER BAHAN'!$D$5:$D$504,MATCH(E343,'MASTER BAHAN'!$A$5:$A$504,0))))</f>
        <v/>
      </c>
      <c r="J343" s="0" t="str">
        <f aca="false">IF(A343="","",IF(OR(NOT(ISNUMBER(G343)),NOT(ISNUMBER(I343))),"BELUM LENGKAP",ROUND(G343*I343,0)))</f>
        <v/>
      </c>
      <c r="M343" s="24" t="str">
        <f aca="false">IF(A343="","",COUNTIF($A$5:A343,A343))</f>
        <v/>
      </c>
      <c r="N343" s="24" t="str">
        <f aca="false">IF(A343="","",A343&amp;"|"&amp;M343)</f>
        <v/>
      </c>
    </row>
    <row r="344" customFormat="false" ht="15" hidden="false" customHeight="false" outlineLevel="0" collapsed="false">
      <c r="F344" s="0" t="str">
        <f aca="false">IF(E344="","",IF(COUNTIFS('MASTER BAHAN'!$A$5:$A$504,E344)=0,"BELUM ADA",INDEX('MASTER BAHAN'!$B$5:$B$504,MATCH(E344,'MASTER BAHAN'!$A$5:$A$504,0))))</f>
        <v/>
      </c>
      <c r="H344" s="0" t="str">
        <f aca="false">IF(E344="","",IF(COUNTIFS('MASTER BAHAN'!$A$5:$A$504,E344)=0,"BELUM ADA",INDEX('MASTER BAHAN'!$D$5:$D$504,MATCH(E344,'MASTER BAHAN'!$A$5:$A$504,0))))</f>
        <v/>
      </c>
      <c r="J344" s="0" t="str">
        <f aca="false">IF(A344="","",IF(OR(NOT(ISNUMBER(G344)),NOT(ISNUMBER(I344))),"BELUM LENGKAP",ROUND(G344*I344,0)))</f>
        <v/>
      </c>
      <c r="M344" s="24" t="str">
        <f aca="false">IF(A344="","",COUNTIF($A$5:A344,A344))</f>
        <v/>
      </c>
      <c r="N344" s="24" t="str">
        <f aca="false">IF(A344="","",A344&amp;"|"&amp;M344)</f>
        <v/>
      </c>
    </row>
    <row r="345" customFormat="false" ht="15" hidden="false" customHeight="false" outlineLevel="0" collapsed="false">
      <c r="F345" s="0" t="str">
        <f aca="false">IF(E345="","",IF(COUNTIFS('MASTER BAHAN'!$A$5:$A$504,E345)=0,"BELUM ADA",INDEX('MASTER BAHAN'!$B$5:$B$504,MATCH(E345,'MASTER BAHAN'!$A$5:$A$504,0))))</f>
        <v/>
      </c>
      <c r="H345" s="0" t="str">
        <f aca="false">IF(E345="","",IF(COUNTIFS('MASTER BAHAN'!$A$5:$A$504,E345)=0,"BELUM ADA",INDEX('MASTER BAHAN'!$D$5:$D$504,MATCH(E345,'MASTER BAHAN'!$A$5:$A$504,0))))</f>
        <v/>
      </c>
      <c r="J345" s="0" t="str">
        <f aca="false">IF(A345="","",IF(OR(NOT(ISNUMBER(G345)),NOT(ISNUMBER(I345))),"BELUM LENGKAP",ROUND(G345*I345,0)))</f>
        <v/>
      </c>
      <c r="M345" s="24" t="str">
        <f aca="false">IF(A345="","",COUNTIF($A$5:A345,A345))</f>
        <v/>
      </c>
      <c r="N345" s="24" t="str">
        <f aca="false">IF(A345="","",A345&amp;"|"&amp;M345)</f>
        <v/>
      </c>
    </row>
    <row r="346" customFormat="false" ht="15" hidden="false" customHeight="false" outlineLevel="0" collapsed="false">
      <c r="F346" s="0" t="str">
        <f aca="false">IF(E346="","",IF(COUNTIFS('MASTER BAHAN'!$A$5:$A$504,E346)=0,"BELUM ADA",INDEX('MASTER BAHAN'!$B$5:$B$504,MATCH(E346,'MASTER BAHAN'!$A$5:$A$504,0))))</f>
        <v/>
      </c>
      <c r="H346" s="0" t="str">
        <f aca="false">IF(E346="","",IF(COUNTIFS('MASTER BAHAN'!$A$5:$A$504,E346)=0,"BELUM ADA",INDEX('MASTER BAHAN'!$D$5:$D$504,MATCH(E346,'MASTER BAHAN'!$A$5:$A$504,0))))</f>
        <v/>
      </c>
      <c r="J346" s="0" t="str">
        <f aca="false">IF(A346="","",IF(OR(NOT(ISNUMBER(G346)),NOT(ISNUMBER(I346))),"BELUM LENGKAP",ROUND(G346*I346,0)))</f>
        <v/>
      </c>
      <c r="M346" s="24" t="str">
        <f aca="false">IF(A346="","",COUNTIF($A$5:A346,A346))</f>
        <v/>
      </c>
      <c r="N346" s="24" t="str">
        <f aca="false">IF(A346="","",A346&amp;"|"&amp;M346)</f>
        <v/>
      </c>
    </row>
    <row r="347" customFormat="false" ht="15" hidden="false" customHeight="false" outlineLevel="0" collapsed="false">
      <c r="F347" s="0" t="str">
        <f aca="false">IF(E347="","",IF(COUNTIFS('MASTER BAHAN'!$A$5:$A$504,E347)=0,"BELUM ADA",INDEX('MASTER BAHAN'!$B$5:$B$504,MATCH(E347,'MASTER BAHAN'!$A$5:$A$504,0))))</f>
        <v/>
      </c>
      <c r="H347" s="0" t="str">
        <f aca="false">IF(E347="","",IF(COUNTIFS('MASTER BAHAN'!$A$5:$A$504,E347)=0,"BELUM ADA",INDEX('MASTER BAHAN'!$D$5:$D$504,MATCH(E347,'MASTER BAHAN'!$A$5:$A$504,0))))</f>
        <v/>
      </c>
      <c r="J347" s="0" t="str">
        <f aca="false">IF(A347="","",IF(OR(NOT(ISNUMBER(G347)),NOT(ISNUMBER(I347))),"BELUM LENGKAP",ROUND(G347*I347,0)))</f>
        <v/>
      </c>
      <c r="M347" s="24" t="str">
        <f aca="false">IF(A347="","",COUNTIF($A$5:A347,A347))</f>
        <v/>
      </c>
      <c r="N347" s="24" t="str">
        <f aca="false">IF(A347="","",A347&amp;"|"&amp;M347)</f>
        <v/>
      </c>
    </row>
    <row r="348" customFormat="false" ht="15" hidden="false" customHeight="false" outlineLevel="0" collapsed="false">
      <c r="F348" s="0" t="str">
        <f aca="false">IF(E348="","",IF(COUNTIFS('MASTER BAHAN'!$A$5:$A$504,E348)=0,"BELUM ADA",INDEX('MASTER BAHAN'!$B$5:$B$504,MATCH(E348,'MASTER BAHAN'!$A$5:$A$504,0))))</f>
        <v/>
      </c>
      <c r="H348" s="0" t="str">
        <f aca="false">IF(E348="","",IF(COUNTIFS('MASTER BAHAN'!$A$5:$A$504,E348)=0,"BELUM ADA",INDEX('MASTER BAHAN'!$D$5:$D$504,MATCH(E348,'MASTER BAHAN'!$A$5:$A$504,0))))</f>
        <v/>
      </c>
      <c r="J348" s="0" t="str">
        <f aca="false">IF(A348="","",IF(OR(NOT(ISNUMBER(G348)),NOT(ISNUMBER(I348))),"BELUM LENGKAP",ROUND(G348*I348,0)))</f>
        <v/>
      </c>
      <c r="M348" s="24" t="str">
        <f aca="false">IF(A348="","",COUNTIF($A$5:A348,A348))</f>
        <v/>
      </c>
      <c r="N348" s="24" t="str">
        <f aca="false">IF(A348="","",A348&amp;"|"&amp;M348)</f>
        <v/>
      </c>
    </row>
    <row r="349" customFormat="false" ht="15" hidden="false" customHeight="false" outlineLevel="0" collapsed="false">
      <c r="F349" s="0" t="str">
        <f aca="false">IF(E349="","",IF(COUNTIFS('MASTER BAHAN'!$A$5:$A$504,E349)=0,"BELUM ADA",INDEX('MASTER BAHAN'!$B$5:$B$504,MATCH(E349,'MASTER BAHAN'!$A$5:$A$504,0))))</f>
        <v/>
      </c>
      <c r="H349" s="0" t="str">
        <f aca="false">IF(E349="","",IF(COUNTIFS('MASTER BAHAN'!$A$5:$A$504,E349)=0,"BELUM ADA",INDEX('MASTER BAHAN'!$D$5:$D$504,MATCH(E349,'MASTER BAHAN'!$A$5:$A$504,0))))</f>
        <v/>
      </c>
      <c r="J349" s="0" t="str">
        <f aca="false">IF(A349="","",IF(OR(NOT(ISNUMBER(G349)),NOT(ISNUMBER(I349))),"BELUM LENGKAP",ROUND(G349*I349,0)))</f>
        <v/>
      </c>
      <c r="M349" s="24" t="str">
        <f aca="false">IF(A349="","",COUNTIF($A$5:A349,A349))</f>
        <v/>
      </c>
      <c r="N349" s="24" t="str">
        <f aca="false">IF(A349="","",A349&amp;"|"&amp;M349)</f>
        <v/>
      </c>
    </row>
    <row r="350" customFormat="false" ht="15" hidden="false" customHeight="false" outlineLevel="0" collapsed="false">
      <c r="F350" s="0" t="str">
        <f aca="false">IF(E350="","",IF(COUNTIFS('MASTER BAHAN'!$A$5:$A$504,E350)=0,"BELUM ADA",INDEX('MASTER BAHAN'!$B$5:$B$504,MATCH(E350,'MASTER BAHAN'!$A$5:$A$504,0))))</f>
        <v/>
      </c>
      <c r="H350" s="0" t="str">
        <f aca="false">IF(E350="","",IF(COUNTIFS('MASTER BAHAN'!$A$5:$A$504,E350)=0,"BELUM ADA",INDEX('MASTER BAHAN'!$D$5:$D$504,MATCH(E350,'MASTER BAHAN'!$A$5:$A$504,0))))</f>
        <v/>
      </c>
      <c r="J350" s="0" t="str">
        <f aca="false">IF(A350="","",IF(OR(NOT(ISNUMBER(G350)),NOT(ISNUMBER(I350))),"BELUM LENGKAP",ROUND(G350*I350,0)))</f>
        <v/>
      </c>
      <c r="M350" s="24" t="str">
        <f aca="false">IF(A350="","",COUNTIF($A$5:A350,A350))</f>
        <v/>
      </c>
      <c r="N350" s="24" t="str">
        <f aca="false">IF(A350="","",A350&amp;"|"&amp;M350)</f>
        <v/>
      </c>
    </row>
    <row r="351" customFormat="false" ht="15" hidden="false" customHeight="false" outlineLevel="0" collapsed="false">
      <c r="F351" s="0" t="str">
        <f aca="false">IF(E351="","",IF(COUNTIFS('MASTER BAHAN'!$A$5:$A$504,E351)=0,"BELUM ADA",INDEX('MASTER BAHAN'!$B$5:$B$504,MATCH(E351,'MASTER BAHAN'!$A$5:$A$504,0))))</f>
        <v/>
      </c>
      <c r="H351" s="0" t="str">
        <f aca="false">IF(E351="","",IF(COUNTIFS('MASTER BAHAN'!$A$5:$A$504,E351)=0,"BELUM ADA",INDEX('MASTER BAHAN'!$D$5:$D$504,MATCH(E351,'MASTER BAHAN'!$A$5:$A$504,0))))</f>
        <v/>
      </c>
      <c r="J351" s="0" t="str">
        <f aca="false">IF(A351="","",IF(OR(NOT(ISNUMBER(G351)),NOT(ISNUMBER(I351))),"BELUM LENGKAP",ROUND(G351*I351,0)))</f>
        <v/>
      </c>
      <c r="M351" s="24" t="str">
        <f aca="false">IF(A351="","",COUNTIF($A$5:A351,A351))</f>
        <v/>
      </c>
      <c r="N351" s="24" t="str">
        <f aca="false">IF(A351="","",A351&amp;"|"&amp;M351)</f>
        <v/>
      </c>
    </row>
    <row r="352" customFormat="false" ht="15" hidden="false" customHeight="false" outlineLevel="0" collapsed="false">
      <c r="F352" s="0" t="str">
        <f aca="false">IF(E352="","",IF(COUNTIFS('MASTER BAHAN'!$A$5:$A$504,E352)=0,"BELUM ADA",INDEX('MASTER BAHAN'!$B$5:$B$504,MATCH(E352,'MASTER BAHAN'!$A$5:$A$504,0))))</f>
        <v/>
      </c>
      <c r="H352" s="0" t="str">
        <f aca="false">IF(E352="","",IF(COUNTIFS('MASTER BAHAN'!$A$5:$A$504,E352)=0,"BELUM ADA",INDEX('MASTER BAHAN'!$D$5:$D$504,MATCH(E352,'MASTER BAHAN'!$A$5:$A$504,0))))</f>
        <v/>
      </c>
      <c r="J352" s="0" t="str">
        <f aca="false">IF(A352="","",IF(OR(NOT(ISNUMBER(G352)),NOT(ISNUMBER(I352))),"BELUM LENGKAP",ROUND(G352*I352,0)))</f>
        <v/>
      </c>
      <c r="M352" s="24" t="str">
        <f aca="false">IF(A352="","",COUNTIF($A$5:A352,A352))</f>
        <v/>
      </c>
      <c r="N352" s="24" t="str">
        <f aca="false">IF(A352="","",A352&amp;"|"&amp;M352)</f>
        <v/>
      </c>
    </row>
    <row r="353" customFormat="false" ht="15" hidden="false" customHeight="false" outlineLevel="0" collapsed="false">
      <c r="F353" s="0" t="str">
        <f aca="false">IF(E353="","",IF(COUNTIFS('MASTER BAHAN'!$A$5:$A$504,E353)=0,"BELUM ADA",INDEX('MASTER BAHAN'!$B$5:$B$504,MATCH(E353,'MASTER BAHAN'!$A$5:$A$504,0))))</f>
        <v/>
      </c>
      <c r="H353" s="0" t="str">
        <f aca="false">IF(E353="","",IF(COUNTIFS('MASTER BAHAN'!$A$5:$A$504,E353)=0,"BELUM ADA",INDEX('MASTER BAHAN'!$D$5:$D$504,MATCH(E353,'MASTER BAHAN'!$A$5:$A$504,0))))</f>
        <v/>
      </c>
      <c r="J353" s="0" t="str">
        <f aca="false">IF(A353="","",IF(OR(NOT(ISNUMBER(G353)),NOT(ISNUMBER(I353))),"BELUM LENGKAP",ROUND(G353*I353,0)))</f>
        <v/>
      </c>
      <c r="M353" s="24" t="str">
        <f aca="false">IF(A353="","",COUNTIF($A$5:A353,A353))</f>
        <v/>
      </c>
      <c r="N353" s="24" t="str">
        <f aca="false">IF(A353="","",A353&amp;"|"&amp;M353)</f>
        <v/>
      </c>
    </row>
    <row r="354" customFormat="false" ht="15" hidden="false" customHeight="false" outlineLevel="0" collapsed="false">
      <c r="F354" s="0" t="str">
        <f aca="false">IF(E354="","",IF(COUNTIFS('MASTER BAHAN'!$A$5:$A$504,E354)=0,"BELUM ADA",INDEX('MASTER BAHAN'!$B$5:$B$504,MATCH(E354,'MASTER BAHAN'!$A$5:$A$504,0))))</f>
        <v/>
      </c>
      <c r="H354" s="0" t="str">
        <f aca="false">IF(E354="","",IF(COUNTIFS('MASTER BAHAN'!$A$5:$A$504,E354)=0,"BELUM ADA",INDEX('MASTER BAHAN'!$D$5:$D$504,MATCH(E354,'MASTER BAHAN'!$A$5:$A$504,0))))</f>
        <v/>
      </c>
      <c r="J354" s="0" t="str">
        <f aca="false">IF(A354="","",IF(OR(NOT(ISNUMBER(G354)),NOT(ISNUMBER(I354))),"BELUM LENGKAP",ROUND(G354*I354,0)))</f>
        <v/>
      </c>
      <c r="M354" s="24" t="str">
        <f aca="false">IF(A354="","",COUNTIF($A$5:A354,A354))</f>
        <v/>
      </c>
      <c r="N354" s="24" t="str">
        <f aca="false">IF(A354="","",A354&amp;"|"&amp;M354)</f>
        <v/>
      </c>
    </row>
    <row r="355" customFormat="false" ht="15" hidden="false" customHeight="false" outlineLevel="0" collapsed="false">
      <c r="F355" s="0" t="str">
        <f aca="false">IF(E355="","",IF(COUNTIFS('MASTER BAHAN'!$A$5:$A$504,E355)=0,"BELUM ADA",INDEX('MASTER BAHAN'!$B$5:$B$504,MATCH(E355,'MASTER BAHAN'!$A$5:$A$504,0))))</f>
        <v/>
      </c>
      <c r="H355" s="0" t="str">
        <f aca="false">IF(E355="","",IF(COUNTIFS('MASTER BAHAN'!$A$5:$A$504,E355)=0,"BELUM ADA",INDEX('MASTER BAHAN'!$D$5:$D$504,MATCH(E355,'MASTER BAHAN'!$A$5:$A$504,0))))</f>
        <v/>
      </c>
      <c r="J355" s="0" t="str">
        <f aca="false">IF(A355="","",IF(OR(NOT(ISNUMBER(G355)),NOT(ISNUMBER(I355))),"BELUM LENGKAP",ROUND(G355*I355,0)))</f>
        <v/>
      </c>
      <c r="M355" s="24" t="str">
        <f aca="false">IF(A355="","",COUNTIF($A$5:A355,A355))</f>
        <v/>
      </c>
      <c r="N355" s="24" t="str">
        <f aca="false">IF(A355="","",A355&amp;"|"&amp;M355)</f>
        <v/>
      </c>
    </row>
    <row r="356" customFormat="false" ht="15" hidden="false" customHeight="false" outlineLevel="0" collapsed="false">
      <c r="F356" s="0" t="str">
        <f aca="false">IF(E356="","",IF(COUNTIFS('MASTER BAHAN'!$A$5:$A$504,E356)=0,"BELUM ADA",INDEX('MASTER BAHAN'!$B$5:$B$504,MATCH(E356,'MASTER BAHAN'!$A$5:$A$504,0))))</f>
        <v/>
      </c>
      <c r="H356" s="0" t="str">
        <f aca="false">IF(E356="","",IF(COUNTIFS('MASTER BAHAN'!$A$5:$A$504,E356)=0,"BELUM ADA",INDEX('MASTER BAHAN'!$D$5:$D$504,MATCH(E356,'MASTER BAHAN'!$A$5:$A$504,0))))</f>
        <v/>
      </c>
      <c r="J356" s="0" t="str">
        <f aca="false">IF(A356="","",IF(OR(NOT(ISNUMBER(G356)),NOT(ISNUMBER(I356))),"BELUM LENGKAP",ROUND(G356*I356,0)))</f>
        <v/>
      </c>
      <c r="M356" s="24" t="str">
        <f aca="false">IF(A356="","",COUNTIF($A$5:A356,A356))</f>
        <v/>
      </c>
      <c r="N356" s="24" t="str">
        <f aca="false">IF(A356="","",A356&amp;"|"&amp;M356)</f>
        <v/>
      </c>
    </row>
    <row r="357" customFormat="false" ht="15" hidden="false" customHeight="false" outlineLevel="0" collapsed="false">
      <c r="F357" s="0" t="str">
        <f aca="false">IF(E357="","",IF(COUNTIFS('MASTER BAHAN'!$A$5:$A$504,E357)=0,"BELUM ADA",INDEX('MASTER BAHAN'!$B$5:$B$504,MATCH(E357,'MASTER BAHAN'!$A$5:$A$504,0))))</f>
        <v/>
      </c>
      <c r="H357" s="0" t="str">
        <f aca="false">IF(E357="","",IF(COUNTIFS('MASTER BAHAN'!$A$5:$A$504,E357)=0,"BELUM ADA",INDEX('MASTER BAHAN'!$D$5:$D$504,MATCH(E357,'MASTER BAHAN'!$A$5:$A$504,0))))</f>
        <v/>
      </c>
      <c r="J357" s="0" t="str">
        <f aca="false">IF(A357="","",IF(OR(NOT(ISNUMBER(G357)),NOT(ISNUMBER(I357))),"BELUM LENGKAP",ROUND(G357*I357,0)))</f>
        <v/>
      </c>
      <c r="M357" s="24" t="str">
        <f aca="false">IF(A357="","",COUNTIF($A$5:A357,A357))</f>
        <v/>
      </c>
      <c r="N357" s="24" t="str">
        <f aca="false">IF(A357="","",A357&amp;"|"&amp;M357)</f>
        <v/>
      </c>
    </row>
    <row r="358" customFormat="false" ht="15" hidden="false" customHeight="false" outlineLevel="0" collapsed="false">
      <c r="F358" s="0" t="str">
        <f aca="false">IF(E358="","",IF(COUNTIFS('MASTER BAHAN'!$A$5:$A$504,E358)=0,"BELUM ADA",INDEX('MASTER BAHAN'!$B$5:$B$504,MATCH(E358,'MASTER BAHAN'!$A$5:$A$504,0))))</f>
        <v/>
      </c>
      <c r="H358" s="0" t="str">
        <f aca="false">IF(E358="","",IF(COUNTIFS('MASTER BAHAN'!$A$5:$A$504,E358)=0,"BELUM ADA",INDEX('MASTER BAHAN'!$D$5:$D$504,MATCH(E358,'MASTER BAHAN'!$A$5:$A$504,0))))</f>
        <v/>
      </c>
      <c r="J358" s="0" t="str">
        <f aca="false">IF(A358="","",IF(OR(NOT(ISNUMBER(G358)),NOT(ISNUMBER(I358))),"BELUM LENGKAP",ROUND(G358*I358,0)))</f>
        <v/>
      </c>
      <c r="M358" s="24" t="str">
        <f aca="false">IF(A358="","",COUNTIF($A$5:A358,A358))</f>
        <v/>
      </c>
      <c r="N358" s="24" t="str">
        <f aca="false">IF(A358="","",A358&amp;"|"&amp;M358)</f>
        <v/>
      </c>
    </row>
    <row r="359" customFormat="false" ht="15" hidden="false" customHeight="false" outlineLevel="0" collapsed="false">
      <c r="F359" s="0" t="str">
        <f aca="false">IF(E359="","",IF(COUNTIFS('MASTER BAHAN'!$A$5:$A$504,E359)=0,"BELUM ADA",INDEX('MASTER BAHAN'!$B$5:$B$504,MATCH(E359,'MASTER BAHAN'!$A$5:$A$504,0))))</f>
        <v/>
      </c>
      <c r="H359" s="0" t="str">
        <f aca="false">IF(E359="","",IF(COUNTIFS('MASTER BAHAN'!$A$5:$A$504,E359)=0,"BELUM ADA",INDEX('MASTER BAHAN'!$D$5:$D$504,MATCH(E359,'MASTER BAHAN'!$A$5:$A$504,0))))</f>
        <v/>
      </c>
      <c r="J359" s="0" t="str">
        <f aca="false">IF(A359="","",IF(OR(NOT(ISNUMBER(G359)),NOT(ISNUMBER(I359))),"BELUM LENGKAP",ROUND(G359*I359,0)))</f>
        <v/>
      </c>
      <c r="M359" s="24" t="str">
        <f aca="false">IF(A359="","",COUNTIF($A$5:A359,A359))</f>
        <v/>
      </c>
      <c r="N359" s="24" t="str">
        <f aca="false">IF(A359="","",A359&amp;"|"&amp;M359)</f>
        <v/>
      </c>
    </row>
    <row r="360" customFormat="false" ht="15" hidden="false" customHeight="false" outlineLevel="0" collapsed="false">
      <c r="F360" s="0" t="str">
        <f aca="false">IF(E360="","",IF(COUNTIFS('MASTER BAHAN'!$A$5:$A$504,E360)=0,"BELUM ADA",INDEX('MASTER BAHAN'!$B$5:$B$504,MATCH(E360,'MASTER BAHAN'!$A$5:$A$504,0))))</f>
        <v/>
      </c>
      <c r="H360" s="0" t="str">
        <f aca="false">IF(E360="","",IF(COUNTIFS('MASTER BAHAN'!$A$5:$A$504,E360)=0,"BELUM ADA",INDEX('MASTER BAHAN'!$D$5:$D$504,MATCH(E360,'MASTER BAHAN'!$A$5:$A$504,0))))</f>
        <v/>
      </c>
      <c r="J360" s="0" t="str">
        <f aca="false">IF(A360="","",IF(OR(NOT(ISNUMBER(G360)),NOT(ISNUMBER(I360))),"BELUM LENGKAP",ROUND(G360*I360,0)))</f>
        <v/>
      </c>
      <c r="M360" s="24" t="str">
        <f aca="false">IF(A360="","",COUNTIF($A$5:A360,A360))</f>
        <v/>
      </c>
      <c r="N360" s="24" t="str">
        <f aca="false">IF(A360="","",A360&amp;"|"&amp;M360)</f>
        <v/>
      </c>
    </row>
    <row r="361" customFormat="false" ht="15" hidden="false" customHeight="false" outlineLevel="0" collapsed="false">
      <c r="F361" s="0" t="str">
        <f aca="false">IF(E361="","",IF(COUNTIFS('MASTER BAHAN'!$A$5:$A$504,E361)=0,"BELUM ADA",INDEX('MASTER BAHAN'!$B$5:$B$504,MATCH(E361,'MASTER BAHAN'!$A$5:$A$504,0))))</f>
        <v/>
      </c>
      <c r="H361" s="0" t="str">
        <f aca="false">IF(E361="","",IF(COUNTIFS('MASTER BAHAN'!$A$5:$A$504,E361)=0,"BELUM ADA",INDEX('MASTER BAHAN'!$D$5:$D$504,MATCH(E361,'MASTER BAHAN'!$A$5:$A$504,0))))</f>
        <v/>
      </c>
      <c r="J361" s="0" t="str">
        <f aca="false">IF(A361="","",IF(OR(NOT(ISNUMBER(G361)),NOT(ISNUMBER(I361))),"BELUM LENGKAP",ROUND(G361*I361,0)))</f>
        <v/>
      </c>
      <c r="M361" s="24" t="str">
        <f aca="false">IF(A361="","",COUNTIF($A$5:A361,A361))</f>
        <v/>
      </c>
      <c r="N361" s="24" t="str">
        <f aca="false">IF(A361="","",A361&amp;"|"&amp;M361)</f>
        <v/>
      </c>
    </row>
    <row r="362" customFormat="false" ht="15" hidden="false" customHeight="false" outlineLevel="0" collapsed="false">
      <c r="F362" s="0" t="str">
        <f aca="false">IF(E362="","",IF(COUNTIFS('MASTER BAHAN'!$A$5:$A$504,E362)=0,"BELUM ADA",INDEX('MASTER BAHAN'!$B$5:$B$504,MATCH(E362,'MASTER BAHAN'!$A$5:$A$504,0))))</f>
        <v/>
      </c>
      <c r="H362" s="0" t="str">
        <f aca="false">IF(E362="","",IF(COUNTIFS('MASTER BAHAN'!$A$5:$A$504,E362)=0,"BELUM ADA",INDEX('MASTER BAHAN'!$D$5:$D$504,MATCH(E362,'MASTER BAHAN'!$A$5:$A$504,0))))</f>
        <v/>
      </c>
      <c r="J362" s="0" t="str">
        <f aca="false">IF(A362="","",IF(OR(NOT(ISNUMBER(G362)),NOT(ISNUMBER(I362))),"BELUM LENGKAP",ROUND(G362*I362,0)))</f>
        <v/>
      </c>
      <c r="M362" s="24" t="str">
        <f aca="false">IF(A362="","",COUNTIF($A$5:A362,A362))</f>
        <v/>
      </c>
      <c r="N362" s="24" t="str">
        <f aca="false">IF(A362="","",A362&amp;"|"&amp;M362)</f>
        <v/>
      </c>
    </row>
    <row r="363" customFormat="false" ht="15" hidden="false" customHeight="false" outlineLevel="0" collapsed="false">
      <c r="F363" s="0" t="str">
        <f aca="false">IF(E363="","",IF(COUNTIFS('MASTER BAHAN'!$A$5:$A$504,E363)=0,"BELUM ADA",INDEX('MASTER BAHAN'!$B$5:$B$504,MATCH(E363,'MASTER BAHAN'!$A$5:$A$504,0))))</f>
        <v/>
      </c>
      <c r="H363" s="0" t="str">
        <f aca="false">IF(E363="","",IF(COUNTIFS('MASTER BAHAN'!$A$5:$A$504,E363)=0,"BELUM ADA",INDEX('MASTER BAHAN'!$D$5:$D$504,MATCH(E363,'MASTER BAHAN'!$A$5:$A$504,0))))</f>
        <v/>
      </c>
      <c r="J363" s="0" t="str">
        <f aca="false">IF(A363="","",IF(OR(NOT(ISNUMBER(G363)),NOT(ISNUMBER(I363))),"BELUM LENGKAP",ROUND(G363*I363,0)))</f>
        <v/>
      </c>
      <c r="M363" s="24" t="str">
        <f aca="false">IF(A363="","",COUNTIF($A$5:A363,A363))</f>
        <v/>
      </c>
      <c r="N363" s="24" t="str">
        <f aca="false">IF(A363="","",A363&amp;"|"&amp;M363)</f>
        <v/>
      </c>
    </row>
    <row r="364" customFormat="false" ht="15" hidden="false" customHeight="false" outlineLevel="0" collapsed="false">
      <c r="F364" s="0" t="str">
        <f aca="false">IF(E364="","",IF(COUNTIFS('MASTER BAHAN'!$A$5:$A$504,E364)=0,"BELUM ADA",INDEX('MASTER BAHAN'!$B$5:$B$504,MATCH(E364,'MASTER BAHAN'!$A$5:$A$504,0))))</f>
        <v/>
      </c>
      <c r="H364" s="0" t="str">
        <f aca="false">IF(E364="","",IF(COUNTIFS('MASTER BAHAN'!$A$5:$A$504,E364)=0,"BELUM ADA",INDEX('MASTER BAHAN'!$D$5:$D$504,MATCH(E364,'MASTER BAHAN'!$A$5:$A$504,0))))</f>
        <v/>
      </c>
      <c r="J364" s="0" t="str">
        <f aca="false">IF(A364="","",IF(OR(NOT(ISNUMBER(G364)),NOT(ISNUMBER(I364))),"BELUM LENGKAP",ROUND(G364*I364,0)))</f>
        <v/>
      </c>
      <c r="M364" s="24" t="str">
        <f aca="false">IF(A364="","",COUNTIF($A$5:A364,A364))</f>
        <v/>
      </c>
      <c r="N364" s="24" t="str">
        <f aca="false">IF(A364="","",A364&amp;"|"&amp;M364)</f>
        <v/>
      </c>
    </row>
    <row r="365" customFormat="false" ht="15" hidden="false" customHeight="false" outlineLevel="0" collapsed="false">
      <c r="F365" s="0" t="str">
        <f aca="false">IF(E365="","",IF(COUNTIFS('MASTER BAHAN'!$A$5:$A$504,E365)=0,"BELUM ADA",INDEX('MASTER BAHAN'!$B$5:$B$504,MATCH(E365,'MASTER BAHAN'!$A$5:$A$504,0))))</f>
        <v/>
      </c>
      <c r="H365" s="0" t="str">
        <f aca="false">IF(E365="","",IF(COUNTIFS('MASTER BAHAN'!$A$5:$A$504,E365)=0,"BELUM ADA",INDEX('MASTER BAHAN'!$D$5:$D$504,MATCH(E365,'MASTER BAHAN'!$A$5:$A$504,0))))</f>
        <v/>
      </c>
      <c r="J365" s="0" t="str">
        <f aca="false">IF(A365="","",IF(OR(NOT(ISNUMBER(G365)),NOT(ISNUMBER(I365))),"BELUM LENGKAP",ROUND(G365*I365,0)))</f>
        <v/>
      </c>
      <c r="M365" s="24" t="str">
        <f aca="false">IF(A365="","",COUNTIF($A$5:A365,A365))</f>
        <v/>
      </c>
      <c r="N365" s="24" t="str">
        <f aca="false">IF(A365="","",A365&amp;"|"&amp;M365)</f>
        <v/>
      </c>
    </row>
    <row r="366" customFormat="false" ht="15" hidden="false" customHeight="false" outlineLevel="0" collapsed="false">
      <c r="F366" s="0" t="str">
        <f aca="false">IF(E366="","",IF(COUNTIFS('MASTER BAHAN'!$A$5:$A$504,E366)=0,"BELUM ADA",INDEX('MASTER BAHAN'!$B$5:$B$504,MATCH(E366,'MASTER BAHAN'!$A$5:$A$504,0))))</f>
        <v/>
      </c>
      <c r="H366" s="0" t="str">
        <f aca="false">IF(E366="","",IF(COUNTIFS('MASTER BAHAN'!$A$5:$A$504,E366)=0,"BELUM ADA",INDEX('MASTER BAHAN'!$D$5:$D$504,MATCH(E366,'MASTER BAHAN'!$A$5:$A$504,0))))</f>
        <v/>
      </c>
      <c r="J366" s="0" t="str">
        <f aca="false">IF(A366="","",IF(OR(NOT(ISNUMBER(G366)),NOT(ISNUMBER(I366))),"BELUM LENGKAP",ROUND(G366*I366,0)))</f>
        <v/>
      </c>
      <c r="M366" s="24" t="str">
        <f aca="false">IF(A366="","",COUNTIF($A$5:A366,A366))</f>
        <v/>
      </c>
      <c r="N366" s="24" t="str">
        <f aca="false">IF(A366="","",A366&amp;"|"&amp;M366)</f>
        <v/>
      </c>
    </row>
    <row r="367" customFormat="false" ht="15" hidden="false" customHeight="false" outlineLevel="0" collapsed="false">
      <c r="F367" s="0" t="str">
        <f aca="false">IF(E367="","",IF(COUNTIFS('MASTER BAHAN'!$A$5:$A$504,E367)=0,"BELUM ADA",INDEX('MASTER BAHAN'!$B$5:$B$504,MATCH(E367,'MASTER BAHAN'!$A$5:$A$504,0))))</f>
        <v/>
      </c>
      <c r="H367" s="0" t="str">
        <f aca="false">IF(E367="","",IF(COUNTIFS('MASTER BAHAN'!$A$5:$A$504,E367)=0,"BELUM ADA",INDEX('MASTER BAHAN'!$D$5:$D$504,MATCH(E367,'MASTER BAHAN'!$A$5:$A$504,0))))</f>
        <v/>
      </c>
      <c r="J367" s="0" t="str">
        <f aca="false">IF(A367="","",IF(OR(NOT(ISNUMBER(G367)),NOT(ISNUMBER(I367))),"BELUM LENGKAP",ROUND(G367*I367,0)))</f>
        <v/>
      </c>
      <c r="M367" s="24" t="str">
        <f aca="false">IF(A367="","",COUNTIF($A$5:A367,A367))</f>
        <v/>
      </c>
      <c r="N367" s="24" t="str">
        <f aca="false">IF(A367="","",A367&amp;"|"&amp;M367)</f>
        <v/>
      </c>
    </row>
    <row r="368" customFormat="false" ht="15" hidden="false" customHeight="false" outlineLevel="0" collapsed="false">
      <c r="F368" s="0" t="str">
        <f aca="false">IF(E368="","",IF(COUNTIFS('MASTER BAHAN'!$A$5:$A$504,E368)=0,"BELUM ADA",INDEX('MASTER BAHAN'!$B$5:$B$504,MATCH(E368,'MASTER BAHAN'!$A$5:$A$504,0))))</f>
        <v/>
      </c>
      <c r="H368" s="0" t="str">
        <f aca="false">IF(E368="","",IF(COUNTIFS('MASTER BAHAN'!$A$5:$A$504,E368)=0,"BELUM ADA",INDEX('MASTER BAHAN'!$D$5:$D$504,MATCH(E368,'MASTER BAHAN'!$A$5:$A$504,0))))</f>
        <v/>
      </c>
      <c r="J368" s="0" t="str">
        <f aca="false">IF(A368="","",IF(OR(NOT(ISNUMBER(G368)),NOT(ISNUMBER(I368))),"BELUM LENGKAP",ROUND(G368*I368,0)))</f>
        <v/>
      </c>
      <c r="M368" s="24" t="str">
        <f aca="false">IF(A368="","",COUNTIF($A$5:A368,A368))</f>
        <v/>
      </c>
      <c r="N368" s="24" t="str">
        <f aca="false">IF(A368="","",A368&amp;"|"&amp;M368)</f>
        <v/>
      </c>
    </row>
    <row r="369" customFormat="false" ht="15" hidden="false" customHeight="false" outlineLevel="0" collapsed="false">
      <c r="F369" s="0" t="str">
        <f aca="false">IF(E369="","",IF(COUNTIFS('MASTER BAHAN'!$A$5:$A$504,E369)=0,"BELUM ADA",INDEX('MASTER BAHAN'!$B$5:$B$504,MATCH(E369,'MASTER BAHAN'!$A$5:$A$504,0))))</f>
        <v/>
      </c>
      <c r="H369" s="0" t="str">
        <f aca="false">IF(E369="","",IF(COUNTIFS('MASTER BAHAN'!$A$5:$A$504,E369)=0,"BELUM ADA",INDEX('MASTER BAHAN'!$D$5:$D$504,MATCH(E369,'MASTER BAHAN'!$A$5:$A$504,0))))</f>
        <v/>
      </c>
      <c r="J369" s="0" t="str">
        <f aca="false">IF(A369="","",IF(OR(NOT(ISNUMBER(G369)),NOT(ISNUMBER(I369))),"BELUM LENGKAP",ROUND(G369*I369,0)))</f>
        <v/>
      </c>
      <c r="M369" s="24" t="str">
        <f aca="false">IF(A369="","",COUNTIF($A$5:A369,A369))</f>
        <v/>
      </c>
      <c r="N369" s="24" t="str">
        <f aca="false">IF(A369="","",A369&amp;"|"&amp;M369)</f>
        <v/>
      </c>
    </row>
    <row r="370" customFormat="false" ht="15" hidden="false" customHeight="false" outlineLevel="0" collapsed="false">
      <c r="F370" s="0" t="str">
        <f aca="false">IF(E370="","",IF(COUNTIFS('MASTER BAHAN'!$A$5:$A$504,E370)=0,"BELUM ADA",INDEX('MASTER BAHAN'!$B$5:$B$504,MATCH(E370,'MASTER BAHAN'!$A$5:$A$504,0))))</f>
        <v/>
      </c>
      <c r="H370" s="0" t="str">
        <f aca="false">IF(E370="","",IF(COUNTIFS('MASTER BAHAN'!$A$5:$A$504,E370)=0,"BELUM ADA",INDEX('MASTER BAHAN'!$D$5:$D$504,MATCH(E370,'MASTER BAHAN'!$A$5:$A$504,0))))</f>
        <v/>
      </c>
      <c r="J370" s="0" t="str">
        <f aca="false">IF(A370="","",IF(OR(NOT(ISNUMBER(G370)),NOT(ISNUMBER(I370))),"BELUM LENGKAP",ROUND(G370*I370,0)))</f>
        <v/>
      </c>
      <c r="M370" s="24" t="str">
        <f aca="false">IF(A370="","",COUNTIF($A$5:A370,A370))</f>
        <v/>
      </c>
      <c r="N370" s="24" t="str">
        <f aca="false">IF(A370="","",A370&amp;"|"&amp;M370)</f>
        <v/>
      </c>
    </row>
    <row r="371" customFormat="false" ht="15" hidden="false" customHeight="false" outlineLevel="0" collapsed="false">
      <c r="F371" s="0" t="str">
        <f aca="false">IF(E371="","",IF(COUNTIFS('MASTER BAHAN'!$A$5:$A$504,E371)=0,"BELUM ADA",INDEX('MASTER BAHAN'!$B$5:$B$504,MATCH(E371,'MASTER BAHAN'!$A$5:$A$504,0))))</f>
        <v/>
      </c>
      <c r="H371" s="0" t="str">
        <f aca="false">IF(E371="","",IF(COUNTIFS('MASTER BAHAN'!$A$5:$A$504,E371)=0,"BELUM ADA",INDEX('MASTER BAHAN'!$D$5:$D$504,MATCH(E371,'MASTER BAHAN'!$A$5:$A$504,0))))</f>
        <v/>
      </c>
      <c r="J371" s="0" t="str">
        <f aca="false">IF(A371="","",IF(OR(NOT(ISNUMBER(G371)),NOT(ISNUMBER(I371))),"BELUM LENGKAP",ROUND(G371*I371,0)))</f>
        <v/>
      </c>
      <c r="M371" s="24" t="str">
        <f aca="false">IF(A371="","",COUNTIF($A$5:A371,A371))</f>
        <v/>
      </c>
      <c r="N371" s="24" t="str">
        <f aca="false">IF(A371="","",A371&amp;"|"&amp;M371)</f>
        <v/>
      </c>
    </row>
    <row r="372" customFormat="false" ht="15" hidden="false" customHeight="false" outlineLevel="0" collapsed="false">
      <c r="F372" s="0" t="str">
        <f aca="false">IF(E372="","",IF(COUNTIFS('MASTER BAHAN'!$A$5:$A$504,E372)=0,"BELUM ADA",INDEX('MASTER BAHAN'!$B$5:$B$504,MATCH(E372,'MASTER BAHAN'!$A$5:$A$504,0))))</f>
        <v/>
      </c>
      <c r="H372" s="0" t="str">
        <f aca="false">IF(E372="","",IF(COUNTIFS('MASTER BAHAN'!$A$5:$A$504,E372)=0,"BELUM ADA",INDEX('MASTER BAHAN'!$D$5:$D$504,MATCH(E372,'MASTER BAHAN'!$A$5:$A$504,0))))</f>
        <v/>
      </c>
      <c r="J372" s="0" t="str">
        <f aca="false">IF(A372="","",IF(OR(NOT(ISNUMBER(G372)),NOT(ISNUMBER(I372))),"BELUM LENGKAP",ROUND(G372*I372,0)))</f>
        <v/>
      </c>
      <c r="M372" s="24" t="str">
        <f aca="false">IF(A372="","",COUNTIF($A$5:A372,A372))</f>
        <v/>
      </c>
      <c r="N372" s="24" t="str">
        <f aca="false">IF(A372="","",A372&amp;"|"&amp;M372)</f>
        <v/>
      </c>
    </row>
    <row r="373" customFormat="false" ht="15" hidden="false" customHeight="false" outlineLevel="0" collapsed="false">
      <c r="F373" s="0" t="str">
        <f aca="false">IF(E373="","",IF(COUNTIFS('MASTER BAHAN'!$A$5:$A$504,E373)=0,"BELUM ADA",INDEX('MASTER BAHAN'!$B$5:$B$504,MATCH(E373,'MASTER BAHAN'!$A$5:$A$504,0))))</f>
        <v/>
      </c>
      <c r="H373" s="0" t="str">
        <f aca="false">IF(E373="","",IF(COUNTIFS('MASTER BAHAN'!$A$5:$A$504,E373)=0,"BELUM ADA",INDEX('MASTER BAHAN'!$D$5:$D$504,MATCH(E373,'MASTER BAHAN'!$A$5:$A$504,0))))</f>
        <v/>
      </c>
      <c r="J373" s="0" t="str">
        <f aca="false">IF(A373="","",IF(OR(NOT(ISNUMBER(G373)),NOT(ISNUMBER(I373))),"BELUM LENGKAP",ROUND(G373*I373,0)))</f>
        <v/>
      </c>
      <c r="M373" s="24" t="str">
        <f aca="false">IF(A373="","",COUNTIF($A$5:A373,A373))</f>
        <v/>
      </c>
      <c r="N373" s="24" t="str">
        <f aca="false">IF(A373="","",A373&amp;"|"&amp;M373)</f>
        <v/>
      </c>
    </row>
    <row r="374" customFormat="false" ht="15" hidden="false" customHeight="false" outlineLevel="0" collapsed="false">
      <c r="F374" s="0" t="str">
        <f aca="false">IF(E374="","",IF(COUNTIFS('MASTER BAHAN'!$A$5:$A$504,E374)=0,"BELUM ADA",INDEX('MASTER BAHAN'!$B$5:$B$504,MATCH(E374,'MASTER BAHAN'!$A$5:$A$504,0))))</f>
        <v/>
      </c>
      <c r="H374" s="0" t="str">
        <f aca="false">IF(E374="","",IF(COUNTIFS('MASTER BAHAN'!$A$5:$A$504,E374)=0,"BELUM ADA",INDEX('MASTER BAHAN'!$D$5:$D$504,MATCH(E374,'MASTER BAHAN'!$A$5:$A$504,0))))</f>
        <v/>
      </c>
      <c r="J374" s="0" t="str">
        <f aca="false">IF(A374="","",IF(OR(NOT(ISNUMBER(G374)),NOT(ISNUMBER(I374))),"BELUM LENGKAP",ROUND(G374*I374,0)))</f>
        <v/>
      </c>
      <c r="M374" s="24" t="str">
        <f aca="false">IF(A374="","",COUNTIF($A$5:A374,A374))</f>
        <v/>
      </c>
      <c r="N374" s="24" t="str">
        <f aca="false">IF(A374="","",A374&amp;"|"&amp;M374)</f>
        <v/>
      </c>
    </row>
    <row r="375" customFormat="false" ht="15" hidden="false" customHeight="false" outlineLevel="0" collapsed="false">
      <c r="F375" s="0" t="str">
        <f aca="false">IF(E375="","",IF(COUNTIFS('MASTER BAHAN'!$A$5:$A$504,E375)=0,"BELUM ADA",INDEX('MASTER BAHAN'!$B$5:$B$504,MATCH(E375,'MASTER BAHAN'!$A$5:$A$504,0))))</f>
        <v/>
      </c>
      <c r="H375" s="0" t="str">
        <f aca="false">IF(E375="","",IF(COUNTIFS('MASTER BAHAN'!$A$5:$A$504,E375)=0,"BELUM ADA",INDEX('MASTER BAHAN'!$D$5:$D$504,MATCH(E375,'MASTER BAHAN'!$A$5:$A$504,0))))</f>
        <v/>
      </c>
      <c r="J375" s="0" t="str">
        <f aca="false">IF(A375="","",IF(OR(NOT(ISNUMBER(G375)),NOT(ISNUMBER(I375))),"BELUM LENGKAP",ROUND(G375*I375,0)))</f>
        <v/>
      </c>
      <c r="M375" s="24" t="str">
        <f aca="false">IF(A375="","",COUNTIF($A$5:A375,A375))</f>
        <v/>
      </c>
      <c r="N375" s="24" t="str">
        <f aca="false">IF(A375="","",A375&amp;"|"&amp;M375)</f>
        <v/>
      </c>
    </row>
    <row r="376" customFormat="false" ht="15" hidden="false" customHeight="false" outlineLevel="0" collapsed="false">
      <c r="F376" s="0" t="str">
        <f aca="false">IF(E376="","",IF(COUNTIFS('MASTER BAHAN'!$A$5:$A$504,E376)=0,"BELUM ADA",INDEX('MASTER BAHAN'!$B$5:$B$504,MATCH(E376,'MASTER BAHAN'!$A$5:$A$504,0))))</f>
        <v/>
      </c>
      <c r="H376" s="0" t="str">
        <f aca="false">IF(E376="","",IF(COUNTIFS('MASTER BAHAN'!$A$5:$A$504,E376)=0,"BELUM ADA",INDEX('MASTER BAHAN'!$D$5:$D$504,MATCH(E376,'MASTER BAHAN'!$A$5:$A$504,0))))</f>
        <v/>
      </c>
      <c r="J376" s="0" t="str">
        <f aca="false">IF(A376="","",IF(OR(NOT(ISNUMBER(G376)),NOT(ISNUMBER(I376))),"BELUM LENGKAP",ROUND(G376*I376,0)))</f>
        <v/>
      </c>
      <c r="M376" s="24" t="str">
        <f aca="false">IF(A376="","",COUNTIF($A$5:A376,A376))</f>
        <v/>
      </c>
      <c r="N376" s="24" t="str">
        <f aca="false">IF(A376="","",A376&amp;"|"&amp;M376)</f>
        <v/>
      </c>
    </row>
    <row r="377" customFormat="false" ht="15" hidden="false" customHeight="false" outlineLevel="0" collapsed="false">
      <c r="F377" s="0" t="str">
        <f aca="false">IF(E377="","",IF(COUNTIFS('MASTER BAHAN'!$A$5:$A$504,E377)=0,"BELUM ADA",INDEX('MASTER BAHAN'!$B$5:$B$504,MATCH(E377,'MASTER BAHAN'!$A$5:$A$504,0))))</f>
        <v/>
      </c>
      <c r="H377" s="0" t="str">
        <f aca="false">IF(E377="","",IF(COUNTIFS('MASTER BAHAN'!$A$5:$A$504,E377)=0,"BELUM ADA",INDEX('MASTER BAHAN'!$D$5:$D$504,MATCH(E377,'MASTER BAHAN'!$A$5:$A$504,0))))</f>
        <v/>
      </c>
      <c r="J377" s="0" t="str">
        <f aca="false">IF(A377="","",IF(OR(NOT(ISNUMBER(G377)),NOT(ISNUMBER(I377))),"BELUM LENGKAP",ROUND(G377*I377,0)))</f>
        <v/>
      </c>
      <c r="M377" s="24" t="str">
        <f aca="false">IF(A377="","",COUNTIF($A$5:A377,A377))</f>
        <v/>
      </c>
      <c r="N377" s="24" t="str">
        <f aca="false">IF(A377="","",A377&amp;"|"&amp;M377)</f>
        <v/>
      </c>
    </row>
    <row r="378" customFormat="false" ht="15" hidden="false" customHeight="false" outlineLevel="0" collapsed="false">
      <c r="F378" s="0" t="str">
        <f aca="false">IF(E378="","",IF(COUNTIFS('MASTER BAHAN'!$A$5:$A$504,E378)=0,"BELUM ADA",INDEX('MASTER BAHAN'!$B$5:$B$504,MATCH(E378,'MASTER BAHAN'!$A$5:$A$504,0))))</f>
        <v/>
      </c>
      <c r="H378" s="0" t="str">
        <f aca="false">IF(E378="","",IF(COUNTIFS('MASTER BAHAN'!$A$5:$A$504,E378)=0,"BELUM ADA",INDEX('MASTER BAHAN'!$D$5:$D$504,MATCH(E378,'MASTER BAHAN'!$A$5:$A$504,0))))</f>
        <v/>
      </c>
      <c r="J378" s="0" t="str">
        <f aca="false">IF(A378="","",IF(OR(NOT(ISNUMBER(G378)),NOT(ISNUMBER(I378))),"BELUM LENGKAP",ROUND(G378*I378,0)))</f>
        <v/>
      </c>
      <c r="M378" s="24" t="str">
        <f aca="false">IF(A378="","",COUNTIF($A$5:A378,A378))</f>
        <v/>
      </c>
      <c r="N378" s="24" t="str">
        <f aca="false">IF(A378="","",A378&amp;"|"&amp;M378)</f>
        <v/>
      </c>
    </row>
    <row r="379" customFormat="false" ht="15" hidden="false" customHeight="false" outlineLevel="0" collapsed="false">
      <c r="F379" s="0" t="str">
        <f aca="false">IF(E379="","",IF(COUNTIFS('MASTER BAHAN'!$A$5:$A$504,E379)=0,"BELUM ADA",INDEX('MASTER BAHAN'!$B$5:$B$504,MATCH(E379,'MASTER BAHAN'!$A$5:$A$504,0))))</f>
        <v/>
      </c>
      <c r="H379" s="0" t="str">
        <f aca="false">IF(E379="","",IF(COUNTIFS('MASTER BAHAN'!$A$5:$A$504,E379)=0,"BELUM ADA",INDEX('MASTER BAHAN'!$D$5:$D$504,MATCH(E379,'MASTER BAHAN'!$A$5:$A$504,0))))</f>
        <v/>
      </c>
      <c r="J379" s="0" t="str">
        <f aca="false">IF(A379="","",IF(OR(NOT(ISNUMBER(G379)),NOT(ISNUMBER(I379))),"BELUM LENGKAP",ROUND(G379*I379,0)))</f>
        <v/>
      </c>
      <c r="M379" s="24" t="str">
        <f aca="false">IF(A379="","",COUNTIF($A$5:A379,A379))</f>
        <v/>
      </c>
      <c r="N379" s="24" t="str">
        <f aca="false">IF(A379="","",A379&amp;"|"&amp;M379)</f>
        <v/>
      </c>
    </row>
    <row r="380" customFormat="false" ht="15" hidden="false" customHeight="false" outlineLevel="0" collapsed="false">
      <c r="F380" s="0" t="str">
        <f aca="false">IF(E380="","",IF(COUNTIFS('MASTER BAHAN'!$A$5:$A$504,E380)=0,"BELUM ADA",INDEX('MASTER BAHAN'!$B$5:$B$504,MATCH(E380,'MASTER BAHAN'!$A$5:$A$504,0))))</f>
        <v/>
      </c>
      <c r="H380" s="0" t="str">
        <f aca="false">IF(E380="","",IF(COUNTIFS('MASTER BAHAN'!$A$5:$A$504,E380)=0,"BELUM ADA",INDEX('MASTER BAHAN'!$D$5:$D$504,MATCH(E380,'MASTER BAHAN'!$A$5:$A$504,0))))</f>
        <v/>
      </c>
      <c r="J380" s="0" t="str">
        <f aca="false">IF(A380="","",IF(OR(NOT(ISNUMBER(G380)),NOT(ISNUMBER(I380))),"BELUM LENGKAP",ROUND(G380*I380,0)))</f>
        <v/>
      </c>
      <c r="M380" s="24" t="str">
        <f aca="false">IF(A380="","",COUNTIF($A$5:A380,A380))</f>
        <v/>
      </c>
      <c r="N380" s="24" t="str">
        <f aca="false">IF(A380="","",A380&amp;"|"&amp;M380)</f>
        <v/>
      </c>
    </row>
    <row r="381" customFormat="false" ht="15" hidden="false" customHeight="false" outlineLevel="0" collapsed="false">
      <c r="F381" s="0" t="str">
        <f aca="false">IF(E381="","",IF(COUNTIFS('MASTER BAHAN'!$A$5:$A$504,E381)=0,"BELUM ADA",INDEX('MASTER BAHAN'!$B$5:$B$504,MATCH(E381,'MASTER BAHAN'!$A$5:$A$504,0))))</f>
        <v/>
      </c>
      <c r="H381" s="0" t="str">
        <f aca="false">IF(E381="","",IF(COUNTIFS('MASTER BAHAN'!$A$5:$A$504,E381)=0,"BELUM ADA",INDEX('MASTER BAHAN'!$D$5:$D$504,MATCH(E381,'MASTER BAHAN'!$A$5:$A$504,0))))</f>
        <v/>
      </c>
      <c r="J381" s="0" t="str">
        <f aca="false">IF(A381="","",IF(OR(NOT(ISNUMBER(G381)),NOT(ISNUMBER(I381))),"BELUM LENGKAP",ROUND(G381*I381,0)))</f>
        <v/>
      </c>
      <c r="M381" s="24" t="str">
        <f aca="false">IF(A381="","",COUNTIF($A$5:A381,A381))</f>
        <v/>
      </c>
      <c r="N381" s="24" t="str">
        <f aca="false">IF(A381="","",A381&amp;"|"&amp;M381)</f>
        <v/>
      </c>
    </row>
    <row r="382" customFormat="false" ht="15" hidden="false" customHeight="false" outlineLevel="0" collapsed="false">
      <c r="F382" s="0" t="str">
        <f aca="false">IF(E382="","",IF(COUNTIFS('MASTER BAHAN'!$A$5:$A$504,E382)=0,"BELUM ADA",INDEX('MASTER BAHAN'!$B$5:$B$504,MATCH(E382,'MASTER BAHAN'!$A$5:$A$504,0))))</f>
        <v/>
      </c>
      <c r="H382" s="0" t="str">
        <f aca="false">IF(E382="","",IF(COUNTIFS('MASTER BAHAN'!$A$5:$A$504,E382)=0,"BELUM ADA",INDEX('MASTER BAHAN'!$D$5:$D$504,MATCH(E382,'MASTER BAHAN'!$A$5:$A$504,0))))</f>
        <v/>
      </c>
      <c r="J382" s="0" t="str">
        <f aca="false">IF(A382="","",IF(OR(NOT(ISNUMBER(G382)),NOT(ISNUMBER(I382))),"BELUM LENGKAP",ROUND(G382*I382,0)))</f>
        <v/>
      </c>
      <c r="M382" s="24" t="str">
        <f aca="false">IF(A382="","",COUNTIF($A$5:A382,A382))</f>
        <v/>
      </c>
      <c r="N382" s="24" t="str">
        <f aca="false">IF(A382="","",A382&amp;"|"&amp;M382)</f>
        <v/>
      </c>
    </row>
    <row r="383" customFormat="false" ht="15" hidden="false" customHeight="false" outlineLevel="0" collapsed="false">
      <c r="F383" s="0" t="str">
        <f aca="false">IF(E383="","",IF(COUNTIFS('MASTER BAHAN'!$A$5:$A$504,E383)=0,"BELUM ADA",INDEX('MASTER BAHAN'!$B$5:$B$504,MATCH(E383,'MASTER BAHAN'!$A$5:$A$504,0))))</f>
        <v/>
      </c>
      <c r="H383" s="0" t="str">
        <f aca="false">IF(E383="","",IF(COUNTIFS('MASTER BAHAN'!$A$5:$A$504,E383)=0,"BELUM ADA",INDEX('MASTER BAHAN'!$D$5:$D$504,MATCH(E383,'MASTER BAHAN'!$A$5:$A$504,0))))</f>
        <v/>
      </c>
      <c r="J383" s="0" t="str">
        <f aca="false">IF(A383="","",IF(OR(NOT(ISNUMBER(G383)),NOT(ISNUMBER(I383))),"BELUM LENGKAP",ROUND(G383*I383,0)))</f>
        <v/>
      </c>
      <c r="M383" s="24" t="str">
        <f aca="false">IF(A383="","",COUNTIF($A$5:A383,A383))</f>
        <v/>
      </c>
      <c r="N383" s="24" t="str">
        <f aca="false">IF(A383="","",A383&amp;"|"&amp;M383)</f>
        <v/>
      </c>
    </row>
    <row r="384" customFormat="false" ht="15" hidden="false" customHeight="false" outlineLevel="0" collapsed="false">
      <c r="F384" s="0" t="str">
        <f aca="false">IF(E384="","",IF(COUNTIFS('MASTER BAHAN'!$A$5:$A$504,E384)=0,"BELUM ADA",INDEX('MASTER BAHAN'!$B$5:$B$504,MATCH(E384,'MASTER BAHAN'!$A$5:$A$504,0))))</f>
        <v/>
      </c>
      <c r="H384" s="0" t="str">
        <f aca="false">IF(E384="","",IF(COUNTIFS('MASTER BAHAN'!$A$5:$A$504,E384)=0,"BELUM ADA",INDEX('MASTER BAHAN'!$D$5:$D$504,MATCH(E384,'MASTER BAHAN'!$A$5:$A$504,0))))</f>
        <v/>
      </c>
      <c r="J384" s="0" t="str">
        <f aca="false">IF(A384="","",IF(OR(NOT(ISNUMBER(G384)),NOT(ISNUMBER(I384))),"BELUM LENGKAP",ROUND(G384*I384,0)))</f>
        <v/>
      </c>
      <c r="M384" s="24" t="str">
        <f aca="false">IF(A384="","",COUNTIF($A$5:A384,A384))</f>
        <v/>
      </c>
      <c r="N384" s="24" t="str">
        <f aca="false">IF(A384="","",A384&amp;"|"&amp;M384)</f>
        <v/>
      </c>
    </row>
    <row r="385" customFormat="false" ht="15" hidden="false" customHeight="false" outlineLevel="0" collapsed="false">
      <c r="F385" s="0" t="str">
        <f aca="false">IF(E385="","",IF(COUNTIFS('MASTER BAHAN'!$A$5:$A$504,E385)=0,"BELUM ADA",INDEX('MASTER BAHAN'!$B$5:$B$504,MATCH(E385,'MASTER BAHAN'!$A$5:$A$504,0))))</f>
        <v/>
      </c>
      <c r="H385" s="0" t="str">
        <f aca="false">IF(E385="","",IF(COUNTIFS('MASTER BAHAN'!$A$5:$A$504,E385)=0,"BELUM ADA",INDEX('MASTER BAHAN'!$D$5:$D$504,MATCH(E385,'MASTER BAHAN'!$A$5:$A$504,0))))</f>
        <v/>
      </c>
      <c r="J385" s="0" t="str">
        <f aca="false">IF(A385="","",IF(OR(NOT(ISNUMBER(G385)),NOT(ISNUMBER(I385))),"BELUM LENGKAP",ROUND(G385*I385,0)))</f>
        <v/>
      </c>
      <c r="M385" s="24" t="str">
        <f aca="false">IF(A385="","",COUNTIF($A$5:A385,A385))</f>
        <v/>
      </c>
      <c r="N385" s="24" t="str">
        <f aca="false">IF(A385="","",A385&amp;"|"&amp;M385)</f>
        <v/>
      </c>
    </row>
    <row r="386" customFormat="false" ht="15" hidden="false" customHeight="false" outlineLevel="0" collapsed="false">
      <c r="F386" s="0" t="str">
        <f aca="false">IF(E386="","",IF(COUNTIFS('MASTER BAHAN'!$A$5:$A$504,E386)=0,"BELUM ADA",INDEX('MASTER BAHAN'!$B$5:$B$504,MATCH(E386,'MASTER BAHAN'!$A$5:$A$504,0))))</f>
        <v/>
      </c>
      <c r="H386" s="0" t="str">
        <f aca="false">IF(E386="","",IF(COUNTIFS('MASTER BAHAN'!$A$5:$A$504,E386)=0,"BELUM ADA",INDEX('MASTER BAHAN'!$D$5:$D$504,MATCH(E386,'MASTER BAHAN'!$A$5:$A$504,0))))</f>
        <v/>
      </c>
      <c r="J386" s="0" t="str">
        <f aca="false">IF(A386="","",IF(OR(NOT(ISNUMBER(G386)),NOT(ISNUMBER(I386))),"BELUM LENGKAP",ROUND(G386*I386,0)))</f>
        <v/>
      </c>
      <c r="M386" s="24" t="str">
        <f aca="false">IF(A386="","",COUNTIF($A$5:A386,A386))</f>
        <v/>
      </c>
      <c r="N386" s="24" t="str">
        <f aca="false">IF(A386="","",A386&amp;"|"&amp;M386)</f>
        <v/>
      </c>
    </row>
    <row r="387" customFormat="false" ht="15" hidden="false" customHeight="false" outlineLevel="0" collapsed="false">
      <c r="F387" s="0" t="str">
        <f aca="false">IF(E387="","",IF(COUNTIFS('MASTER BAHAN'!$A$5:$A$504,E387)=0,"BELUM ADA",INDEX('MASTER BAHAN'!$B$5:$B$504,MATCH(E387,'MASTER BAHAN'!$A$5:$A$504,0))))</f>
        <v/>
      </c>
      <c r="H387" s="0" t="str">
        <f aca="false">IF(E387="","",IF(COUNTIFS('MASTER BAHAN'!$A$5:$A$504,E387)=0,"BELUM ADA",INDEX('MASTER BAHAN'!$D$5:$D$504,MATCH(E387,'MASTER BAHAN'!$A$5:$A$504,0))))</f>
        <v/>
      </c>
      <c r="J387" s="0" t="str">
        <f aca="false">IF(A387="","",IF(OR(NOT(ISNUMBER(G387)),NOT(ISNUMBER(I387))),"BELUM LENGKAP",ROUND(G387*I387,0)))</f>
        <v/>
      </c>
      <c r="M387" s="24" t="str">
        <f aca="false">IF(A387="","",COUNTIF($A$5:A387,A387))</f>
        <v/>
      </c>
      <c r="N387" s="24" t="str">
        <f aca="false">IF(A387="","",A387&amp;"|"&amp;M387)</f>
        <v/>
      </c>
    </row>
    <row r="388" customFormat="false" ht="15" hidden="false" customHeight="false" outlineLevel="0" collapsed="false">
      <c r="F388" s="0" t="str">
        <f aca="false">IF(E388="","",IF(COUNTIFS('MASTER BAHAN'!$A$5:$A$504,E388)=0,"BELUM ADA",INDEX('MASTER BAHAN'!$B$5:$B$504,MATCH(E388,'MASTER BAHAN'!$A$5:$A$504,0))))</f>
        <v/>
      </c>
      <c r="H388" s="0" t="str">
        <f aca="false">IF(E388="","",IF(COUNTIFS('MASTER BAHAN'!$A$5:$A$504,E388)=0,"BELUM ADA",INDEX('MASTER BAHAN'!$D$5:$D$504,MATCH(E388,'MASTER BAHAN'!$A$5:$A$504,0))))</f>
        <v/>
      </c>
      <c r="J388" s="0" t="str">
        <f aca="false">IF(A388="","",IF(OR(NOT(ISNUMBER(G388)),NOT(ISNUMBER(I388))),"BELUM LENGKAP",ROUND(G388*I388,0)))</f>
        <v/>
      </c>
      <c r="M388" s="24" t="str">
        <f aca="false">IF(A388="","",COUNTIF($A$5:A388,A388))</f>
        <v/>
      </c>
      <c r="N388" s="24" t="str">
        <f aca="false">IF(A388="","",A388&amp;"|"&amp;M388)</f>
        <v/>
      </c>
    </row>
    <row r="389" customFormat="false" ht="15" hidden="false" customHeight="false" outlineLevel="0" collapsed="false">
      <c r="F389" s="0" t="str">
        <f aca="false">IF(E389="","",IF(COUNTIFS('MASTER BAHAN'!$A$5:$A$504,E389)=0,"BELUM ADA",INDEX('MASTER BAHAN'!$B$5:$B$504,MATCH(E389,'MASTER BAHAN'!$A$5:$A$504,0))))</f>
        <v/>
      </c>
      <c r="H389" s="0" t="str">
        <f aca="false">IF(E389="","",IF(COUNTIFS('MASTER BAHAN'!$A$5:$A$504,E389)=0,"BELUM ADA",INDEX('MASTER BAHAN'!$D$5:$D$504,MATCH(E389,'MASTER BAHAN'!$A$5:$A$504,0))))</f>
        <v/>
      </c>
      <c r="J389" s="0" t="str">
        <f aca="false">IF(A389="","",IF(OR(NOT(ISNUMBER(G389)),NOT(ISNUMBER(I389))),"BELUM LENGKAP",ROUND(G389*I389,0)))</f>
        <v/>
      </c>
      <c r="M389" s="24" t="str">
        <f aca="false">IF(A389="","",COUNTIF($A$5:A389,A389))</f>
        <v/>
      </c>
      <c r="N389" s="24" t="str">
        <f aca="false">IF(A389="","",A389&amp;"|"&amp;M389)</f>
        <v/>
      </c>
    </row>
    <row r="390" customFormat="false" ht="15" hidden="false" customHeight="false" outlineLevel="0" collapsed="false">
      <c r="F390" s="0" t="str">
        <f aca="false">IF(E390="","",IF(COUNTIFS('MASTER BAHAN'!$A$5:$A$504,E390)=0,"BELUM ADA",INDEX('MASTER BAHAN'!$B$5:$B$504,MATCH(E390,'MASTER BAHAN'!$A$5:$A$504,0))))</f>
        <v/>
      </c>
      <c r="H390" s="0" t="str">
        <f aca="false">IF(E390="","",IF(COUNTIFS('MASTER BAHAN'!$A$5:$A$504,E390)=0,"BELUM ADA",INDEX('MASTER BAHAN'!$D$5:$D$504,MATCH(E390,'MASTER BAHAN'!$A$5:$A$504,0))))</f>
        <v/>
      </c>
      <c r="J390" s="0" t="str">
        <f aca="false">IF(A390="","",IF(OR(NOT(ISNUMBER(G390)),NOT(ISNUMBER(I390))),"BELUM LENGKAP",ROUND(G390*I390,0)))</f>
        <v/>
      </c>
      <c r="M390" s="24" t="str">
        <f aca="false">IF(A390="","",COUNTIF($A$5:A390,A390))</f>
        <v/>
      </c>
      <c r="N390" s="24" t="str">
        <f aca="false">IF(A390="","",A390&amp;"|"&amp;M390)</f>
        <v/>
      </c>
    </row>
    <row r="391" customFormat="false" ht="15" hidden="false" customHeight="false" outlineLevel="0" collapsed="false">
      <c r="F391" s="0" t="str">
        <f aca="false">IF(E391="","",IF(COUNTIFS('MASTER BAHAN'!$A$5:$A$504,E391)=0,"BELUM ADA",INDEX('MASTER BAHAN'!$B$5:$B$504,MATCH(E391,'MASTER BAHAN'!$A$5:$A$504,0))))</f>
        <v/>
      </c>
      <c r="H391" s="0" t="str">
        <f aca="false">IF(E391="","",IF(COUNTIFS('MASTER BAHAN'!$A$5:$A$504,E391)=0,"BELUM ADA",INDEX('MASTER BAHAN'!$D$5:$D$504,MATCH(E391,'MASTER BAHAN'!$A$5:$A$504,0))))</f>
        <v/>
      </c>
      <c r="J391" s="0" t="str">
        <f aca="false">IF(A391="","",IF(OR(NOT(ISNUMBER(G391)),NOT(ISNUMBER(I391))),"BELUM LENGKAP",ROUND(G391*I391,0)))</f>
        <v/>
      </c>
      <c r="M391" s="24" t="str">
        <f aca="false">IF(A391="","",COUNTIF($A$5:A391,A391))</f>
        <v/>
      </c>
      <c r="N391" s="24" t="str">
        <f aca="false">IF(A391="","",A391&amp;"|"&amp;M391)</f>
        <v/>
      </c>
    </row>
    <row r="392" customFormat="false" ht="15" hidden="false" customHeight="false" outlineLevel="0" collapsed="false">
      <c r="F392" s="0" t="str">
        <f aca="false">IF(E392="","",IF(COUNTIFS('MASTER BAHAN'!$A$5:$A$504,E392)=0,"BELUM ADA",INDEX('MASTER BAHAN'!$B$5:$B$504,MATCH(E392,'MASTER BAHAN'!$A$5:$A$504,0))))</f>
        <v/>
      </c>
      <c r="H392" s="0" t="str">
        <f aca="false">IF(E392="","",IF(COUNTIFS('MASTER BAHAN'!$A$5:$A$504,E392)=0,"BELUM ADA",INDEX('MASTER BAHAN'!$D$5:$D$504,MATCH(E392,'MASTER BAHAN'!$A$5:$A$504,0))))</f>
        <v/>
      </c>
      <c r="J392" s="0" t="str">
        <f aca="false">IF(A392="","",IF(OR(NOT(ISNUMBER(G392)),NOT(ISNUMBER(I392))),"BELUM LENGKAP",ROUND(G392*I392,0)))</f>
        <v/>
      </c>
      <c r="M392" s="24" t="str">
        <f aca="false">IF(A392="","",COUNTIF($A$5:A392,A392))</f>
        <v/>
      </c>
      <c r="N392" s="24" t="str">
        <f aca="false">IF(A392="","",A392&amp;"|"&amp;M392)</f>
        <v/>
      </c>
    </row>
    <row r="393" customFormat="false" ht="15" hidden="false" customHeight="false" outlineLevel="0" collapsed="false">
      <c r="F393" s="0" t="str">
        <f aca="false">IF(E393="","",IF(COUNTIFS('MASTER BAHAN'!$A$5:$A$504,E393)=0,"BELUM ADA",INDEX('MASTER BAHAN'!$B$5:$B$504,MATCH(E393,'MASTER BAHAN'!$A$5:$A$504,0))))</f>
        <v/>
      </c>
      <c r="H393" s="0" t="str">
        <f aca="false">IF(E393="","",IF(COUNTIFS('MASTER BAHAN'!$A$5:$A$504,E393)=0,"BELUM ADA",INDEX('MASTER BAHAN'!$D$5:$D$504,MATCH(E393,'MASTER BAHAN'!$A$5:$A$504,0))))</f>
        <v/>
      </c>
      <c r="J393" s="0" t="str">
        <f aca="false">IF(A393="","",IF(OR(NOT(ISNUMBER(G393)),NOT(ISNUMBER(I393))),"BELUM LENGKAP",ROUND(G393*I393,0)))</f>
        <v/>
      </c>
      <c r="M393" s="24" t="str">
        <f aca="false">IF(A393="","",COUNTIF($A$5:A393,A393))</f>
        <v/>
      </c>
      <c r="N393" s="24" t="str">
        <f aca="false">IF(A393="","",A393&amp;"|"&amp;M393)</f>
        <v/>
      </c>
    </row>
    <row r="394" customFormat="false" ht="15" hidden="false" customHeight="false" outlineLevel="0" collapsed="false">
      <c r="F394" s="0" t="str">
        <f aca="false">IF(E394="","",IF(COUNTIFS('MASTER BAHAN'!$A$5:$A$504,E394)=0,"BELUM ADA",INDEX('MASTER BAHAN'!$B$5:$B$504,MATCH(E394,'MASTER BAHAN'!$A$5:$A$504,0))))</f>
        <v/>
      </c>
      <c r="H394" s="0" t="str">
        <f aca="false">IF(E394="","",IF(COUNTIFS('MASTER BAHAN'!$A$5:$A$504,E394)=0,"BELUM ADA",INDEX('MASTER BAHAN'!$D$5:$D$504,MATCH(E394,'MASTER BAHAN'!$A$5:$A$504,0))))</f>
        <v/>
      </c>
      <c r="J394" s="0" t="str">
        <f aca="false">IF(A394="","",IF(OR(NOT(ISNUMBER(G394)),NOT(ISNUMBER(I394))),"BELUM LENGKAP",ROUND(G394*I394,0)))</f>
        <v/>
      </c>
      <c r="M394" s="24" t="str">
        <f aca="false">IF(A394="","",COUNTIF($A$5:A394,A394))</f>
        <v/>
      </c>
      <c r="N394" s="24" t="str">
        <f aca="false">IF(A394="","",A394&amp;"|"&amp;M394)</f>
        <v/>
      </c>
    </row>
    <row r="395" customFormat="false" ht="15" hidden="false" customHeight="false" outlineLevel="0" collapsed="false">
      <c r="F395" s="0" t="str">
        <f aca="false">IF(E395="","",IF(COUNTIFS('MASTER BAHAN'!$A$5:$A$504,E395)=0,"BELUM ADA",INDEX('MASTER BAHAN'!$B$5:$B$504,MATCH(E395,'MASTER BAHAN'!$A$5:$A$504,0))))</f>
        <v/>
      </c>
      <c r="H395" s="0" t="str">
        <f aca="false">IF(E395="","",IF(COUNTIFS('MASTER BAHAN'!$A$5:$A$504,E395)=0,"BELUM ADA",INDEX('MASTER BAHAN'!$D$5:$D$504,MATCH(E395,'MASTER BAHAN'!$A$5:$A$504,0))))</f>
        <v/>
      </c>
      <c r="J395" s="0" t="str">
        <f aca="false">IF(A395="","",IF(OR(NOT(ISNUMBER(G395)),NOT(ISNUMBER(I395))),"BELUM LENGKAP",ROUND(G395*I395,0)))</f>
        <v/>
      </c>
      <c r="M395" s="24" t="str">
        <f aca="false">IF(A395="","",COUNTIF($A$5:A395,A395))</f>
        <v/>
      </c>
      <c r="N395" s="24" t="str">
        <f aca="false">IF(A395="","",A395&amp;"|"&amp;M395)</f>
        <v/>
      </c>
    </row>
    <row r="396" customFormat="false" ht="15" hidden="false" customHeight="false" outlineLevel="0" collapsed="false">
      <c r="F396" s="0" t="str">
        <f aca="false">IF(E396="","",IF(COUNTIFS('MASTER BAHAN'!$A$5:$A$504,E396)=0,"BELUM ADA",INDEX('MASTER BAHAN'!$B$5:$B$504,MATCH(E396,'MASTER BAHAN'!$A$5:$A$504,0))))</f>
        <v/>
      </c>
      <c r="H396" s="0" t="str">
        <f aca="false">IF(E396="","",IF(COUNTIFS('MASTER BAHAN'!$A$5:$A$504,E396)=0,"BELUM ADA",INDEX('MASTER BAHAN'!$D$5:$D$504,MATCH(E396,'MASTER BAHAN'!$A$5:$A$504,0))))</f>
        <v/>
      </c>
      <c r="J396" s="0" t="str">
        <f aca="false">IF(A396="","",IF(OR(NOT(ISNUMBER(G396)),NOT(ISNUMBER(I396))),"BELUM LENGKAP",ROUND(G396*I396,0)))</f>
        <v/>
      </c>
      <c r="M396" s="24" t="str">
        <f aca="false">IF(A396="","",COUNTIF($A$5:A396,A396))</f>
        <v/>
      </c>
      <c r="N396" s="24" t="str">
        <f aca="false">IF(A396="","",A396&amp;"|"&amp;M396)</f>
        <v/>
      </c>
    </row>
    <row r="397" customFormat="false" ht="15" hidden="false" customHeight="false" outlineLevel="0" collapsed="false">
      <c r="F397" s="0" t="str">
        <f aca="false">IF(E397="","",IF(COUNTIFS('MASTER BAHAN'!$A$5:$A$504,E397)=0,"BELUM ADA",INDEX('MASTER BAHAN'!$B$5:$B$504,MATCH(E397,'MASTER BAHAN'!$A$5:$A$504,0))))</f>
        <v/>
      </c>
      <c r="H397" s="0" t="str">
        <f aca="false">IF(E397="","",IF(COUNTIFS('MASTER BAHAN'!$A$5:$A$504,E397)=0,"BELUM ADA",INDEX('MASTER BAHAN'!$D$5:$D$504,MATCH(E397,'MASTER BAHAN'!$A$5:$A$504,0))))</f>
        <v/>
      </c>
      <c r="J397" s="0" t="str">
        <f aca="false">IF(A397="","",IF(OR(NOT(ISNUMBER(G397)),NOT(ISNUMBER(I397))),"BELUM LENGKAP",ROUND(G397*I397,0)))</f>
        <v/>
      </c>
      <c r="M397" s="24" t="str">
        <f aca="false">IF(A397="","",COUNTIF($A$5:A397,A397))</f>
        <v/>
      </c>
      <c r="N397" s="24" t="str">
        <f aca="false">IF(A397="","",A397&amp;"|"&amp;M397)</f>
        <v/>
      </c>
    </row>
    <row r="398" customFormat="false" ht="15" hidden="false" customHeight="false" outlineLevel="0" collapsed="false">
      <c r="F398" s="0" t="str">
        <f aca="false">IF(E398="","",IF(COUNTIFS('MASTER BAHAN'!$A$5:$A$504,E398)=0,"BELUM ADA",INDEX('MASTER BAHAN'!$B$5:$B$504,MATCH(E398,'MASTER BAHAN'!$A$5:$A$504,0))))</f>
        <v/>
      </c>
      <c r="H398" s="0" t="str">
        <f aca="false">IF(E398="","",IF(COUNTIFS('MASTER BAHAN'!$A$5:$A$504,E398)=0,"BELUM ADA",INDEX('MASTER BAHAN'!$D$5:$D$504,MATCH(E398,'MASTER BAHAN'!$A$5:$A$504,0))))</f>
        <v/>
      </c>
      <c r="J398" s="0" t="str">
        <f aca="false">IF(A398="","",IF(OR(NOT(ISNUMBER(G398)),NOT(ISNUMBER(I398))),"BELUM LENGKAP",ROUND(G398*I398,0)))</f>
        <v/>
      </c>
      <c r="M398" s="24" t="str">
        <f aca="false">IF(A398="","",COUNTIF($A$5:A398,A398))</f>
        <v/>
      </c>
      <c r="N398" s="24" t="str">
        <f aca="false">IF(A398="","",A398&amp;"|"&amp;M398)</f>
        <v/>
      </c>
    </row>
    <row r="399" customFormat="false" ht="15" hidden="false" customHeight="false" outlineLevel="0" collapsed="false">
      <c r="F399" s="0" t="str">
        <f aca="false">IF(E399="","",IF(COUNTIFS('MASTER BAHAN'!$A$5:$A$504,E399)=0,"BELUM ADA",INDEX('MASTER BAHAN'!$B$5:$B$504,MATCH(E399,'MASTER BAHAN'!$A$5:$A$504,0))))</f>
        <v/>
      </c>
      <c r="H399" s="0" t="str">
        <f aca="false">IF(E399="","",IF(COUNTIFS('MASTER BAHAN'!$A$5:$A$504,E399)=0,"BELUM ADA",INDEX('MASTER BAHAN'!$D$5:$D$504,MATCH(E399,'MASTER BAHAN'!$A$5:$A$504,0))))</f>
        <v/>
      </c>
      <c r="J399" s="0" t="str">
        <f aca="false">IF(A399="","",IF(OR(NOT(ISNUMBER(G399)),NOT(ISNUMBER(I399))),"BELUM LENGKAP",ROUND(G399*I399,0)))</f>
        <v/>
      </c>
      <c r="M399" s="24" t="str">
        <f aca="false">IF(A399="","",COUNTIF($A$5:A399,A399))</f>
        <v/>
      </c>
      <c r="N399" s="24" t="str">
        <f aca="false">IF(A399="","",A399&amp;"|"&amp;M399)</f>
        <v/>
      </c>
    </row>
    <row r="400" customFormat="false" ht="15" hidden="false" customHeight="false" outlineLevel="0" collapsed="false">
      <c r="F400" s="0" t="str">
        <f aca="false">IF(E400="","",IF(COUNTIFS('MASTER BAHAN'!$A$5:$A$504,E400)=0,"BELUM ADA",INDEX('MASTER BAHAN'!$B$5:$B$504,MATCH(E400,'MASTER BAHAN'!$A$5:$A$504,0))))</f>
        <v/>
      </c>
      <c r="H400" s="0" t="str">
        <f aca="false">IF(E400="","",IF(COUNTIFS('MASTER BAHAN'!$A$5:$A$504,E400)=0,"BELUM ADA",INDEX('MASTER BAHAN'!$D$5:$D$504,MATCH(E400,'MASTER BAHAN'!$A$5:$A$504,0))))</f>
        <v/>
      </c>
      <c r="J400" s="0" t="str">
        <f aca="false">IF(A400="","",IF(OR(NOT(ISNUMBER(G400)),NOT(ISNUMBER(I400))),"BELUM LENGKAP",ROUND(G400*I400,0)))</f>
        <v/>
      </c>
      <c r="M400" s="24" t="str">
        <f aca="false">IF(A400="","",COUNTIF($A$5:A400,A400))</f>
        <v/>
      </c>
      <c r="N400" s="24" t="str">
        <f aca="false">IF(A400="","",A400&amp;"|"&amp;M400)</f>
        <v/>
      </c>
    </row>
    <row r="401" customFormat="false" ht="15" hidden="false" customHeight="false" outlineLevel="0" collapsed="false">
      <c r="F401" s="0" t="str">
        <f aca="false">IF(E401="","",IF(COUNTIFS('MASTER BAHAN'!$A$5:$A$504,E401)=0,"BELUM ADA",INDEX('MASTER BAHAN'!$B$5:$B$504,MATCH(E401,'MASTER BAHAN'!$A$5:$A$504,0))))</f>
        <v/>
      </c>
      <c r="H401" s="0" t="str">
        <f aca="false">IF(E401="","",IF(COUNTIFS('MASTER BAHAN'!$A$5:$A$504,E401)=0,"BELUM ADA",INDEX('MASTER BAHAN'!$D$5:$D$504,MATCH(E401,'MASTER BAHAN'!$A$5:$A$504,0))))</f>
        <v/>
      </c>
      <c r="J401" s="0" t="str">
        <f aca="false">IF(A401="","",IF(OR(NOT(ISNUMBER(G401)),NOT(ISNUMBER(I401))),"BELUM LENGKAP",ROUND(G401*I401,0)))</f>
        <v/>
      </c>
      <c r="M401" s="24" t="str">
        <f aca="false">IF(A401="","",COUNTIF($A$5:A401,A401))</f>
        <v/>
      </c>
      <c r="N401" s="24" t="str">
        <f aca="false">IF(A401="","",A401&amp;"|"&amp;M401)</f>
        <v/>
      </c>
    </row>
    <row r="402" customFormat="false" ht="15" hidden="false" customHeight="false" outlineLevel="0" collapsed="false">
      <c r="F402" s="0" t="str">
        <f aca="false">IF(E402="","",IF(COUNTIFS('MASTER BAHAN'!$A$5:$A$504,E402)=0,"BELUM ADA",INDEX('MASTER BAHAN'!$B$5:$B$504,MATCH(E402,'MASTER BAHAN'!$A$5:$A$504,0))))</f>
        <v/>
      </c>
      <c r="H402" s="0" t="str">
        <f aca="false">IF(E402="","",IF(COUNTIFS('MASTER BAHAN'!$A$5:$A$504,E402)=0,"BELUM ADA",INDEX('MASTER BAHAN'!$D$5:$D$504,MATCH(E402,'MASTER BAHAN'!$A$5:$A$504,0))))</f>
        <v/>
      </c>
      <c r="J402" s="0" t="str">
        <f aca="false">IF(A402="","",IF(OR(NOT(ISNUMBER(G402)),NOT(ISNUMBER(I402))),"BELUM LENGKAP",ROUND(G402*I402,0)))</f>
        <v/>
      </c>
      <c r="M402" s="24" t="str">
        <f aca="false">IF(A402="","",COUNTIF($A$5:A402,A402))</f>
        <v/>
      </c>
      <c r="N402" s="24" t="str">
        <f aca="false">IF(A402="","",A402&amp;"|"&amp;M402)</f>
        <v/>
      </c>
    </row>
    <row r="403" customFormat="false" ht="15" hidden="false" customHeight="false" outlineLevel="0" collapsed="false">
      <c r="F403" s="0" t="str">
        <f aca="false">IF(E403="","",IF(COUNTIFS('MASTER BAHAN'!$A$5:$A$504,E403)=0,"BELUM ADA",INDEX('MASTER BAHAN'!$B$5:$B$504,MATCH(E403,'MASTER BAHAN'!$A$5:$A$504,0))))</f>
        <v/>
      </c>
      <c r="H403" s="0" t="str">
        <f aca="false">IF(E403="","",IF(COUNTIFS('MASTER BAHAN'!$A$5:$A$504,E403)=0,"BELUM ADA",INDEX('MASTER BAHAN'!$D$5:$D$504,MATCH(E403,'MASTER BAHAN'!$A$5:$A$504,0))))</f>
        <v/>
      </c>
      <c r="J403" s="0" t="str">
        <f aca="false">IF(A403="","",IF(OR(NOT(ISNUMBER(G403)),NOT(ISNUMBER(I403))),"BELUM LENGKAP",ROUND(G403*I403,0)))</f>
        <v/>
      </c>
      <c r="M403" s="24" t="str">
        <f aca="false">IF(A403="","",COUNTIF($A$5:A403,A403))</f>
        <v/>
      </c>
      <c r="N403" s="24" t="str">
        <f aca="false">IF(A403="","",A403&amp;"|"&amp;M403)</f>
        <v/>
      </c>
    </row>
    <row r="404" customFormat="false" ht="15" hidden="false" customHeight="false" outlineLevel="0" collapsed="false">
      <c r="F404" s="0" t="str">
        <f aca="false">IF(E404="","",IF(COUNTIFS('MASTER BAHAN'!$A$5:$A$504,E404)=0,"BELUM ADA",INDEX('MASTER BAHAN'!$B$5:$B$504,MATCH(E404,'MASTER BAHAN'!$A$5:$A$504,0))))</f>
        <v/>
      </c>
      <c r="H404" s="0" t="str">
        <f aca="false">IF(E404="","",IF(COUNTIFS('MASTER BAHAN'!$A$5:$A$504,E404)=0,"BELUM ADA",INDEX('MASTER BAHAN'!$D$5:$D$504,MATCH(E404,'MASTER BAHAN'!$A$5:$A$504,0))))</f>
        <v/>
      </c>
      <c r="J404" s="0" t="str">
        <f aca="false">IF(A404="","",IF(OR(NOT(ISNUMBER(G404)),NOT(ISNUMBER(I404))),"BELUM LENGKAP",ROUND(G404*I404,0)))</f>
        <v/>
      </c>
      <c r="M404" s="24" t="str">
        <f aca="false">IF(A404="","",COUNTIF($A$5:A404,A404))</f>
        <v/>
      </c>
      <c r="N404" s="24" t="str">
        <f aca="false">IF(A404="","",A404&amp;"|"&amp;M404)</f>
        <v/>
      </c>
    </row>
    <row r="405" customFormat="false" ht="15" hidden="false" customHeight="false" outlineLevel="0" collapsed="false">
      <c r="F405" s="0" t="str">
        <f aca="false">IF(E405="","",IF(COUNTIFS('MASTER BAHAN'!$A$5:$A$504,E405)=0,"BELUM ADA",INDEX('MASTER BAHAN'!$B$5:$B$504,MATCH(E405,'MASTER BAHAN'!$A$5:$A$504,0))))</f>
        <v/>
      </c>
      <c r="H405" s="0" t="str">
        <f aca="false">IF(E405="","",IF(COUNTIFS('MASTER BAHAN'!$A$5:$A$504,E405)=0,"BELUM ADA",INDEX('MASTER BAHAN'!$D$5:$D$504,MATCH(E405,'MASTER BAHAN'!$A$5:$A$504,0))))</f>
        <v/>
      </c>
      <c r="J405" s="0" t="str">
        <f aca="false">IF(A405="","",IF(OR(NOT(ISNUMBER(G405)),NOT(ISNUMBER(I405))),"BELUM LENGKAP",ROUND(G405*I405,0)))</f>
        <v/>
      </c>
      <c r="M405" s="24" t="str">
        <f aca="false">IF(A405="","",COUNTIF($A$5:A405,A405))</f>
        <v/>
      </c>
      <c r="N405" s="24" t="str">
        <f aca="false">IF(A405="","",A405&amp;"|"&amp;M405)</f>
        <v/>
      </c>
    </row>
    <row r="406" customFormat="false" ht="15" hidden="false" customHeight="false" outlineLevel="0" collapsed="false">
      <c r="F406" s="0" t="str">
        <f aca="false">IF(E406="","",IF(COUNTIFS('MASTER BAHAN'!$A$5:$A$504,E406)=0,"BELUM ADA",INDEX('MASTER BAHAN'!$B$5:$B$504,MATCH(E406,'MASTER BAHAN'!$A$5:$A$504,0))))</f>
        <v/>
      </c>
      <c r="H406" s="0" t="str">
        <f aca="false">IF(E406="","",IF(COUNTIFS('MASTER BAHAN'!$A$5:$A$504,E406)=0,"BELUM ADA",INDEX('MASTER BAHAN'!$D$5:$D$504,MATCH(E406,'MASTER BAHAN'!$A$5:$A$504,0))))</f>
        <v/>
      </c>
      <c r="J406" s="0" t="str">
        <f aca="false">IF(A406="","",IF(OR(NOT(ISNUMBER(G406)),NOT(ISNUMBER(I406))),"BELUM LENGKAP",ROUND(G406*I406,0)))</f>
        <v/>
      </c>
      <c r="M406" s="24" t="str">
        <f aca="false">IF(A406="","",COUNTIF($A$5:A406,A406))</f>
        <v/>
      </c>
      <c r="N406" s="24" t="str">
        <f aca="false">IF(A406="","",A406&amp;"|"&amp;M406)</f>
        <v/>
      </c>
    </row>
    <row r="407" customFormat="false" ht="15" hidden="false" customHeight="false" outlineLevel="0" collapsed="false">
      <c r="F407" s="0" t="str">
        <f aca="false">IF(E407="","",IF(COUNTIFS('MASTER BAHAN'!$A$5:$A$504,E407)=0,"BELUM ADA",INDEX('MASTER BAHAN'!$B$5:$B$504,MATCH(E407,'MASTER BAHAN'!$A$5:$A$504,0))))</f>
        <v/>
      </c>
      <c r="H407" s="0" t="str">
        <f aca="false">IF(E407="","",IF(COUNTIFS('MASTER BAHAN'!$A$5:$A$504,E407)=0,"BELUM ADA",INDEX('MASTER BAHAN'!$D$5:$D$504,MATCH(E407,'MASTER BAHAN'!$A$5:$A$504,0))))</f>
        <v/>
      </c>
      <c r="J407" s="0" t="str">
        <f aca="false">IF(A407="","",IF(OR(NOT(ISNUMBER(G407)),NOT(ISNUMBER(I407))),"BELUM LENGKAP",ROUND(G407*I407,0)))</f>
        <v/>
      </c>
      <c r="M407" s="24" t="str">
        <f aca="false">IF(A407="","",COUNTIF($A$5:A407,A407))</f>
        <v/>
      </c>
      <c r="N407" s="24" t="str">
        <f aca="false">IF(A407="","",A407&amp;"|"&amp;M407)</f>
        <v/>
      </c>
    </row>
    <row r="408" customFormat="false" ht="15" hidden="false" customHeight="false" outlineLevel="0" collapsed="false">
      <c r="F408" s="0" t="str">
        <f aca="false">IF(E408="","",IF(COUNTIFS('MASTER BAHAN'!$A$5:$A$504,E408)=0,"BELUM ADA",INDEX('MASTER BAHAN'!$B$5:$B$504,MATCH(E408,'MASTER BAHAN'!$A$5:$A$504,0))))</f>
        <v/>
      </c>
      <c r="H408" s="0" t="str">
        <f aca="false">IF(E408="","",IF(COUNTIFS('MASTER BAHAN'!$A$5:$A$504,E408)=0,"BELUM ADA",INDEX('MASTER BAHAN'!$D$5:$D$504,MATCH(E408,'MASTER BAHAN'!$A$5:$A$504,0))))</f>
        <v/>
      </c>
      <c r="J408" s="0" t="str">
        <f aca="false">IF(A408="","",IF(OR(NOT(ISNUMBER(G408)),NOT(ISNUMBER(I408))),"BELUM LENGKAP",ROUND(G408*I408,0)))</f>
        <v/>
      </c>
      <c r="M408" s="24" t="str">
        <f aca="false">IF(A408="","",COUNTIF($A$5:A408,A408))</f>
        <v/>
      </c>
      <c r="N408" s="24" t="str">
        <f aca="false">IF(A408="","",A408&amp;"|"&amp;M408)</f>
        <v/>
      </c>
    </row>
    <row r="409" customFormat="false" ht="15" hidden="false" customHeight="false" outlineLevel="0" collapsed="false">
      <c r="F409" s="0" t="str">
        <f aca="false">IF(E409="","",IF(COUNTIFS('MASTER BAHAN'!$A$5:$A$504,E409)=0,"BELUM ADA",INDEX('MASTER BAHAN'!$B$5:$B$504,MATCH(E409,'MASTER BAHAN'!$A$5:$A$504,0))))</f>
        <v/>
      </c>
      <c r="H409" s="0" t="str">
        <f aca="false">IF(E409="","",IF(COUNTIFS('MASTER BAHAN'!$A$5:$A$504,E409)=0,"BELUM ADA",INDEX('MASTER BAHAN'!$D$5:$D$504,MATCH(E409,'MASTER BAHAN'!$A$5:$A$504,0))))</f>
        <v/>
      </c>
      <c r="J409" s="0" t="str">
        <f aca="false">IF(A409="","",IF(OR(NOT(ISNUMBER(G409)),NOT(ISNUMBER(I409))),"BELUM LENGKAP",ROUND(G409*I409,0)))</f>
        <v/>
      </c>
      <c r="M409" s="24" t="str">
        <f aca="false">IF(A409="","",COUNTIF($A$5:A409,A409))</f>
        <v/>
      </c>
      <c r="N409" s="24" t="str">
        <f aca="false">IF(A409="","",A409&amp;"|"&amp;M409)</f>
        <v/>
      </c>
    </row>
    <row r="410" customFormat="false" ht="15" hidden="false" customHeight="false" outlineLevel="0" collapsed="false">
      <c r="F410" s="0" t="str">
        <f aca="false">IF(E410="","",IF(COUNTIFS('MASTER BAHAN'!$A$5:$A$504,E410)=0,"BELUM ADA",INDEX('MASTER BAHAN'!$B$5:$B$504,MATCH(E410,'MASTER BAHAN'!$A$5:$A$504,0))))</f>
        <v/>
      </c>
      <c r="H410" s="0" t="str">
        <f aca="false">IF(E410="","",IF(COUNTIFS('MASTER BAHAN'!$A$5:$A$504,E410)=0,"BELUM ADA",INDEX('MASTER BAHAN'!$D$5:$D$504,MATCH(E410,'MASTER BAHAN'!$A$5:$A$504,0))))</f>
        <v/>
      </c>
      <c r="J410" s="0" t="str">
        <f aca="false">IF(A410="","",IF(OR(NOT(ISNUMBER(G410)),NOT(ISNUMBER(I410))),"BELUM LENGKAP",ROUND(G410*I410,0)))</f>
        <v/>
      </c>
      <c r="M410" s="24" t="str">
        <f aca="false">IF(A410="","",COUNTIF($A$5:A410,A410))</f>
        <v/>
      </c>
      <c r="N410" s="24" t="str">
        <f aca="false">IF(A410="","",A410&amp;"|"&amp;M410)</f>
        <v/>
      </c>
    </row>
    <row r="411" customFormat="false" ht="15" hidden="false" customHeight="false" outlineLevel="0" collapsed="false">
      <c r="F411" s="0" t="str">
        <f aca="false">IF(E411="","",IF(COUNTIFS('MASTER BAHAN'!$A$5:$A$504,E411)=0,"BELUM ADA",INDEX('MASTER BAHAN'!$B$5:$B$504,MATCH(E411,'MASTER BAHAN'!$A$5:$A$504,0))))</f>
        <v/>
      </c>
      <c r="H411" s="0" t="str">
        <f aca="false">IF(E411="","",IF(COUNTIFS('MASTER BAHAN'!$A$5:$A$504,E411)=0,"BELUM ADA",INDEX('MASTER BAHAN'!$D$5:$D$504,MATCH(E411,'MASTER BAHAN'!$A$5:$A$504,0))))</f>
        <v/>
      </c>
      <c r="J411" s="0" t="str">
        <f aca="false">IF(A411="","",IF(OR(NOT(ISNUMBER(G411)),NOT(ISNUMBER(I411))),"BELUM LENGKAP",ROUND(G411*I411,0)))</f>
        <v/>
      </c>
      <c r="M411" s="24" t="str">
        <f aca="false">IF(A411="","",COUNTIF($A$5:A411,A411))</f>
        <v/>
      </c>
      <c r="N411" s="24" t="str">
        <f aca="false">IF(A411="","",A411&amp;"|"&amp;M411)</f>
        <v/>
      </c>
    </row>
    <row r="412" customFormat="false" ht="15" hidden="false" customHeight="false" outlineLevel="0" collapsed="false">
      <c r="F412" s="0" t="str">
        <f aca="false">IF(E412="","",IF(COUNTIFS('MASTER BAHAN'!$A$5:$A$504,E412)=0,"BELUM ADA",INDEX('MASTER BAHAN'!$B$5:$B$504,MATCH(E412,'MASTER BAHAN'!$A$5:$A$504,0))))</f>
        <v/>
      </c>
      <c r="H412" s="0" t="str">
        <f aca="false">IF(E412="","",IF(COUNTIFS('MASTER BAHAN'!$A$5:$A$504,E412)=0,"BELUM ADA",INDEX('MASTER BAHAN'!$D$5:$D$504,MATCH(E412,'MASTER BAHAN'!$A$5:$A$504,0))))</f>
        <v/>
      </c>
      <c r="J412" s="0" t="str">
        <f aca="false">IF(A412="","",IF(OR(NOT(ISNUMBER(G412)),NOT(ISNUMBER(I412))),"BELUM LENGKAP",ROUND(G412*I412,0)))</f>
        <v/>
      </c>
      <c r="M412" s="24" t="str">
        <f aca="false">IF(A412="","",COUNTIF($A$5:A412,A412))</f>
        <v/>
      </c>
      <c r="N412" s="24" t="str">
        <f aca="false">IF(A412="","",A412&amp;"|"&amp;M412)</f>
        <v/>
      </c>
    </row>
    <row r="413" customFormat="false" ht="15" hidden="false" customHeight="false" outlineLevel="0" collapsed="false">
      <c r="F413" s="0" t="str">
        <f aca="false">IF(E413="","",IF(COUNTIFS('MASTER BAHAN'!$A$5:$A$504,E413)=0,"BELUM ADA",INDEX('MASTER BAHAN'!$B$5:$B$504,MATCH(E413,'MASTER BAHAN'!$A$5:$A$504,0))))</f>
        <v/>
      </c>
      <c r="H413" s="0" t="str">
        <f aca="false">IF(E413="","",IF(COUNTIFS('MASTER BAHAN'!$A$5:$A$504,E413)=0,"BELUM ADA",INDEX('MASTER BAHAN'!$D$5:$D$504,MATCH(E413,'MASTER BAHAN'!$A$5:$A$504,0))))</f>
        <v/>
      </c>
      <c r="J413" s="0" t="str">
        <f aca="false">IF(A413="","",IF(OR(NOT(ISNUMBER(G413)),NOT(ISNUMBER(I413))),"BELUM LENGKAP",ROUND(G413*I413,0)))</f>
        <v/>
      </c>
      <c r="M413" s="24" t="str">
        <f aca="false">IF(A413="","",COUNTIF($A$5:A413,A413))</f>
        <v/>
      </c>
      <c r="N413" s="24" t="str">
        <f aca="false">IF(A413="","",A413&amp;"|"&amp;M413)</f>
        <v/>
      </c>
    </row>
    <row r="414" customFormat="false" ht="15" hidden="false" customHeight="false" outlineLevel="0" collapsed="false">
      <c r="F414" s="0" t="str">
        <f aca="false">IF(E414="","",IF(COUNTIFS('MASTER BAHAN'!$A$5:$A$504,E414)=0,"BELUM ADA",INDEX('MASTER BAHAN'!$B$5:$B$504,MATCH(E414,'MASTER BAHAN'!$A$5:$A$504,0))))</f>
        <v/>
      </c>
      <c r="H414" s="0" t="str">
        <f aca="false">IF(E414="","",IF(COUNTIFS('MASTER BAHAN'!$A$5:$A$504,E414)=0,"BELUM ADA",INDEX('MASTER BAHAN'!$D$5:$D$504,MATCH(E414,'MASTER BAHAN'!$A$5:$A$504,0))))</f>
        <v/>
      </c>
      <c r="J414" s="0" t="str">
        <f aca="false">IF(A414="","",IF(OR(NOT(ISNUMBER(G414)),NOT(ISNUMBER(I414))),"BELUM LENGKAP",ROUND(G414*I414,0)))</f>
        <v/>
      </c>
      <c r="M414" s="24" t="str">
        <f aca="false">IF(A414="","",COUNTIF($A$5:A414,A414))</f>
        <v/>
      </c>
      <c r="N414" s="24" t="str">
        <f aca="false">IF(A414="","",A414&amp;"|"&amp;M414)</f>
        <v/>
      </c>
    </row>
    <row r="415" customFormat="false" ht="15" hidden="false" customHeight="false" outlineLevel="0" collapsed="false">
      <c r="F415" s="0" t="str">
        <f aca="false">IF(E415="","",IF(COUNTIFS('MASTER BAHAN'!$A$5:$A$504,E415)=0,"BELUM ADA",INDEX('MASTER BAHAN'!$B$5:$B$504,MATCH(E415,'MASTER BAHAN'!$A$5:$A$504,0))))</f>
        <v/>
      </c>
      <c r="H415" s="0" t="str">
        <f aca="false">IF(E415="","",IF(COUNTIFS('MASTER BAHAN'!$A$5:$A$504,E415)=0,"BELUM ADA",INDEX('MASTER BAHAN'!$D$5:$D$504,MATCH(E415,'MASTER BAHAN'!$A$5:$A$504,0))))</f>
        <v/>
      </c>
      <c r="J415" s="0" t="str">
        <f aca="false">IF(A415="","",IF(OR(NOT(ISNUMBER(G415)),NOT(ISNUMBER(I415))),"BELUM LENGKAP",ROUND(G415*I415,0)))</f>
        <v/>
      </c>
      <c r="M415" s="24" t="str">
        <f aca="false">IF(A415="","",COUNTIF($A$5:A415,A415))</f>
        <v/>
      </c>
      <c r="N415" s="24" t="str">
        <f aca="false">IF(A415="","",A415&amp;"|"&amp;M415)</f>
        <v/>
      </c>
    </row>
    <row r="416" customFormat="false" ht="15" hidden="false" customHeight="false" outlineLevel="0" collapsed="false">
      <c r="F416" s="0" t="str">
        <f aca="false">IF(E416="","",IF(COUNTIFS('MASTER BAHAN'!$A$5:$A$504,E416)=0,"BELUM ADA",INDEX('MASTER BAHAN'!$B$5:$B$504,MATCH(E416,'MASTER BAHAN'!$A$5:$A$504,0))))</f>
        <v/>
      </c>
      <c r="H416" s="0" t="str">
        <f aca="false">IF(E416="","",IF(COUNTIFS('MASTER BAHAN'!$A$5:$A$504,E416)=0,"BELUM ADA",INDEX('MASTER BAHAN'!$D$5:$D$504,MATCH(E416,'MASTER BAHAN'!$A$5:$A$504,0))))</f>
        <v/>
      </c>
      <c r="J416" s="0" t="str">
        <f aca="false">IF(A416="","",IF(OR(NOT(ISNUMBER(G416)),NOT(ISNUMBER(I416))),"BELUM LENGKAP",ROUND(G416*I416,0)))</f>
        <v/>
      </c>
      <c r="M416" s="24" t="str">
        <f aca="false">IF(A416="","",COUNTIF($A$5:A416,A416))</f>
        <v/>
      </c>
      <c r="N416" s="24" t="str">
        <f aca="false">IF(A416="","",A416&amp;"|"&amp;M416)</f>
        <v/>
      </c>
    </row>
    <row r="417" customFormat="false" ht="15" hidden="false" customHeight="false" outlineLevel="0" collapsed="false">
      <c r="F417" s="0" t="str">
        <f aca="false">IF(E417="","",IF(COUNTIFS('MASTER BAHAN'!$A$5:$A$504,E417)=0,"BELUM ADA",INDEX('MASTER BAHAN'!$B$5:$B$504,MATCH(E417,'MASTER BAHAN'!$A$5:$A$504,0))))</f>
        <v/>
      </c>
      <c r="H417" s="0" t="str">
        <f aca="false">IF(E417="","",IF(COUNTIFS('MASTER BAHAN'!$A$5:$A$504,E417)=0,"BELUM ADA",INDEX('MASTER BAHAN'!$D$5:$D$504,MATCH(E417,'MASTER BAHAN'!$A$5:$A$504,0))))</f>
        <v/>
      </c>
      <c r="J417" s="0" t="str">
        <f aca="false">IF(A417="","",IF(OR(NOT(ISNUMBER(G417)),NOT(ISNUMBER(I417))),"BELUM LENGKAP",ROUND(G417*I417,0)))</f>
        <v/>
      </c>
      <c r="M417" s="24" t="str">
        <f aca="false">IF(A417="","",COUNTIF($A$5:A417,A417))</f>
        <v/>
      </c>
      <c r="N417" s="24" t="str">
        <f aca="false">IF(A417="","",A417&amp;"|"&amp;M417)</f>
        <v/>
      </c>
    </row>
    <row r="418" customFormat="false" ht="15" hidden="false" customHeight="false" outlineLevel="0" collapsed="false">
      <c r="F418" s="0" t="str">
        <f aca="false">IF(E418="","",IF(COUNTIFS('MASTER BAHAN'!$A$5:$A$504,E418)=0,"BELUM ADA",INDEX('MASTER BAHAN'!$B$5:$B$504,MATCH(E418,'MASTER BAHAN'!$A$5:$A$504,0))))</f>
        <v/>
      </c>
      <c r="H418" s="0" t="str">
        <f aca="false">IF(E418="","",IF(COUNTIFS('MASTER BAHAN'!$A$5:$A$504,E418)=0,"BELUM ADA",INDEX('MASTER BAHAN'!$D$5:$D$504,MATCH(E418,'MASTER BAHAN'!$A$5:$A$504,0))))</f>
        <v/>
      </c>
      <c r="J418" s="0" t="str">
        <f aca="false">IF(A418="","",IF(OR(NOT(ISNUMBER(G418)),NOT(ISNUMBER(I418))),"BELUM LENGKAP",ROUND(G418*I418,0)))</f>
        <v/>
      </c>
      <c r="M418" s="24" t="str">
        <f aca="false">IF(A418="","",COUNTIF($A$5:A418,A418))</f>
        <v/>
      </c>
      <c r="N418" s="24" t="str">
        <f aca="false">IF(A418="","",A418&amp;"|"&amp;M418)</f>
        <v/>
      </c>
    </row>
    <row r="419" customFormat="false" ht="15" hidden="false" customHeight="false" outlineLevel="0" collapsed="false">
      <c r="F419" s="0" t="str">
        <f aca="false">IF(E419="","",IF(COUNTIFS('MASTER BAHAN'!$A$5:$A$504,E419)=0,"BELUM ADA",INDEX('MASTER BAHAN'!$B$5:$B$504,MATCH(E419,'MASTER BAHAN'!$A$5:$A$504,0))))</f>
        <v/>
      </c>
      <c r="H419" s="0" t="str">
        <f aca="false">IF(E419="","",IF(COUNTIFS('MASTER BAHAN'!$A$5:$A$504,E419)=0,"BELUM ADA",INDEX('MASTER BAHAN'!$D$5:$D$504,MATCH(E419,'MASTER BAHAN'!$A$5:$A$504,0))))</f>
        <v/>
      </c>
      <c r="J419" s="0" t="str">
        <f aca="false">IF(A419="","",IF(OR(NOT(ISNUMBER(G419)),NOT(ISNUMBER(I419))),"BELUM LENGKAP",ROUND(G419*I419,0)))</f>
        <v/>
      </c>
      <c r="M419" s="24" t="str">
        <f aca="false">IF(A419="","",COUNTIF($A$5:A419,A419))</f>
        <v/>
      </c>
      <c r="N419" s="24" t="str">
        <f aca="false">IF(A419="","",A419&amp;"|"&amp;M419)</f>
        <v/>
      </c>
    </row>
    <row r="420" customFormat="false" ht="15" hidden="false" customHeight="false" outlineLevel="0" collapsed="false">
      <c r="F420" s="0" t="str">
        <f aca="false">IF(E420="","",IF(COUNTIFS('MASTER BAHAN'!$A$5:$A$504,E420)=0,"BELUM ADA",INDEX('MASTER BAHAN'!$B$5:$B$504,MATCH(E420,'MASTER BAHAN'!$A$5:$A$504,0))))</f>
        <v/>
      </c>
      <c r="H420" s="0" t="str">
        <f aca="false">IF(E420="","",IF(COUNTIFS('MASTER BAHAN'!$A$5:$A$504,E420)=0,"BELUM ADA",INDEX('MASTER BAHAN'!$D$5:$D$504,MATCH(E420,'MASTER BAHAN'!$A$5:$A$504,0))))</f>
        <v/>
      </c>
      <c r="J420" s="0" t="str">
        <f aca="false">IF(A420="","",IF(OR(NOT(ISNUMBER(G420)),NOT(ISNUMBER(I420))),"BELUM LENGKAP",ROUND(G420*I420,0)))</f>
        <v/>
      </c>
      <c r="M420" s="24" t="str">
        <f aca="false">IF(A420="","",COUNTIF($A$5:A420,A420))</f>
        <v/>
      </c>
      <c r="N420" s="24" t="str">
        <f aca="false">IF(A420="","",A420&amp;"|"&amp;M420)</f>
        <v/>
      </c>
    </row>
    <row r="421" customFormat="false" ht="15" hidden="false" customHeight="false" outlineLevel="0" collapsed="false">
      <c r="F421" s="0" t="str">
        <f aca="false">IF(E421="","",IF(COUNTIFS('MASTER BAHAN'!$A$5:$A$504,E421)=0,"BELUM ADA",INDEX('MASTER BAHAN'!$B$5:$B$504,MATCH(E421,'MASTER BAHAN'!$A$5:$A$504,0))))</f>
        <v/>
      </c>
      <c r="H421" s="0" t="str">
        <f aca="false">IF(E421="","",IF(COUNTIFS('MASTER BAHAN'!$A$5:$A$504,E421)=0,"BELUM ADA",INDEX('MASTER BAHAN'!$D$5:$D$504,MATCH(E421,'MASTER BAHAN'!$A$5:$A$504,0))))</f>
        <v/>
      </c>
      <c r="J421" s="0" t="str">
        <f aca="false">IF(A421="","",IF(OR(NOT(ISNUMBER(G421)),NOT(ISNUMBER(I421))),"BELUM LENGKAP",ROUND(G421*I421,0)))</f>
        <v/>
      </c>
      <c r="M421" s="24" t="str">
        <f aca="false">IF(A421="","",COUNTIF($A$5:A421,A421))</f>
        <v/>
      </c>
      <c r="N421" s="24" t="str">
        <f aca="false">IF(A421="","",A421&amp;"|"&amp;M421)</f>
        <v/>
      </c>
    </row>
    <row r="422" customFormat="false" ht="15" hidden="false" customHeight="false" outlineLevel="0" collapsed="false">
      <c r="F422" s="0" t="str">
        <f aca="false">IF(E422="","",IF(COUNTIFS('MASTER BAHAN'!$A$5:$A$504,E422)=0,"BELUM ADA",INDEX('MASTER BAHAN'!$B$5:$B$504,MATCH(E422,'MASTER BAHAN'!$A$5:$A$504,0))))</f>
        <v/>
      </c>
      <c r="H422" s="0" t="str">
        <f aca="false">IF(E422="","",IF(COUNTIFS('MASTER BAHAN'!$A$5:$A$504,E422)=0,"BELUM ADA",INDEX('MASTER BAHAN'!$D$5:$D$504,MATCH(E422,'MASTER BAHAN'!$A$5:$A$504,0))))</f>
        <v/>
      </c>
      <c r="J422" s="0" t="str">
        <f aca="false">IF(A422="","",IF(OR(NOT(ISNUMBER(G422)),NOT(ISNUMBER(I422))),"BELUM LENGKAP",ROUND(G422*I422,0)))</f>
        <v/>
      </c>
      <c r="M422" s="24" t="str">
        <f aca="false">IF(A422="","",COUNTIF($A$5:A422,A422))</f>
        <v/>
      </c>
      <c r="N422" s="24" t="str">
        <f aca="false">IF(A422="","",A422&amp;"|"&amp;M422)</f>
        <v/>
      </c>
    </row>
    <row r="423" customFormat="false" ht="15" hidden="false" customHeight="false" outlineLevel="0" collapsed="false">
      <c r="F423" s="0" t="str">
        <f aca="false">IF(E423="","",IF(COUNTIFS('MASTER BAHAN'!$A$5:$A$504,E423)=0,"BELUM ADA",INDEX('MASTER BAHAN'!$B$5:$B$504,MATCH(E423,'MASTER BAHAN'!$A$5:$A$504,0))))</f>
        <v/>
      </c>
      <c r="H423" s="0" t="str">
        <f aca="false">IF(E423="","",IF(COUNTIFS('MASTER BAHAN'!$A$5:$A$504,E423)=0,"BELUM ADA",INDEX('MASTER BAHAN'!$D$5:$D$504,MATCH(E423,'MASTER BAHAN'!$A$5:$A$504,0))))</f>
        <v/>
      </c>
      <c r="J423" s="0" t="str">
        <f aca="false">IF(A423="","",IF(OR(NOT(ISNUMBER(G423)),NOT(ISNUMBER(I423))),"BELUM LENGKAP",ROUND(G423*I423,0)))</f>
        <v/>
      </c>
      <c r="M423" s="24" t="str">
        <f aca="false">IF(A423="","",COUNTIF($A$5:A423,A423))</f>
        <v/>
      </c>
      <c r="N423" s="24" t="str">
        <f aca="false">IF(A423="","",A423&amp;"|"&amp;M423)</f>
        <v/>
      </c>
    </row>
    <row r="424" customFormat="false" ht="15" hidden="false" customHeight="false" outlineLevel="0" collapsed="false">
      <c r="F424" s="0" t="str">
        <f aca="false">IF(E424="","",IF(COUNTIFS('MASTER BAHAN'!$A$5:$A$504,E424)=0,"BELUM ADA",INDEX('MASTER BAHAN'!$B$5:$B$504,MATCH(E424,'MASTER BAHAN'!$A$5:$A$504,0))))</f>
        <v/>
      </c>
      <c r="H424" s="0" t="str">
        <f aca="false">IF(E424="","",IF(COUNTIFS('MASTER BAHAN'!$A$5:$A$504,E424)=0,"BELUM ADA",INDEX('MASTER BAHAN'!$D$5:$D$504,MATCH(E424,'MASTER BAHAN'!$A$5:$A$504,0))))</f>
        <v/>
      </c>
      <c r="J424" s="0" t="str">
        <f aca="false">IF(A424="","",IF(OR(NOT(ISNUMBER(G424)),NOT(ISNUMBER(I424))),"BELUM LENGKAP",ROUND(G424*I424,0)))</f>
        <v/>
      </c>
      <c r="M424" s="24" t="str">
        <f aca="false">IF(A424="","",COUNTIF($A$5:A424,A424))</f>
        <v/>
      </c>
      <c r="N424" s="24" t="str">
        <f aca="false">IF(A424="","",A424&amp;"|"&amp;M424)</f>
        <v/>
      </c>
    </row>
    <row r="425" customFormat="false" ht="15" hidden="false" customHeight="false" outlineLevel="0" collapsed="false">
      <c r="F425" s="0" t="str">
        <f aca="false">IF(E425="","",IF(COUNTIFS('MASTER BAHAN'!$A$5:$A$504,E425)=0,"BELUM ADA",INDEX('MASTER BAHAN'!$B$5:$B$504,MATCH(E425,'MASTER BAHAN'!$A$5:$A$504,0))))</f>
        <v/>
      </c>
      <c r="H425" s="0" t="str">
        <f aca="false">IF(E425="","",IF(COUNTIFS('MASTER BAHAN'!$A$5:$A$504,E425)=0,"BELUM ADA",INDEX('MASTER BAHAN'!$D$5:$D$504,MATCH(E425,'MASTER BAHAN'!$A$5:$A$504,0))))</f>
        <v/>
      </c>
      <c r="J425" s="0" t="str">
        <f aca="false">IF(A425="","",IF(OR(NOT(ISNUMBER(G425)),NOT(ISNUMBER(I425))),"BELUM LENGKAP",ROUND(G425*I425,0)))</f>
        <v/>
      </c>
      <c r="M425" s="24" t="str">
        <f aca="false">IF(A425="","",COUNTIF($A$5:A425,A425))</f>
        <v/>
      </c>
      <c r="N425" s="24" t="str">
        <f aca="false">IF(A425="","",A425&amp;"|"&amp;M425)</f>
        <v/>
      </c>
    </row>
    <row r="426" customFormat="false" ht="15" hidden="false" customHeight="false" outlineLevel="0" collapsed="false">
      <c r="F426" s="0" t="str">
        <f aca="false">IF(E426="","",IF(COUNTIFS('MASTER BAHAN'!$A$5:$A$504,E426)=0,"BELUM ADA",INDEX('MASTER BAHAN'!$B$5:$B$504,MATCH(E426,'MASTER BAHAN'!$A$5:$A$504,0))))</f>
        <v/>
      </c>
      <c r="H426" s="0" t="str">
        <f aca="false">IF(E426="","",IF(COUNTIFS('MASTER BAHAN'!$A$5:$A$504,E426)=0,"BELUM ADA",INDEX('MASTER BAHAN'!$D$5:$D$504,MATCH(E426,'MASTER BAHAN'!$A$5:$A$504,0))))</f>
        <v/>
      </c>
      <c r="J426" s="0" t="str">
        <f aca="false">IF(A426="","",IF(OR(NOT(ISNUMBER(G426)),NOT(ISNUMBER(I426))),"BELUM LENGKAP",ROUND(G426*I426,0)))</f>
        <v/>
      </c>
      <c r="M426" s="24" t="str">
        <f aca="false">IF(A426="","",COUNTIF($A$5:A426,A426))</f>
        <v/>
      </c>
      <c r="N426" s="24" t="str">
        <f aca="false">IF(A426="","",A426&amp;"|"&amp;M426)</f>
        <v/>
      </c>
    </row>
    <row r="427" customFormat="false" ht="15" hidden="false" customHeight="false" outlineLevel="0" collapsed="false">
      <c r="F427" s="0" t="str">
        <f aca="false">IF(E427="","",IF(COUNTIFS('MASTER BAHAN'!$A$5:$A$504,E427)=0,"BELUM ADA",INDEX('MASTER BAHAN'!$B$5:$B$504,MATCH(E427,'MASTER BAHAN'!$A$5:$A$504,0))))</f>
        <v/>
      </c>
      <c r="H427" s="0" t="str">
        <f aca="false">IF(E427="","",IF(COUNTIFS('MASTER BAHAN'!$A$5:$A$504,E427)=0,"BELUM ADA",INDEX('MASTER BAHAN'!$D$5:$D$504,MATCH(E427,'MASTER BAHAN'!$A$5:$A$504,0))))</f>
        <v/>
      </c>
      <c r="J427" s="0" t="str">
        <f aca="false">IF(A427="","",IF(OR(NOT(ISNUMBER(G427)),NOT(ISNUMBER(I427))),"BELUM LENGKAP",ROUND(G427*I427,0)))</f>
        <v/>
      </c>
      <c r="M427" s="24" t="str">
        <f aca="false">IF(A427="","",COUNTIF($A$5:A427,A427))</f>
        <v/>
      </c>
      <c r="N427" s="24" t="str">
        <f aca="false">IF(A427="","",A427&amp;"|"&amp;M427)</f>
        <v/>
      </c>
    </row>
    <row r="428" customFormat="false" ht="15" hidden="false" customHeight="false" outlineLevel="0" collapsed="false">
      <c r="F428" s="0" t="str">
        <f aca="false">IF(E428="","",IF(COUNTIFS('MASTER BAHAN'!$A$5:$A$504,E428)=0,"BELUM ADA",INDEX('MASTER BAHAN'!$B$5:$B$504,MATCH(E428,'MASTER BAHAN'!$A$5:$A$504,0))))</f>
        <v/>
      </c>
      <c r="H428" s="0" t="str">
        <f aca="false">IF(E428="","",IF(COUNTIFS('MASTER BAHAN'!$A$5:$A$504,E428)=0,"BELUM ADA",INDEX('MASTER BAHAN'!$D$5:$D$504,MATCH(E428,'MASTER BAHAN'!$A$5:$A$504,0))))</f>
        <v/>
      </c>
      <c r="J428" s="0" t="str">
        <f aca="false">IF(A428="","",IF(OR(NOT(ISNUMBER(G428)),NOT(ISNUMBER(I428))),"BELUM LENGKAP",ROUND(G428*I428,0)))</f>
        <v/>
      </c>
      <c r="M428" s="24" t="str">
        <f aca="false">IF(A428="","",COUNTIF($A$5:A428,A428))</f>
        <v/>
      </c>
      <c r="N428" s="24" t="str">
        <f aca="false">IF(A428="","",A428&amp;"|"&amp;M428)</f>
        <v/>
      </c>
    </row>
    <row r="429" customFormat="false" ht="15" hidden="false" customHeight="false" outlineLevel="0" collapsed="false">
      <c r="F429" s="0" t="str">
        <f aca="false">IF(E429="","",IF(COUNTIFS('MASTER BAHAN'!$A$5:$A$504,E429)=0,"BELUM ADA",INDEX('MASTER BAHAN'!$B$5:$B$504,MATCH(E429,'MASTER BAHAN'!$A$5:$A$504,0))))</f>
        <v/>
      </c>
      <c r="H429" s="0" t="str">
        <f aca="false">IF(E429="","",IF(COUNTIFS('MASTER BAHAN'!$A$5:$A$504,E429)=0,"BELUM ADA",INDEX('MASTER BAHAN'!$D$5:$D$504,MATCH(E429,'MASTER BAHAN'!$A$5:$A$504,0))))</f>
        <v/>
      </c>
      <c r="J429" s="0" t="str">
        <f aca="false">IF(A429="","",IF(OR(NOT(ISNUMBER(G429)),NOT(ISNUMBER(I429))),"BELUM LENGKAP",ROUND(G429*I429,0)))</f>
        <v/>
      </c>
      <c r="M429" s="24" t="str">
        <f aca="false">IF(A429="","",COUNTIF($A$5:A429,A429))</f>
        <v/>
      </c>
      <c r="N429" s="24" t="str">
        <f aca="false">IF(A429="","",A429&amp;"|"&amp;M429)</f>
        <v/>
      </c>
    </row>
    <row r="430" customFormat="false" ht="15" hidden="false" customHeight="false" outlineLevel="0" collapsed="false">
      <c r="F430" s="0" t="str">
        <f aca="false">IF(E430="","",IF(COUNTIFS('MASTER BAHAN'!$A$5:$A$504,E430)=0,"BELUM ADA",INDEX('MASTER BAHAN'!$B$5:$B$504,MATCH(E430,'MASTER BAHAN'!$A$5:$A$504,0))))</f>
        <v/>
      </c>
      <c r="H430" s="0" t="str">
        <f aca="false">IF(E430="","",IF(COUNTIFS('MASTER BAHAN'!$A$5:$A$504,E430)=0,"BELUM ADA",INDEX('MASTER BAHAN'!$D$5:$D$504,MATCH(E430,'MASTER BAHAN'!$A$5:$A$504,0))))</f>
        <v/>
      </c>
      <c r="J430" s="0" t="str">
        <f aca="false">IF(A430="","",IF(OR(NOT(ISNUMBER(G430)),NOT(ISNUMBER(I430))),"BELUM LENGKAP",ROUND(G430*I430,0)))</f>
        <v/>
      </c>
      <c r="M430" s="24" t="str">
        <f aca="false">IF(A430="","",COUNTIF($A$5:A430,A430))</f>
        <v/>
      </c>
      <c r="N430" s="24" t="str">
        <f aca="false">IF(A430="","",A430&amp;"|"&amp;M430)</f>
        <v/>
      </c>
    </row>
    <row r="431" customFormat="false" ht="15" hidden="false" customHeight="false" outlineLevel="0" collapsed="false">
      <c r="F431" s="0" t="str">
        <f aca="false">IF(E431="","",IF(COUNTIFS('MASTER BAHAN'!$A$5:$A$504,E431)=0,"BELUM ADA",INDEX('MASTER BAHAN'!$B$5:$B$504,MATCH(E431,'MASTER BAHAN'!$A$5:$A$504,0))))</f>
        <v/>
      </c>
      <c r="H431" s="0" t="str">
        <f aca="false">IF(E431="","",IF(COUNTIFS('MASTER BAHAN'!$A$5:$A$504,E431)=0,"BELUM ADA",INDEX('MASTER BAHAN'!$D$5:$D$504,MATCH(E431,'MASTER BAHAN'!$A$5:$A$504,0))))</f>
        <v/>
      </c>
      <c r="J431" s="0" t="str">
        <f aca="false">IF(A431="","",IF(OR(NOT(ISNUMBER(G431)),NOT(ISNUMBER(I431))),"BELUM LENGKAP",ROUND(G431*I431,0)))</f>
        <v/>
      </c>
      <c r="M431" s="24" t="str">
        <f aca="false">IF(A431="","",COUNTIF($A$5:A431,A431))</f>
        <v/>
      </c>
      <c r="N431" s="24" t="str">
        <f aca="false">IF(A431="","",A431&amp;"|"&amp;M431)</f>
        <v/>
      </c>
    </row>
    <row r="432" customFormat="false" ht="15" hidden="false" customHeight="false" outlineLevel="0" collapsed="false">
      <c r="F432" s="0" t="str">
        <f aca="false">IF(E432="","",IF(COUNTIFS('MASTER BAHAN'!$A$5:$A$504,E432)=0,"BELUM ADA",INDEX('MASTER BAHAN'!$B$5:$B$504,MATCH(E432,'MASTER BAHAN'!$A$5:$A$504,0))))</f>
        <v/>
      </c>
      <c r="H432" s="0" t="str">
        <f aca="false">IF(E432="","",IF(COUNTIFS('MASTER BAHAN'!$A$5:$A$504,E432)=0,"BELUM ADA",INDEX('MASTER BAHAN'!$D$5:$D$504,MATCH(E432,'MASTER BAHAN'!$A$5:$A$504,0))))</f>
        <v/>
      </c>
      <c r="J432" s="0" t="str">
        <f aca="false">IF(A432="","",IF(OR(NOT(ISNUMBER(G432)),NOT(ISNUMBER(I432))),"BELUM LENGKAP",ROUND(G432*I432,0)))</f>
        <v/>
      </c>
      <c r="M432" s="24" t="str">
        <f aca="false">IF(A432="","",COUNTIF($A$5:A432,A432))</f>
        <v/>
      </c>
      <c r="N432" s="24" t="str">
        <f aca="false">IF(A432="","",A432&amp;"|"&amp;M432)</f>
        <v/>
      </c>
    </row>
    <row r="433" customFormat="false" ht="15" hidden="false" customHeight="false" outlineLevel="0" collapsed="false">
      <c r="F433" s="0" t="str">
        <f aca="false">IF(E433="","",IF(COUNTIFS('MASTER BAHAN'!$A$5:$A$504,E433)=0,"BELUM ADA",INDEX('MASTER BAHAN'!$B$5:$B$504,MATCH(E433,'MASTER BAHAN'!$A$5:$A$504,0))))</f>
        <v/>
      </c>
      <c r="H433" s="0" t="str">
        <f aca="false">IF(E433="","",IF(COUNTIFS('MASTER BAHAN'!$A$5:$A$504,E433)=0,"BELUM ADA",INDEX('MASTER BAHAN'!$D$5:$D$504,MATCH(E433,'MASTER BAHAN'!$A$5:$A$504,0))))</f>
        <v/>
      </c>
      <c r="J433" s="0" t="str">
        <f aca="false">IF(A433="","",IF(OR(NOT(ISNUMBER(G433)),NOT(ISNUMBER(I433))),"BELUM LENGKAP",ROUND(G433*I433,0)))</f>
        <v/>
      </c>
      <c r="M433" s="24" t="str">
        <f aca="false">IF(A433="","",COUNTIF($A$5:A433,A433))</f>
        <v/>
      </c>
      <c r="N433" s="24" t="str">
        <f aca="false">IF(A433="","",A433&amp;"|"&amp;M433)</f>
        <v/>
      </c>
    </row>
    <row r="434" customFormat="false" ht="15" hidden="false" customHeight="false" outlineLevel="0" collapsed="false">
      <c r="F434" s="0" t="str">
        <f aca="false">IF(E434="","",IF(COUNTIFS('MASTER BAHAN'!$A$5:$A$504,E434)=0,"BELUM ADA",INDEX('MASTER BAHAN'!$B$5:$B$504,MATCH(E434,'MASTER BAHAN'!$A$5:$A$504,0))))</f>
        <v/>
      </c>
      <c r="H434" s="0" t="str">
        <f aca="false">IF(E434="","",IF(COUNTIFS('MASTER BAHAN'!$A$5:$A$504,E434)=0,"BELUM ADA",INDEX('MASTER BAHAN'!$D$5:$D$504,MATCH(E434,'MASTER BAHAN'!$A$5:$A$504,0))))</f>
        <v/>
      </c>
      <c r="J434" s="0" t="str">
        <f aca="false">IF(A434="","",IF(OR(NOT(ISNUMBER(G434)),NOT(ISNUMBER(I434))),"BELUM LENGKAP",ROUND(G434*I434,0)))</f>
        <v/>
      </c>
      <c r="M434" s="24" t="str">
        <f aca="false">IF(A434="","",COUNTIF($A$5:A434,A434))</f>
        <v/>
      </c>
      <c r="N434" s="24" t="str">
        <f aca="false">IF(A434="","",A434&amp;"|"&amp;M434)</f>
        <v/>
      </c>
    </row>
    <row r="435" customFormat="false" ht="15" hidden="false" customHeight="false" outlineLevel="0" collapsed="false">
      <c r="F435" s="0" t="str">
        <f aca="false">IF(E435="","",IF(COUNTIFS('MASTER BAHAN'!$A$5:$A$504,E435)=0,"BELUM ADA",INDEX('MASTER BAHAN'!$B$5:$B$504,MATCH(E435,'MASTER BAHAN'!$A$5:$A$504,0))))</f>
        <v/>
      </c>
      <c r="H435" s="0" t="str">
        <f aca="false">IF(E435="","",IF(COUNTIFS('MASTER BAHAN'!$A$5:$A$504,E435)=0,"BELUM ADA",INDEX('MASTER BAHAN'!$D$5:$D$504,MATCH(E435,'MASTER BAHAN'!$A$5:$A$504,0))))</f>
        <v/>
      </c>
      <c r="J435" s="0" t="str">
        <f aca="false">IF(A435="","",IF(OR(NOT(ISNUMBER(G435)),NOT(ISNUMBER(I435))),"BELUM LENGKAP",ROUND(G435*I435,0)))</f>
        <v/>
      </c>
      <c r="M435" s="24" t="str">
        <f aca="false">IF(A435="","",COUNTIF($A$5:A435,A435))</f>
        <v/>
      </c>
      <c r="N435" s="24" t="str">
        <f aca="false">IF(A435="","",A435&amp;"|"&amp;M435)</f>
        <v/>
      </c>
    </row>
    <row r="436" customFormat="false" ht="15" hidden="false" customHeight="false" outlineLevel="0" collapsed="false">
      <c r="F436" s="0" t="str">
        <f aca="false">IF(E436="","",IF(COUNTIFS('MASTER BAHAN'!$A$5:$A$504,E436)=0,"BELUM ADA",INDEX('MASTER BAHAN'!$B$5:$B$504,MATCH(E436,'MASTER BAHAN'!$A$5:$A$504,0))))</f>
        <v/>
      </c>
      <c r="H436" s="0" t="str">
        <f aca="false">IF(E436="","",IF(COUNTIFS('MASTER BAHAN'!$A$5:$A$504,E436)=0,"BELUM ADA",INDEX('MASTER BAHAN'!$D$5:$D$504,MATCH(E436,'MASTER BAHAN'!$A$5:$A$504,0))))</f>
        <v/>
      </c>
      <c r="J436" s="0" t="str">
        <f aca="false">IF(A436="","",IF(OR(NOT(ISNUMBER(G436)),NOT(ISNUMBER(I436))),"BELUM LENGKAP",ROUND(G436*I436,0)))</f>
        <v/>
      </c>
      <c r="M436" s="24" t="str">
        <f aca="false">IF(A436="","",COUNTIF($A$5:A436,A436))</f>
        <v/>
      </c>
      <c r="N436" s="24" t="str">
        <f aca="false">IF(A436="","",A436&amp;"|"&amp;M436)</f>
        <v/>
      </c>
    </row>
    <row r="437" customFormat="false" ht="15" hidden="false" customHeight="false" outlineLevel="0" collapsed="false">
      <c r="F437" s="0" t="str">
        <f aca="false">IF(E437="","",IF(COUNTIFS('MASTER BAHAN'!$A$5:$A$504,E437)=0,"BELUM ADA",INDEX('MASTER BAHAN'!$B$5:$B$504,MATCH(E437,'MASTER BAHAN'!$A$5:$A$504,0))))</f>
        <v/>
      </c>
      <c r="H437" s="0" t="str">
        <f aca="false">IF(E437="","",IF(COUNTIFS('MASTER BAHAN'!$A$5:$A$504,E437)=0,"BELUM ADA",INDEX('MASTER BAHAN'!$D$5:$D$504,MATCH(E437,'MASTER BAHAN'!$A$5:$A$504,0))))</f>
        <v/>
      </c>
      <c r="J437" s="0" t="str">
        <f aca="false">IF(A437="","",IF(OR(NOT(ISNUMBER(G437)),NOT(ISNUMBER(I437))),"BELUM LENGKAP",ROUND(G437*I437,0)))</f>
        <v/>
      </c>
      <c r="M437" s="24" t="str">
        <f aca="false">IF(A437="","",COUNTIF($A$5:A437,A437))</f>
        <v/>
      </c>
      <c r="N437" s="24" t="str">
        <f aca="false">IF(A437="","",A437&amp;"|"&amp;M437)</f>
        <v/>
      </c>
    </row>
    <row r="438" customFormat="false" ht="15" hidden="false" customHeight="false" outlineLevel="0" collapsed="false">
      <c r="F438" s="0" t="str">
        <f aca="false">IF(E438="","",IF(COUNTIFS('MASTER BAHAN'!$A$5:$A$504,E438)=0,"BELUM ADA",INDEX('MASTER BAHAN'!$B$5:$B$504,MATCH(E438,'MASTER BAHAN'!$A$5:$A$504,0))))</f>
        <v/>
      </c>
      <c r="H438" s="0" t="str">
        <f aca="false">IF(E438="","",IF(COUNTIFS('MASTER BAHAN'!$A$5:$A$504,E438)=0,"BELUM ADA",INDEX('MASTER BAHAN'!$D$5:$D$504,MATCH(E438,'MASTER BAHAN'!$A$5:$A$504,0))))</f>
        <v/>
      </c>
      <c r="J438" s="0" t="str">
        <f aca="false">IF(A438="","",IF(OR(NOT(ISNUMBER(G438)),NOT(ISNUMBER(I438))),"BELUM LENGKAP",ROUND(G438*I438,0)))</f>
        <v/>
      </c>
      <c r="M438" s="24" t="str">
        <f aca="false">IF(A438="","",COUNTIF($A$5:A438,A438))</f>
        <v/>
      </c>
      <c r="N438" s="24" t="str">
        <f aca="false">IF(A438="","",A438&amp;"|"&amp;M438)</f>
        <v/>
      </c>
    </row>
    <row r="439" customFormat="false" ht="15" hidden="false" customHeight="false" outlineLevel="0" collapsed="false">
      <c r="F439" s="0" t="str">
        <f aca="false">IF(E439="","",IF(COUNTIFS('MASTER BAHAN'!$A$5:$A$504,E439)=0,"BELUM ADA",INDEX('MASTER BAHAN'!$B$5:$B$504,MATCH(E439,'MASTER BAHAN'!$A$5:$A$504,0))))</f>
        <v/>
      </c>
      <c r="H439" s="0" t="str">
        <f aca="false">IF(E439="","",IF(COUNTIFS('MASTER BAHAN'!$A$5:$A$504,E439)=0,"BELUM ADA",INDEX('MASTER BAHAN'!$D$5:$D$504,MATCH(E439,'MASTER BAHAN'!$A$5:$A$504,0))))</f>
        <v/>
      </c>
      <c r="J439" s="0" t="str">
        <f aca="false">IF(A439="","",IF(OR(NOT(ISNUMBER(G439)),NOT(ISNUMBER(I439))),"BELUM LENGKAP",ROUND(G439*I439,0)))</f>
        <v/>
      </c>
      <c r="M439" s="24" t="str">
        <f aca="false">IF(A439="","",COUNTIF($A$5:A439,A439))</f>
        <v/>
      </c>
      <c r="N439" s="24" t="str">
        <f aca="false">IF(A439="","",A439&amp;"|"&amp;M439)</f>
        <v/>
      </c>
    </row>
    <row r="440" customFormat="false" ht="15" hidden="false" customHeight="false" outlineLevel="0" collapsed="false">
      <c r="F440" s="0" t="str">
        <f aca="false">IF(E440="","",IF(COUNTIFS('MASTER BAHAN'!$A$5:$A$504,E440)=0,"BELUM ADA",INDEX('MASTER BAHAN'!$B$5:$B$504,MATCH(E440,'MASTER BAHAN'!$A$5:$A$504,0))))</f>
        <v/>
      </c>
      <c r="H440" s="0" t="str">
        <f aca="false">IF(E440="","",IF(COUNTIFS('MASTER BAHAN'!$A$5:$A$504,E440)=0,"BELUM ADA",INDEX('MASTER BAHAN'!$D$5:$D$504,MATCH(E440,'MASTER BAHAN'!$A$5:$A$504,0))))</f>
        <v/>
      </c>
      <c r="J440" s="0" t="str">
        <f aca="false">IF(A440="","",IF(OR(NOT(ISNUMBER(G440)),NOT(ISNUMBER(I440))),"BELUM LENGKAP",ROUND(G440*I440,0)))</f>
        <v/>
      </c>
      <c r="M440" s="24" t="str">
        <f aca="false">IF(A440="","",COUNTIF($A$5:A440,A440))</f>
        <v/>
      </c>
      <c r="N440" s="24" t="str">
        <f aca="false">IF(A440="","",A440&amp;"|"&amp;M440)</f>
        <v/>
      </c>
    </row>
    <row r="441" customFormat="false" ht="15" hidden="false" customHeight="false" outlineLevel="0" collapsed="false">
      <c r="F441" s="0" t="str">
        <f aca="false">IF(E441="","",IF(COUNTIFS('MASTER BAHAN'!$A$5:$A$504,E441)=0,"BELUM ADA",INDEX('MASTER BAHAN'!$B$5:$B$504,MATCH(E441,'MASTER BAHAN'!$A$5:$A$504,0))))</f>
        <v/>
      </c>
      <c r="H441" s="0" t="str">
        <f aca="false">IF(E441="","",IF(COUNTIFS('MASTER BAHAN'!$A$5:$A$504,E441)=0,"BELUM ADA",INDEX('MASTER BAHAN'!$D$5:$D$504,MATCH(E441,'MASTER BAHAN'!$A$5:$A$504,0))))</f>
        <v/>
      </c>
      <c r="J441" s="0" t="str">
        <f aca="false">IF(A441="","",IF(OR(NOT(ISNUMBER(G441)),NOT(ISNUMBER(I441))),"BELUM LENGKAP",ROUND(G441*I441,0)))</f>
        <v/>
      </c>
      <c r="M441" s="24" t="str">
        <f aca="false">IF(A441="","",COUNTIF($A$5:A441,A441))</f>
        <v/>
      </c>
      <c r="N441" s="24" t="str">
        <f aca="false">IF(A441="","",A441&amp;"|"&amp;M441)</f>
        <v/>
      </c>
    </row>
    <row r="442" customFormat="false" ht="15" hidden="false" customHeight="false" outlineLevel="0" collapsed="false">
      <c r="F442" s="0" t="str">
        <f aca="false">IF(E442="","",IF(COUNTIFS('MASTER BAHAN'!$A$5:$A$504,E442)=0,"BELUM ADA",INDEX('MASTER BAHAN'!$B$5:$B$504,MATCH(E442,'MASTER BAHAN'!$A$5:$A$504,0))))</f>
        <v/>
      </c>
      <c r="H442" s="0" t="str">
        <f aca="false">IF(E442="","",IF(COUNTIFS('MASTER BAHAN'!$A$5:$A$504,E442)=0,"BELUM ADA",INDEX('MASTER BAHAN'!$D$5:$D$504,MATCH(E442,'MASTER BAHAN'!$A$5:$A$504,0))))</f>
        <v/>
      </c>
      <c r="J442" s="0" t="str">
        <f aca="false">IF(A442="","",IF(OR(NOT(ISNUMBER(G442)),NOT(ISNUMBER(I442))),"BELUM LENGKAP",ROUND(G442*I442,0)))</f>
        <v/>
      </c>
      <c r="M442" s="24" t="str">
        <f aca="false">IF(A442="","",COUNTIF($A$5:A442,A442))</f>
        <v/>
      </c>
      <c r="N442" s="24" t="str">
        <f aca="false">IF(A442="","",A442&amp;"|"&amp;M442)</f>
        <v/>
      </c>
    </row>
    <row r="443" customFormat="false" ht="15" hidden="false" customHeight="false" outlineLevel="0" collapsed="false">
      <c r="F443" s="0" t="str">
        <f aca="false">IF(E443="","",IF(COUNTIFS('MASTER BAHAN'!$A$5:$A$504,E443)=0,"BELUM ADA",INDEX('MASTER BAHAN'!$B$5:$B$504,MATCH(E443,'MASTER BAHAN'!$A$5:$A$504,0))))</f>
        <v/>
      </c>
      <c r="H443" s="0" t="str">
        <f aca="false">IF(E443="","",IF(COUNTIFS('MASTER BAHAN'!$A$5:$A$504,E443)=0,"BELUM ADA",INDEX('MASTER BAHAN'!$D$5:$D$504,MATCH(E443,'MASTER BAHAN'!$A$5:$A$504,0))))</f>
        <v/>
      </c>
      <c r="J443" s="0" t="str">
        <f aca="false">IF(A443="","",IF(OR(NOT(ISNUMBER(G443)),NOT(ISNUMBER(I443))),"BELUM LENGKAP",ROUND(G443*I443,0)))</f>
        <v/>
      </c>
      <c r="M443" s="24" t="str">
        <f aca="false">IF(A443="","",COUNTIF($A$5:A443,A443))</f>
        <v/>
      </c>
      <c r="N443" s="24" t="str">
        <f aca="false">IF(A443="","",A443&amp;"|"&amp;M443)</f>
        <v/>
      </c>
    </row>
    <row r="444" customFormat="false" ht="15" hidden="false" customHeight="false" outlineLevel="0" collapsed="false">
      <c r="F444" s="0" t="str">
        <f aca="false">IF(E444="","",IF(COUNTIFS('MASTER BAHAN'!$A$5:$A$504,E444)=0,"BELUM ADA",INDEX('MASTER BAHAN'!$B$5:$B$504,MATCH(E444,'MASTER BAHAN'!$A$5:$A$504,0))))</f>
        <v/>
      </c>
      <c r="H444" s="0" t="str">
        <f aca="false">IF(E444="","",IF(COUNTIFS('MASTER BAHAN'!$A$5:$A$504,E444)=0,"BELUM ADA",INDEX('MASTER BAHAN'!$D$5:$D$504,MATCH(E444,'MASTER BAHAN'!$A$5:$A$504,0))))</f>
        <v/>
      </c>
      <c r="J444" s="0" t="str">
        <f aca="false">IF(A444="","",IF(OR(NOT(ISNUMBER(G444)),NOT(ISNUMBER(I444))),"BELUM LENGKAP",ROUND(G444*I444,0)))</f>
        <v/>
      </c>
      <c r="M444" s="24" t="str">
        <f aca="false">IF(A444="","",COUNTIF($A$5:A444,A444))</f>
        <v/>
      </c>
      <c r="N444" s="24" t="str">
        <f aca="false">IF(A444="","",A444&amp;"|"&amp;M444)</f>
        <v/>
      </c>
    </row>
    <row r="445" customFormat="false" ht="15" hidden="false" customHeight="false" outlineLevel="0" collapsed="false">
      <c r="F445" s="0" t="str">
        <f aca="false">IF(E445="","",IF(COUNTIFS('MASTER BAHAN'!$A$5:$A$504,E445)=0,"BELUM ADA",INDEX('MASTER BAHAN'!$B$5:$B$504,MATCH(E445,'MASTER BAHAN'!$A$5:$A$504,0))))</f>
        <v/>
      </c>
      <c r="H445" s="0" t="str">
        <f aca="false">IF(E445="","",IF(COUNTIFS('MASTER BAHAN'!$A$5:$A$504,E445)=0,"BELUM ADA",INDEX('MASTER BAHAN'!$D$5:$D$504,MATCH(E445,'MASTER BAHAN'!$A$5:$A$504,0))))</f>
        <v/>
      </c>
      <c r="J445" s="0" t="str">
        <f aca="false">IF(A445="","",IF(OR(NOT(ISNUMBER(G445)),NOT(ISNUMBER(I445))),"BELUM LENGKAP",ROUND(G445*I445,0)))</f>
        <v/>
      </c>
      <c r="M445" s="24" t="str">
        <f aca="false">IF(A445="","",COUNTIF($A$5:A445,A445))</f>
        <v/>
      </c>
      <c r="N445" s="24" t="str">
        <f aca="false">IF(A445="","",A445&amp;"|"&amp;M445)</f>
        <v/>
      </c>
    </row>
    <row r="446" customFormat="false" ht="15" hidden="false" customHeight="false" outlineLevel="0" collapsed="false">
      <c r="F446" s="0" t="str">
        <f aca="false">IF(E446="","",IF(COUNTIFS('MASTER BAHAN'!$A$5:$A$504,E446)=0,"BELUM ADA",INDEX('MASTER BAHAN'!$B$5:$B$504,MATCH(E446,'MASTER BAHAN'!$A$5:$A$504,0))))</f>
        <v/>
      </c>
      <c r="H446" s="0" t="str">
        <f aca="false">IF(E446="","",IF(COUNTIFS('MASTER BAHAN'!$A$5:$A$504,E446)=0,"BELUM ADA",INDEX('MASTER BAHAN'!$D$5:$D$504,MATCH(E446,'MASTER BAHAN'!$A$5:$A$504,0))))</f>
        <v/>
      </c>
      <c r="J446" s="0" t="str">
        <f aca="false">IF(A446="","",IF(OR(NOT(ISNUMBER(G446)),NOT(ISNUMBER(I446))),"BELUM LENGKAP",ROUND(G446*I446,0)))</f>
        <v/>
      </c>
      <c r="M446" s="24" t="str">
        <f aca="false">IF(A446="","",COUNTIF($A$5:A446,A446))</f>
        <v/>
      </c>
      <c r="N446" s="24" t="str">
        <f aca="false">IF(A446="","",A446&amp;"|"&amp;M446)</f>
        <v/>
      </c>
    </row>
    <row r="447" customFormat="false" ht="15" hidden="false" customHeight="false" outlineLevel="0" collapsed="false">
      <c r="F447" s="0" t="str">
        <f aca="false">IF(E447="","",IF(COUNTIFS('MASTER BAHAN'!$A$5:$A$504,E447)=0,"BELUM ADA",INDEX('MASTER BAHAN'!$B$5:$B$504,MATCH(E447,'MASTER BAHAN'!$A$5:$A$504,0))))</f>
        <v/>
      </c>
      <c r="H447" s="0" t="str">
        <f aca="false">IF(E447="","",IF(COUNTIFS('MASTER BAHAN'!$A$5:$A$504,E447)=0,"BELUM ADA",INDEX('MASTER BAHAN'!$D$5:$D$504,MATCH(E447,'MASTER BAHAN'!$A$5:$A$504,0))))</f>
        <v/>
      </c>
      <c r="J447" s="0" t="str">
        <f aca="false">IF(A447="","",IF(OR(NOT(ISNUMBER(G447)),NOT(ISNUMBER(I447))),"BELUM LENGKAP",ROUND(G447*I447,0)))</f>
        <v/>
      </c>
      <c r="M447" s="24" t="str">
        <f aca="false">IF(A447="","",COUNTIF($A$5:A447,A447))</f>
        <v/>
      </c>
      <c r="N447" s="24" t="str">
        <f aca="false">IF(A447="","",A447&amp;"|"&amp;M447)</f>
        <v/>
      </c>
    </row>
    <row r="448" customFormat="false" ht="15" hidden="false" customHeight="false" outlineLevel="0" collapsed="false">
      <c r="F448" s="0" t="str">
        <f aca="false">IF(E448="","",IF(COUNTIFS('MASTER BAHAN'!$A$5:$A$504,E448)=0,"BELUM ADA",INDEX('MASTER BAHAN'!$B$5:$B$504,MATCH(E448,'MASTER BAHAN'!$A$5:$A$504,0))))</f>
        <v/>
      </c>
      <c r="H448" s="0" t="str">
        <f aca="false">IF(E448="","",IF(COUNTIFS('MASTER BAHAN'!$A$5:$A$504,E448)=0,"BELUM ADA",INDEX('MASTER BAHAN'!$D$5:$D$504,MATCH(E448,'MASTER BAHAN'!$A$5:$A$504,0))))</f>
        <v/>
      </c>
      <c r="J448" s="0" t="str">
        <f aca="false">IF(A448="","",IF(OR(NOT(ISNUMBER(G448)),NOT(ISNUMBER(I448))),"BELUM LENGKAP",ROUND(G448*I448,0)))</f>
        <v/>
      </c>
      <c r="M448" s="24" t="str">
        <f aca="false">IF(A448="","",COUNTIF($A$5:A448,A448))</f>
        <v/>
      </c>
      <c r="N448" s="24" t="str">
        <f aca="false">IF(A448="","",A448&amp;"|"&amp;M448)</f>
        <v/>
      </c>
    </row>
    <row r="449" customFormat="false" ht="15" hidden="false" customHeight="false" outlineLevel="0" collapsed="false">
      <c r="F449" s="0" t="str">
        <f aca="false">IF(E449="","",IF(COUNTIFS('MASTER BAHAN'!$A$5:$A$504,E449)=0,"BELUM ADA",INDEX('MASTER BAHAN'!$B$5:$B$504,MATCH(E449,'MASTER BAHAN'!$A$5:$A$504,0))))</f>
        <v/>
      </c>
      <c r="H449" s="0" t="str">
        <f aca="false">IF(E449="","",IF(COUNTIFS('MASTER BAHAN'!$A$5:$A$504,E449)=0,"BELUM ADA",INDEX('MASTER BAHAN'!$D$5:$D$504,MATCH(E449,'MASTER BAHAN'!$A$5:$A$504,0))))</f>
        <v/>
      </c>
      <c r="J449" s="0" t="str">
        <f aca="false">IF(A449="","",IF(OR(NOT(ISNUMBER(G449)),NOT(ISNUMBER(I449))),"BELUM LENGKAP",ROUND(G449*I449,0)))</f>
        <v/>
      </c>
      <c r="M449" s="24" t="str">
        <f aca="false">IF(A449="","",COUNTIF($A$5:A449,A449))</f>
        <v/>
      </c>
      <c r="N449" s="24" t="str">
        <f aca="false">IF(A449="","",A449&amp;"|"&amp;M449)</f>
        <v/>
      </c>
    </row>
    <row r="450" customFormat="false" ht="15" hidden="false" customHeight="false" outlineLevel="0" collapsed="false">
      <c r="F450" s="0" t="str">
        <f aca="false">IF(E450="","",IF(COUNTIFS('MASTER BAHAN'!$A$5:$A$504,E450)=0,"BELUM ADA",INDEX('MASTER BAHAN'!$B$5:$B$504,MATCH(E450,'MASTER BAHAN'!$A$5:$A$504,0))))</f>
        <v/>
      </c>
      <c r="H450" s="0" t="str">
        <f aca="false">IF(E450="","",IF(COUNTIFS('MASTER BAHAN'!$A$5:$A$504,E450)=0,"BELUM ADA",INDEX('MASTER BAHAN'!$D$5:$D$504,MATCH(E450,'MASTER BAHAN'!$A$5:$A$504,0))))</f>
        <v/>
      </c>
      <c r="J450" s="0" t="str">
        <f aca="false">IF(A450="","",IF(OR(NOT(ISNUMBER(G450)),NOT(ISNUMBER(I450))),"BELUM LENGKAP",ROUND(G450*I450,0)))</f>
        <v/>
      </c>
      <c r="M450" s="24" t="str">
        <f aca="false">IF(A450="","",COUNTIF($A$5:A450,A450))</f>
        <v/>
      </c>
      <c r="N450" s="24" t="str">
        <f aca="false">IF(A450="","",A450&amp;"|"&amp;M450)</f>
        <v/>
      </c>
    </row>
    <row r="451" customFormat="false" ht="15" hidden="false" customHeight="false" outlineLevel="0" collapsed="false">
      <c r="F451" s="0" t="str">
        <f aca="false">IF(E451="","",IF(COUNTIFS('MASTER BAHAN'!$A$5:$A$504,E451)=0,"BELUM ADA",INDEX('MASTER BAHAN'!$B$5:$B$504,MATCH(E451,'MASTER BAHAN'!$A$5:$A$504,0))))</f>
        <v/>
      </c>
      <c r="H451" s="0" t="str">
        <f aca="false">IF(E451="","",IF(COUNTIFS('MASTER BAHAN'!$A$5:$A$504,E451)=0,"BELUM ADA",INDEX('MASTER BAHAN'!$D$5:$D$504,MATCH(E451,'MASTER BAHAN'!$A$5:$A$504,0))))</f>
        <v/>
      </c>
      <c r="J451" s="0" t="str">
        <f aca="false">IF(A451="","",IF(OR(NOT(ISNUMBER(G451)),NOT(ISNUMBER(I451))),"BELUM LENGKAP",ROUND(G451*I451,0)))</f>
        <v/>
      </c>
      <c r="M451" s="24" t="str">
        <f aca="false">IF(A451="","",COUNTIF($A$5:A451,A451))</f>
        <v/>
      </c>
      <c r="N451" s="24" t="str">
        <f aca="false">IF(A451="","",A451&amp;"|"&amp;M451)</f>
        <v/>
      </c>
    </row>
    <row r="452" customFormat="false" ht="15" hidden="false" customHeight="false" outlineLevel="0" collapsed="false">
      <c r="F452" s="0" t="str">
        <f aca="false">IF(E452="","",IF(COUNTIFS('MASTER BAHAN'!$A$5:$A$504,E452)=0,"BELUM ADA",INDEX('MASTER BAHAN'!$B$5:$B$504,MATCH(E452,'MASTER BAHAN'!$A$5:$A$504,0))))</f>
        <v/>
      </c>
      <c r="H452" s="0" t="str">
        <f aca="false">IF(E452="","",IF(COUNTIFS('MASTER BAHAN'!$A$5:$A$504,E452)=0,"BELUM ADA",INDEX('MASTER BAHAN'!$D$5:$D$504,MATCH(E452,'MASTER BAHAN'!$A$5:$A$504,0))))</f>
        <v/>
      </c>
      <c r="J452" s="0" t="str">
        <f aca="false">IF(A452="","",IF(OR(NOT(ISNUMBER(G452)),NOT(ISNUMBER(I452))),"BELUM LENGKAP",ROUND(G452*I452,0)))</f>
        <v/>
      </c>
      <c r="M452" s="24" t="str">
        <f aca="false">IF(A452="","",COUNTIF($A$5:A452,A452))</f>
        <v/>
      </c>
      <c r="N452" s="24" t="str">
        <f aca="false">IF(A452="","",A452&amp;"|"&amp;M452)</f>
        <v/>
      </c>
    </row>
    <row r="453" customFormat="false" ht="15" hidden="false" customHeight="false" outlineLevel="0" collapsed="false">
      <c r="F453" s="0" t="str">
        <f aca="false">IF(E453="","",IF(COUNTIFS('MASTER BAHAN'!$A$5:$A$504,E453)=0,"BELUM ADA",INDEX('MASTER BAHAN'!$B$5:$B$504,MATCH(E453,'MASTER BAHAN'!$A$5:$A$504,0))))</f>
        <v/>
      </c>
      <c r="H453" s="0" t="str">
        <f aca="false">IF(E453="","",IF(COUNTIFS('MASTER BAHAN'!$A$5:$A$504,E453)=0,"BELUM ADA",INDEX('MASTER BAHAN'!$D$5:$D$504,MATCH(E453,'MASTER BAHAN'!$A$5:$A$504,0))))</f>
        <v/>
      </c>
      <c r="J453" s="0" t="str">
        <f aca="false">IF(A453="","",IF(OR(NOT(ISNUMBER(G453)),NOT(ISNUMBER(I453))),"BELUM LENGKAP",ROUND(G453*I453,0)))</f>
        <v/>
      </c>
      <c r="M453" s="24" t="str">
        <f aca="false">IF(A453="","",COUNTIF($A$5:A453,A453))</f>
        <v/>
      </c>
      <c r="N453" s="24" t="str">
        <f aca="false">IF(A453="","",A453&amp;"|"&amp;M453)</f>
        <v/>
      </c>
    </row>
    <row r="454" customFormat="false" ht="15" hidden="false" customHeight="false" outlineLevel="0" collapsed="false">
      <c r="F454" s="0" t="str">
        <f aca="false">IF(E454="","",IF(COUNTIFS('MASTER BAHAN'!$A$5:$A$504,E454)=0,"BELUM ADA",INDEX('MASTER BAHAN'!$B$5:$B$504,MATCH(E454,'MASTER BAHAN'!$A$5:$A$504,0))))</f>
        <v/>
      </c>
      <c r="H454" s="0" t="str">
        <f aca="false">IF(E454="","",IF(COUNTIFS('MASTER BAHAN'!$A$5:$A$504,E454)=0,"BELUM ADA",INDEX('MASTER BAHAN'!$D$5:$D$504,MATCH(E454,'MASTER BAHAN'!$A$5:$A$504,0))))</f>
        <v/>
      </c>
      <c r="J454" s="0" t="str">
        <f aca="false">IF(A454="","",IF(OR(NOT(ISNUMBER(G454)),NOT(ISNUMBER(I454))),"BELUM LENGKAP",ROUND(G454*I454,0)))</f>
        <v/>
      </c>
      <c r="M454" s="24" t="str">
        <f aca="false">IF(A454="","",COUNTIF($A$5:A454,A454))</f>
        <v/>
      </c>
      <c r="N454" s="24" t="str">
        <f aca="false">IF(A454="","",A454&amp;"|"&amp;M454)</f>
        <v/>
      </c>
    </row>
    <row r="455" customFormat="false" ht="15" hidden="false" customHeight="false" outlineLevel="0" collapsed="false">
      <c r="F455" s="0" t="str">
        <f aca="false">IF(E455="","",IF(COUNTIFS('MASTER BAHAN'!$A$5:$A$504,E455)=0,"BELUM ADA",INDEX('MASTER BAHAN'!$B$5:$B$504,MATCH(E455,'MASTER BAHAN'!$A$5:$A$504,0))))</f>
        <v/>
      </c>
      <c r="H455" s="0" t="str">
        <f aca="false">IF(E455="","",IF(COUNTIFS('MASTER BAHAN'!$A$5:$A$504,E455)=0,"BELUM ADA",INDEX('MASTER BAHAN'!$D$5:$D$504,MATCH(E455,'MASTER BAHAN'!$A$5:$A$504,0))))</f>
        <v/>
      </c>
      <c r="J455" s="0" t="str">
        <f aca="false">IF(A455="","",IF(OR(NOT(ISNUMBER(G455)),NOT(ISNUMBER(I455))),"BELUM LENGKAP",ROUND(G455*I455,0)))</f>
        <v/>
      </c>
      <c r="M455" s="24" t="str">
        <f aca="false">IF(A455="","",COUNTIF($A$5:A455,A455))</f>
        <v/>
      </c>
      <c r="N455" s="24" t="str">
        <f aca="false">IF(A455="","",A455&amp;"|"&amp;M455)</f>
        <v/>
      </c>
    </row>
    <row r="456" customFormat="false" ht="15" hidden="false" customHeight="false" outlineLevel="0" collapsed="false">
      <c r="F456" s="0" t="str">
        <f aca="false">IF(E456="","",IF(COUNTIFS('MASTER BAHAN'!$A$5:$A$504,E456)=0,"BELUM ADA",INDEX('MASTER BAHAN'!$B$5:$B$504,MATCH(E456,'MASTER BAHAN'!$A$5:$A$504,0))))</f>
        <v/>
      </c>
      <c r="H456" s="0" t="str">
        <f aca="false">IF(E456="","",IF(COUNTIFS('MASTER BAHAN'!$A$5:$A$504,E456)=0,"BELUM ADA",INDEX('MASTER BAHAN'!$D$5:$D$504,MATCH(E456,'MASTER BAHAN'!$A$5:$A$504,0))))</f>
        <v/>
      </c>
      <c r="J456" s="0" t="str">
        <f aca="false">IF(A456="","",IF(OR(NOT(ISNUMBER(G456)),NOT(ISNUMBER(I456))),"BELUM LENGKAP",ROUND(G456*I456,0)))</f>
        <v/>
      </c>
      <c r="M456" s="24" t="str">
        <f aca="false">IF(A456="","",COUNTIF($A$5:A456,A456))</f>
        <v/>
      </c>
      <c r="N456" s="24" t="str">
        <f aca="false">IF(A456="","",A456&amp;"|"&amp;M456)</f>
        <v/>
      </c>
    </row>
    <row r="457" customFormat="false" ht="15" hidden="false" customHeight="false" outlineLevel="0" collapsed="false">
      <c r="F457" s="0" t="str">
        <f aca="false">IF(E457="","",IF(COUNTIFS('MASTER BAHAN'!$A$5:$A$504,E457)=0,"BELUM ADA",INDEX('MASTER BAHAN'!$B$5:$B$504,MATCH(E457,'MASTER BAHAN'!$A$5:$A$504,0))))</f>
        <v/>
      </c>
      <c r="H457" s="0" t="str">
        <f aca="false">IF(E457="","",IF(COUNTIFS('MASTER BAHAN'!$A$5:$A$504,E457)=0,"BELUM ADA",INDEX('MASTER BAHAN'!$D$5:$D$504,MATCH(E457,'MASTER BAHAN'!$A$5:$A$504,0))))</f>
        <v/>
      </c>
      <c r="J457" s="0" t="str">
        <f aca="false">IF(A457="","",IF(OR(NOT(ISNUMBER(G457)),NOT(ISNUMBER(I457))),"BELUM LENGKAP",ROUND(G457*I457,0)))</f>
        <v/>
      </c>
      <c r="M457" s="24" t="str">
        <f aca="false">IF(A457="","",COUNTIF($A$5:A457,A457))</f>
        <v/>
      </c>
      <c r="N457" s="24" t="str">
        <f aca="false">IF(A457="","",A457&amp;"|"&amp;M457)</f>
        <v/>
      </c>
    </row>
    <row r="458" customFormat="false" ht="15" hidden="false" customHeight="false" outlineLevel="0" collapsed="false">
      <c r="F458" s="0" t="str">
        <f aca="false">IF(E458="","",IF(COUNTIFS('MASTER BAHAN'!$A$5:$A$504,E458)=0,"BELUM ADA",INDEX('MASTER BAHAN'!$B$5:$B$504,MATCH(E458,'MASTER BAHAN'!$A$5:$A$504,0))))</f>
        <v/>
      </c>
      <c r="H458" s="0" t="str">
        <f aca="false">IF(E458="","",IF(COUNTIFS('MASTER BAHAN'!$A$5:$A$504,E458)=0,"BELUM ADA",INDEX('MASTER BAHAN'!$D$5:$D$504,MATCH(E458,'MASTER BAHAN'!$A$5:$A$504,0))))</f>
        <v/>
      </c>
      <c r="J458" s="0" t="str">
        <f aca="false">IF(A458="","",IF(OR(NOT(ISNUMBER(G458)),NOT(ISNUMBER(I458))),"BELUM LENGKAP",ROUND(G458*I458,0)))</f>
        <v/>
      </c>
      <c r="M458" s="24" t="str">
        <f aca="false">IF(A458="","",COUNTIF($A$5:A458,A458))</f>
        <v/>
      </c>
      <c r="N458" s="24" t="str">
        <f aca="false">IF(A458="","",A458&amp;"|"&amp;M458)</f>
        <v/>
      </c>
    </row>
    <row r="459" customFormat="false" ht="15" hidden="false" customHeight="false" outlineLevel="0" collapsed="false">
      <c r="F459" s="0" t="str">
        <f aca="false">IF(E459="","",IF(COUNTIFS('MASTER BAHAN'!$A$5:$A$504,E459)=0,"BELUM ADA",INDEX('MASTER BAHAN'!$B$5:$B$504,MATCH(E459,'MASTER BAHAN'!$A$5:$A$504,0))))</f>
        <v/>
      </c>
      <c r="H459" s="0" t="str">
        <f aca="false">IF(E459="","",IF(COUNTIFS('MASTER BAHAN'!$A$5:$A$504,E459)=0,"BELUM ADA",INDEX('MASTER BAHAN'!$D$5:$D$504,MATCH(E459,'MASTER BAHAN'!$A$5:$A$504,0))))</f>
        <v/>
      </c>
      <c r="J459" s="0" t="str">
        <f aca="false">IF(A459="","",IF(OR(NOT(ISNUMBER(G459)),NOT(ISNUMBER(I459))),"BELUM LENGKAP",ROUND(G459*I459,0)))</f>
        <v/>
      </c>
      <c r="M459" s="24" t="str">
        <f aca="false">IF(A459="","",COUNTIF($A$5:A459,A459))</f>
        <v/>
      </c>
      <c r="N459" s="24" t="str">
        <f aca="false">IF(A459="","",A459&amp;"|"&amp;M459)</f>
        <v/>
      </c>
    </row>
    <row r="460" customFormat="false" ht="15" hidden="false" customHeight="false" outlineLevel="0" collapsed="false">
      <c r="F460" s="0" t="str">
        <f aca="false">IF(E460="","",IF(COUNTIFS('MASTER BAHAN'!$A$5:$A$504,E460)=0,"BELUM ADA",INDEX('MASTER BAHAN'!$B$5:$B$504,MATCH(E460,'MASTER BAHAN'!$A$5:$A$504,0))))</f>
        <v/>
      </c>
      <c r="H460" s="0" t="str">
        <f aca="false">IF(E460="","",IF(COUNTIFS('MASTER BAHAN'!$A$5:$A$504,E460)=0,"BELUM ADA",INDEX('MASTER BAHAN'!$D$5:$D$504,MATCH(E460,'MASTER BAHAN'!$A$5:$A$504,0))))</f>
        <v/>
      </c>
      <c r="J460" s="0" t="str">
        <f aca="false">IF(A460="","",IF(OR(NOT(ISNUMBER(G460)),NOT(ISNUMBER(I460))),"BELUM LENGKAP",ROUND(G460*I460,0)))</f>
        <v/>
      </c>
      <c r="M460" s="24" t="str">
        <f aca="false">IF(A460="","",COUNTIF($A$5:A460,A460))</f>
        <v/>
      </c>
      <c r="N460" s="24" t="str">
        <f aca="false">IF(A460="","",A460&amp;"|"&amp;M460)</f>
        <v/>
      </c>
    </row>
    <row r="461" customFormat="false" ht="15" hidden="false" customHeight="false" outlineLevel="0" collapsed="false">
      <c r="F461" s="0" t="str">
        <f aca="false">IF(E461="","",IF(COUNTIFS('MASTER BAHAN'!$A$5:$A$504,E461)=0,"BELUM ADA",INDEX('MASTER BAHAN'!$B$5:$B$504,MATCH(E461,'MASTER BAHAN'!$A$5:$A$504,0))))</f>
        <v/>
      </c>
      <c r="H461" s="0" t="str">
        <f aca="false">IF(E461="","",IF(COUNTIFS('MASTER BAHAN'!$A$5:$A$504,E461)=0,"BELUM ADA",INDEX('MASTER BAHAN'!$D$5:$D$504,MATCH(E461,'MASTER BAHAN'!$A$5:$A$504,0))))</f>
        <v/>
      </c>
      <c r="J461" s="0" t="str">
        <f aca="false">IF(A461="","",IF(OR(NOT(ISNUMBER(G461)),NOT(ISNUMBER(I461))),"BELUM LENGKAP",ROUND(G461*I461,0)))</f>
        <v/>
      </c>
      <c r="M461" s="24" t="str">
        <f aca="false">IF(A461="","",COUNTIF($A$5:A461,A461))</f>
        <v/>
      </c>
      <c r="N461" s="24" t="str">
        <f aca="false">IF(A461="","",A461&amp;"|"&amp;M461)</f>
        <v/>
      </c>
    </row>
    <row r="462" customFormat="false" ht="15" hidden="false" customHeight="false" outlineLevel="0" collapsed="false">
      <c r="F462" s="0" t="str">
        <f aca="false">IF(E462="","",IF(COUNTIFS('MASTER BAHAN'!$A$5:$A$504,E462)=0,"BELUM ADA",INDEX('MASTER BAHAN'!$B$5:$B$504,MATCH(E462,'MASTER BAHAN'!$A$5:$A$504,0))))</f>
        <v/>
      </c>
      <c r="H462" s="0" t="str">
        <f aca="false">IF(E462="","",IF(COUNTIFS('MASTER BAHAN'!$A$5:$A$504,E462)=0,"BELUM ADA",INDEX('MASTER BAHAN'!$D$5:$D$504,MATCH(E462,'MASTER BAHAN'!$A$5:$A$504,0))))</f>
        <v/>
      </c>
      <c r="J462" s="0" t="str">
        <f aca="false">IF(A462="","",IF(OR(NOT(ISNUMBER(G462)),NOT(ISNUMBER(I462))),"BELUM LENGKAP",ROUND(G462*I462,0)))</f>
        <v/>
      </c>
      <c r="M462" s="24" t="str">
        <f aca="false">IF(A462="","",COUNTIF($A$5:A462,A462))</f>
        <v/>
      </c>
      <c r="N462" s="24" t="str">
        <f aca="false">IF(A462="","",A462&amp;"|"&amp;M462)</f>
        <v/>
      </c>
    </row>
    <row r="463" customFormat="false" ht="15" hidden="false" customHeight="false" outlineLevel="0" collapsed="false">
      <c r="F463" s="0" t="str">
        <f aca="false">IF(E463="","",IF(COUNTIFS('MASTER BAHAN'!$A$5:$A$504,E463)=0,"BELUM ADA",INDEX('MASTER BAHAN'!$B$5:$B$504,MATCH(E463,'MASTER BAHAN'!$A$5:$A$504,0))))</f>
        <v/>
      </c>
      <c r="H463" s="0" t="str">
        <f aca="false">IF(E463="","",IF(COUNTIFS('MASTER BAHAN'!$A$5:$A$504,E463)=0,"BELUM ADA",INDEX('MASTER BAHAN'!$D$5:$D$504,MATCH(E463,'MASTER BAHAN'!$A$5:$A$504,0))))</f>
        <v/>
      </c>
      <c r="J463" s="0" t="str">
        <f aca="false">IF(A463="","",IF(OR(NOT(ISNUMBER(G463)),NOT(ISNUMBER(I463))),"BELUM LENGKAP",ROUND(G463*I463,0)))</f>
        <v/>
      </c>
      <c r="M463" s="24" t="str">
        <f aca="false">IF(A463="","",COUNTIF($A$5:A463,A463))</f>
        <v/>
      </c>
      <c r="N463" s="24" t="str">
        <f aca="false">IF(A463="","",A463&amp;"|"&amp;M463)</f>
        <v/>
      </c>
    </row>
    <row r="464" customFormat="false" ht="15" hidden="false" customHeight="false" outlineLevel="0" collapsed="false">
      <c r="F464" s="0" t="str">
        <f aca="false">IF(E464="","",IF(COUNTIFS('MASTER BAHAN'!$A$5:$A$504,E464)=0,"BELUM ADA",INDEX('MASTER BAHAN'!$B$5:$B$504,MATCH(E464,'MASTER BAHAN'!$A$5:$A$504,0))))</f>
        <v/>
      </c>
      <c r="H464" s="0" t="str">
        <f aca="false">IF(E464="","",IF(COUNTIFS('MASTER BAHAN'!$A$5:$A$504,E464)=0,"BELUM ADA",INDEX('MASTER BAHAN'!$D$5:$D$504,MATCH(E464,'MASTER BAHAN'!$A$5:$A$504,0))))</f>
        <v/>
      </c>
      <c r="J464" s="0" t="str">
        <f aca="false">IF(A464="","",IF(OR(NOT(ISNUMBER(G464)),NOT(ISNUMBER(I464))),"BELUM LENGKAP",ROUND(G464*I464,0)))</f>
        <v/>
      </c>
      <c r="M464" s="24" t="str">
        <f aca="false">IF(A464="","",COUNTIF($A$5:A464,A464))</f>
        <v/>
      </c>
      <c r="N464" s="24" t="str">
        <f aca="false">IF(A464="","",A464&amp;"|"&amp;M464)</f>
        <v/>
      </c>
    </row>
    <row r="465" customFormat="false" ht="15" hidden="false" customHeight="false" outlineLevel="0" collapsed="false">
      <c r="F465" s="0" t="str">
        <f aca="false">IF(E465="","",IF(COUNTIFS('MASTER BAHAN'!$A$5:$A$504,E465)=0,"BELUM ADA",INDEX('MASTER BAHAN'!$B$5:$B$504,MATCH(E465,'MASTER BAHAN'!$A$5:$A$504,0))))</f>
        <v/>
      </c>
      <c r="H465" s="0" t="str">
        <f aca="false">IF(E465="","",IF(COUNTIFS('MASTER BAHAN'!$A$5:$A$504,E465)=0,"BELUM ADA",INDEX('MASTER BAHAN'!$D$5:$D$504,MATCH(E465,'MASTER BAHAN'!$A$5:$A$504,0))))</f>
        <v/>
      </c>
      <c r="J465" s="0" t="str">
        <f aca="false">IF(A465="","",IF(OR(NOT(ISNUMBER(G465)),NOT(ISNUMBER(I465))),"BELUM LENGKAP",ROUND(G465*I465,0)))</f>
        <v/>
      </c>
      <c r="M465" s="24" t="str">
        <f aca="false">IF(A465="","",COUNTIF($A$5:A465,A465))</f>
        <v/>
      </c>
      <c r="N465" s="24" t="str">
        <f aca="false">IF(A465="","",A465&amp;"|"&amp;M465)</f>
        <v/>
      </c>
    </row>
    <row r="466" customFormat="false" ht="15" hidden="false" customHeight="false" outlineLevel="0" collapsed="false">
      <c r="F466" s="0" t="str">
        <f aca="false">IF(E466="","",IF(COUNTIFS('MASTER BAHAN'!$A$5:$A$504,E466)=0,"BELUM ADA",INDEX('MASTER BAHAN'!$B$5:$B$504,MATCH(E466,'MASTER BAHAN'!$A$5:$A$504,0))))</f>
        <v/>
      </c>
      <c r="H466" s="0" t="str">
        <f aca="false">IF(E466="","",IF(COUNTIFS('MASTER BAHAN'!$A$5:$A$504,E466)=0,"BELUM ADA",INDEX('MASTER BAHAN'!$D$5:$D$504,MATCH(E466,'MASTER BAHAN'!$A$5:$A$504,0))))</f>
        <v/>
      </c>
      <c r="J466" s="0" t="str">
        <f aca="false">IF(A466="","",IF(OR(NOT(ISNUMBER(G466)),NOT(ISNUMBER(I466))),"BELUM LENGKAP",ROUND(G466*I466,0)))</f>
        <v/>
      </c>
      <c r="M466" s="24" t="str">
        <f aca="false">IF(A466="","",COUNTIF($A$5:A466,A466))</f>
        <v/>
      </c>
      <c r="N466" s="24" t="str">
        <f aca="false">IF(A466="","",A466&amp;"|"&amp;M466)</f>
        <v/>
      </c>
    </row>
    <row r="467" customFormat="false" ht="15" hidden="false" customHeight="false" outlineLevel="0" collapsed="false">
      <c r="F467" s="0" t="str">
        <f aca="false">IF(E467="","",IF(COUNTIFS('MASTER BAHAN'!$A$5:$A$504,E467)=0,"BELUM ADA",INDEX('MASTER BAHAN'!$B$5:$B$504,MATCH(E467,'MASTER BAHAN'!$A$5:$A$504,0))))</f>
        <v/>
      </c>
      <c r="H467" s="0" t="str">
        <f aca="false">IF(E467="","",IF(COUNTIFS('MASTER BAHAN'!$A$5:$A$504,E467)=0,"BELUM ADA",INDEX('MASTER BAHAN'!$D$5:$D$504,MATCH(E467,'MASTER BAHAN'!$A$5:$A$504,0))))</f>
        <v/>
      </c>
      <c r="J467" s="0" t="str">
        <f aca="false">IF(A467="","",IF(OR(NOT(ISNUMBER(G467)),NOT(ISNUMBER(I467))),"BELUM LENGKAP",ROUND(G467*I467,0)))</f>
        <v/>
      </c>
      <c r="M467" s="24" t="str">
        <f aca="false">IF(A467="","",COUNTIF($A$5:A467,A467))</f>
        <v/>
      </c>
      <c r="N467" s="24" t="str">
        <f aca="false">IF(A467="","",A467&amp;"|"&amp;M467)</f>
        <v/>
      </c>
    </row>
    <row r="468" customFormat="false" ht="15" hidden="false" customHeight="false" outlineLevel="0" collapsed="false">
      <c r="F468" s="0" t="str">
        <f aca="false">IF(E468="","",IF(COUNTIFS('MASTER BAHAN'!$A$5:$A$504,E468)=0,"BELUM ADA",INDEX('MASTER BAHAN'!$B$5:$B$504,MATCH(E468,'MASTER BAHAN'!$A$5:$A$504,0))))</f>
        <v/>
      </c>
      <c r="H468" s="0" t="str">
        <f aca="false">IF(E468="","",IF(COUNTIFS('MASTER BAHAN'!$A$5:$A$504,E468)=0,"BELUM ADA",INDEX('MASTER BAHAN'!$D$5:$D$504,MATCH(E468,'MASTER BAHAN'!$A$5:$A$504,0))))</f>
        <v/>
      </c>
      <c r="J468" s="0" t="str">
        <f aca="false">IF(A468="","",IF(OR(NOT(ISNUMBER(G468)),NOT(ISNUMBER(I468))),"BELUM LENGKAP",ROUND(G468*I468,0)))</f>
        <v/>
      </c>
      <c r="M468" s="24" t="str">
        <f aca="false">IF(A468="","",COUNTIF($A$5:A468,A468))</f>
        <v/>
      </c>
      <c r="N468" s="24" t="str">
        <f aca="false">IF(A468="","",A468&amp;"|"&amp;M468)</f>
        <v/>
      </c>
    </row>
    <row r="469" customFormat="false" ht="15" hidden="false" customHeight="false" outlineLevel="0" collapsed="false">
      <c r="F469" s="0" t="str">
        <f aca="false">IF(E469="","",IF(COUNTIFS('MASTER BAHAN'!$A$5:$A$504,E469)=0,"BELUM ADA",INDEX('MASTER BAHAN'!$B$5:$B$504,MATCH(E469,'MASTER BAHAN'!$A$5:$A$504,0))))</f>
        <v/>
      </c>
      <c r="H469" s="0" t="str">
        <f aca="false">IF(E469="","",IF(COUNTIFS('MASTER BAHAN'!$A$5:$A$504,E469)=0,"BELUM ADA",INDEX('MASTER BAHAN'!$D$5:$D$504,MATCH(E469,'MASTER BAHAN'!$A$5:$A$504,0))))</f>
        <v/>
      </c>
      <c r="J469" s="0" t="str">
        <f aca="false">IF(A469="","",IF(OR(NOT(ISNUMBER(G469)),NOT(ISNUMBER(I469))),"BELUM LENGKAP",ROUND(G469*I469,0)))</f>
        <v/>
      </c>
      <c r="M469" s="24" t="str">
        <f aca="false">IF(A469="","",COUNTIF($A$5:A469,A469))</f>
        <v/>
      </c>
      <c r="N469" s="24" t="str">
        <f aca="false">IF(A469="","",A469&amp;"|"&amp;M469)</f>
        <v/>
      </c>
    </row>
    <row r="470" customFormat="false" ht="15" hidden="false" customHeight="false" outlineLevel="0" collapsed="false">
      <c r="F470" s="0" t="str">
        <f aca="false">IF(E470="","",IF(COUNTIFS('MASTER BAHAN'!$A$5:$A$504,E470)=0,"BELUM ADA",INDEX('MASTER BAHAN'!$B$5:$B$504,MATCH(E470,'MASTER BAHAN'!$A$5:$A$504,0))))</f>
        <v/>
      </c>
      <c r="H470" s="0" t="str">
        <f aca="false">IF(E470="","",IF(COUNTIFS('MASTER BAHAN'!$A$5:$A$504,E470)=0,"BELUM ADA",INDEX('MASTER BAHAN'!$D$5:$D$504,MATCH(E470,'MASTER BAHAN'!$A$5:$A$504,0))))</f>
        <v/>
      </c>
      <c r="J470" s="0" t="str">
        <f aca="false">IF(A470="","",IF(OR(NOT(ISNUMBER(G470)),NOT(ISNUMBER(I470))),"BELUM LENGKAP",ROUND(G470*I470,0)))</f>
        <v/>
      </c>
      <c r="M470" s="24" t="str">
        <f aca="false">IF(A470="","",COUNTIF($A$5:A470,A470))</f>
        <v/>
      </c>
      <c r="N470" s="24" t="str">
        <f aca="false">IF(A470="","",A470&amp;"|"&amp;M470)</f>
        <v/>
      </c>
    </row>
    <row r="471" customFormat="false" ht="15" hidden="false" customHeight="false" outlineLevel="0" collapsed="false">
      <c r="F471" s="0" t="str">
        <f aca="false">IF(E471="","",IF(COUNTIFS('MASTER BAHAN'!$A$5:$A$504,E471)=0,"BELUM ADA",INDEX('MASTER BAHAN'!$B$5:$B$504,MATCH(E471,'MASTER BAHAN'!$A$5:$A$504,0))))</f>
        <v/>
      </c>
      <c r="H471" s="0" t="str">
        <f aca="false">IF(E471="","",IF(COUNTIFS('MASTER BAHAN'!$A$5:$A$504,E471)=0,"BELUM ADA",INDEX('MASTER BAHAN'!$D$5:$D$504,MATCH(E471,'MASTER BAHAN'!$A$5:$A$504,0))))</f>
        <v/>
      </c>
      <c r="J471" s="0" t="str">
        <f aca="false">IF(A471="","",IF(OR(NOT(ISNUMBER(G471)),NOT(ISNUMBER(I471))),"BELUM LENGKAP",ROUND(G471*I471,0)))</f>
        <v/>
      </c>
      <c r="M471" s="24" t="str">
        <f aca="false">IF(A471="","",COUNTIF($A$5:A471,A471))</f>
        <v/>
      </c>
      <c r="N471" s="24" t="str">
        <f aca="false">IF(A471="","",A471&amp;"|"&amp;M471)</f>
        <v/>
      </c>
    </row>
    <row r="472" customFormat="false" ht="15" hidden="false" customHeight="false" outlineLevel="0" collapsed="false">
      <c r="F472" s="0" t="str">
        <f aca="false">IF(E472="","",IF(COUNTIFS('MASTER BAHAN'!$A$5:$A$504,E472)=0,"BELUM ADA",INDEX('MASTER BAHAN'!$B$5:$B$504,MATCH(E472,'MASTER BAHAN'!$A$5:$A$504,0))))</f>
        <v/>
      </c>
      <c r="H472" s="0" t="str">
        <f aca="false">IF(E472="","",IF(COUNTIFS('MASTER BAHAN'!$A$5:$A$504,E472)=0,"BELUM ADA",INDEX('MASTER BAHAN'!$D$5:$D$504,MATCH(E472,'MASTER BAHAN'!$A$5:$A$504,0))))</f>
        <v/>
      </c>
      <c r="J472" s="0" t="str">
        <f aca="false">IF(A472="","",IF(OR(NOT(ISNUMBER(G472)),NOT(ISNUMBER(I472))),"BELUM LENGKAP",ROUND(G472*I472,0)))</f>
        <v/>
      </c>
      <c r="M472" s="24" t="str">
        <f aca="false">IF(A472="","",COUNTIF($A$5:A472,A472))</f>
        <v/>
      </c>
      <c r="N472" s="24" t="str">
        <f aca="false">IF(A472="","",A472&amp;"|"&amp;M472)</f>
        <v/>
      </c>
    </row>
    <row r="473" customFormat="false" ht="15" hidden="false" customHeight="false" outlineLevel="0" collapsed="false">
      <c r="F473" s="0" t="str">
        <f aca="false">IF(E473="","",IF(COUNTIFS('MASTER BAHAN'!$A$5:$A$504,E473)=0,"BELUM ADA",INDEX('MASTER BAHAN'!$B$5:$B$504,MATCH(E473,'MASTER BAHAN'!$A$5:$A$504,0))))</f>
        <v/>
      </c>
      <c r="H473" s="0" t="str">
        <f aca="false">IF(E473="","",IF(COUNTIFS('MASTER BAHAN'!$A$5:$A$504,E473)=0,"BELUM ADA",INDEX('MASTER BAHAN'!$D$5:$D$504,MATCH(E473,'MASTER BAHAN'!$A$5:$A$504,0))))</f>
        <v/>
      </c>
      <c r="J473" s="0" t="str">
        <f aca="false">IF(A473="","",IF(OR(NOT(ISNUMBER(G473)),NOT(ISNUMBER(I473))),"BELUM LENGKAP",ROUND(G473*I473,0)))</f>
        <v/>
      </c>
      <c r="M473" s="24" t="str">
        <f aca="false">IF(A473="","",COUNTIF($A$5:A473,A473))</f>
        <v/>
      </c>
      <c r="N473" s="24" t="str">
        <f aca="false">IF(A473="","",A473&amp;"|"&amp;M473)</f>
        <v/>
      </c>
    </row>
    <row r="474" customFormat="false" ht="15" hidden="false" customHeight="false" outlineLevel="0" collapsed="false">
      <c r="F474" s="0" t="str">
        <f aca="false">IF(E474="","",IF(COUNTIFS('MASTER BAHAN'!$A$5:$A$504,E474)=0,"BELUM ADA",INDEX('MASTER BAHAN'!$B$5:$B$504,MATCH(E474,'MASTER BAHAN'!$A$5:$A$504,0))))</f>
        <v/>
      </c>
      <c r="H474" s="0" t="str">
        <f aca="false">IF(E474="","",IF(COUNTIFS('MASTER BAHAN'!$A$5:$A$504,E474)=0,"BELUM ADA",INDEX('MASTER BAHAN'!$D$5:$D$504,MATCH(E474,'MASTER BAHAN'!$A$5:$A$504,0))))</f>
        <v/>
      </c>
      <c r="J474" s="0" t="str">
        <f aca="false">IF(A474="","",IF(OR(NOT(ISNUMBER(G474)),NOT(ISNUMBER(I474))),"BELUM LENGKAP",ROUND(G474*I474,0)))</f>
        <v/>
      </c>
      <c r="M474" s="24" t="str">
        <f aca="false">IF(A474="","",COUNTIF($A$5:A474,A474))</f>
        <v/>
      </c>
      <c r="N474" s="24" t="str">
        <f aca="false">IF(A474="","",A474&amp;"|"&amp;M474)</f>
        <v/>
      </c>
    </row>
    <row r="475" customFormat="false" ht="15" hidden="false" customHeight="false" outlineLevel="0" collapsed="false">
      <c r="F475" s="0" t="str">
        <f aca="false">IF(E475="","",IF(COUNTIFS('MASTER BAHAN'!$A$5:$A$504,E475)=0,"BELUM ADA",INDEX('MASTER BAHAN'!$B$5:$B$504,MATCH(E475,'MASTER BAHAN'!$A$5:$A$504,0))))</f>
        <v/>
      </c>
      <c r="H475" s="0" t="str">
        <f aca="false">IF(E475="","",IF(COUNTIFS('MASTER BAHAN'!$A$5:$A$504,E475)=0,"BELUM ADA",INDEX('MASTER BAHAN'!$D$5:$D$504,MATCH(E475,'MASTER BAHAN'!$A$5:$A$504,0))))</f>
        <v/>
      </c>
      <c r="J475" s="0" t="str">
        <f aca="false">IF(A475="","",IF(OR(NOT(ISNUMBER(G475)),NOT(ISNUMBER(I475))),"BELUM LENGKAP",ROUND(G475*I475,0)))</f>
        <v/>
      </c>
      <c r="M475" s="24" t="str">
        <f aca="false">IF(A475="","",COUNTIF($A$5:A475,A475))</f>
        <v/>
      </c>
      <c r="N475" s="24" t="str">
        <f aca="false">IF(A475="","",A475&amp;"|"&amp;M475)</f>
        <v/>
      </c>
    </row>
    <row r="476" customFormat="false" ht="15" hidden="false" customHeight="false" outlineLevel="0" collapsed="false">
      <c r="F476" s="0" t="str">
        <f aca="false">IF(E476="","",IF(COUNTIFS('MASTER BAHAN'!$A$5:$A$504,E476)=0,"BELUM ADA",INDEX('MASTER BAHAN'!$B$5:$B$504,MATCH(E476,'MASTER BAHAN'!$A$5:$A$504,0))))</f>
        <v/>
      </c>
      <c r="H476" s="0" t="str">
        <f aca="false">IF(E476="","",IF(COUNTIFS('MASTER BAHAN'!$A$5:$A$504,E476)=0,"BELUM ADA",INDEX('MASTER BAHAN'!$D$5:$D$504,MATCH(E476,'MASTER BAHAN'!$A$5:$A$504,0))))</f>
        <v/>
      </c>
      <c r="J476" s="0" t="str">
        <f aca="false">IF(A476="","",IF(OR(NOT(ISNUMBER(G476)),NOT(ISNUMBER(I476))),"BELUM LENGKAP",ROUND(G476*I476,0)))</f>
        <v/>
      </c>
      <c r="M476" s="24" t="str">
        <f aca="false">IF(A476="","",COUNTIF($A$5:A476,A476))</f>
        <v/>
      </c>
      <c r="N476" s="24" t="str">
        <f aca="false">IF(A476="","",A476&amp;"|"&amp;M476)</f>
        <v/>
      </c>
    </row>
    <row r="477" customFormat="false" ht="15" hidden="false" customHeight="false" outlineLevel="0" collapsed="false">
      <c r="F477" s="0" t="str">
        <f aca="false">IF(E477="","",IF(COUNTIFS('MASTER BAHAN'!$A$5:$A$504,E477)=0,"BELUM ADA",INDEX('MASTER BAHAN'!$B$5:$B$504,MATCH(E477,'MASTER BAHAN'!$A$5:$A$504,0))))</f>
        <v/>
      </c>
      <c r="H477" s="0" t="str">
        <f aca="false">IF(E477="","",IF(COUNTIFS('MASTER BAHAN'!$A$5:$A$504,E477)=0,"BELUM ADA",INDEX('MASTER BAHAN'!$D$5:$D$504,MATCH(E477,'MASTER BAHAN'!$A$5:$A$504,0))))</f>
        <v/>
      </c>
      <c r="J477" s="0" t="str">
        <f aca="false">IF(A477="","",IF(OR(NOT(ISNUMBER(G477)),NOT(ISNUMBER(I477))),"BELUM LENGKAP",ROUND(G477*I477,0)))</f>
        <v/>
      </c>
      <c r="M477" s="24" t="str">
        <f aca="false">IF(A477="","",COUNTIF($A$5:A477,A477))</f>
        <v/>
      </c>
      <c r="N477" s="24" t="str">
        <f aca="false">IF(A477="","",A477&amp;"|"&amp;M477)</f>
        <v/>
      </c>
    </row>
    <row r="478" customFormat="false" ht="15" hidden="false" customHeight="false" outlineLevel="0" collapsed="false">
      <c r="F478" s="0" t="str">
        <f aca="false">IF(E478="","",IF(COUNTIFS('MASTER BAHAN'!$A$5:$A$504,E478)=0,"BELUM ADA",INDEX('MASTER BAHAN'!$B$5:$B$504,MATCH(E478,'MASTER BAHAN'!$A$5:$A$504,0))))</f>
        <v/>
      </c>
      <c r="H478" s="0" t="str">
        <f aca="false">IF(E478="","",IF(COUNTIFS('MASTER BAHAN'!$A$5:$A$504,E478)=0,"BELUM ADA",INDEX('MASTER BAHAN'!$D$5:$D$504,MATCH(E478,'MASTER BAHAN'!$A$5:$A$504,0))))</f>
        <v/>
      </c>
      <c r="J478" s="0" t="str">
        <f aca="false">IF(A478="","",IF(OR(NOT(ISNUMBER(G478)),NOT(ISNUMBER(I478))),"BELUM LENGKAP",ROUND(G478*I478,0)))</f>
        <v/>
      </c>
      <c r="M478" s="24" t="str">
        <f aca="false">IF(A478="","",COUNTIF($A$5:A478,A478))</f>
        <v/>
      </c>
      <c r="N478" s="24" t="str">
        <f aca="false">IF(A478="","",A478&amp;"|"&amp;M478)</f>
        <v/>
      </c>
    </row>
    <row r="479" customFormat="false" ht="15" hidden="false" customHeight="false" outlineLevel="0" collapsed="false">
      <c r="F479" s="0" t="str">
        <f aca="false">IF(E479="","",IF(COUNTIFS('MASTER BAHAN'!$A$5:$A$504,E479)=0,"BELUM ADA",INDEX('MASTER BAHAN'!$B$5:$B$504,MATCH(E479,'MASTER BAHAN'!$A$5:$A$504,0))))</f>
        <v/>
      </c>
      <c r="H479" s="0" t="str">
        <f aca="false">IF(E479="","",IF(COUNTIFS('MASTER BAHAN'!$A$5:$A$504,E479)=0,"BELUM ADA",INDEX('MASTER BAHAN'!$D$5:$D$504,MATCH(E479,'MASTER BAHAN'!$A$5:$A$504,0))))</f>
        <v/>
      </c>
      <c r="J479" s="0" t="str">
        <f aca="false">IF(A479="","",IF(OR(NOT(ISNUMBER(G479)),NOT(ISNUMBER(I479))),"BELUM LENGKAP",ROUND(G479*I479,0)))</f>
        <v/>
      </c>
      <c r="M479" s="24" t="str">
        <f aca="false">IF(A479="","",COUNTIF($A$5:A479,A479))</f>
        <v/>
      </c>
      <c r="N479" s="24" t="str">
        <f aca="false">IF(A479="","",A479&amp;"|"&amp;M479)</f>
        <v/>
      </c>
    </row>
    <row r="480" customFormat="false" ht="15" hidden="false" customHeight="false" outlineLevel="0" collapsed="false">
      <c r="F480" s="0" t="str">
        <f aca="false">IF(E480="","",IF(COUNTIFS('MASTER BAHAN'!$A$5:$A$504,E480)=0,"BELUM ADA",INDEX('MASTER BAHAN'!$B$5:$B$504,MATCH(E480,'MASTER BAHAN'!$A$5:$A$504,0))))</f>
        <v/>
      </c>
      <c r="H480" s="0" t="str">
        <f aca="false">IF(E480="","",IF(COUNTIFS('MASTER BAHAN'!$A$5:$A$504,E480)=0,"BELUM ADA",INDEX('MASTER BAHAN'!$D$5:$D$504,MATCH(E480,'MASTER BAHAN'!$A$5:$A$504,0))))</f>
        <v/>
      </c>
      <c r="J480" s="0" t="str">
        <f aca="false">IF(A480="","",IF(OR(NOT(ISNUMBER(G480)),NOT(ISNUMBER(I480))),"BELUM LENGKAP",ROUND(G480*I480,0)))</f>
        <v/>
      </c>
      <c r="M480" s="24" t="str">
        <f aca="false">IF(A480="","",COUNTIF($A$5:A480,A480))</f>
        <v/>
      </c>
      <c r="N480" s="24" t="str">
        <f aca="false">IF(A480="","",A480&amp;"|"&amp;M480)</f>
        <v/>
      </c>
    </row>
    <row r="481" customFormat="false" ht="15" hidden="false" customHeight="false" outlineLevel="0" collapsed="false">
      <c r="F481" s="0" t="str">
        <f aca="false">IF(E481="","",IF(COUNTIFS('MASTER BAHAN'!$A$5:$A$504,E481)=0,"BELUM ADA",INDEX('MASTER BAHAN'!$B$5:$B$504,MATCH(E481,'MASTER BAHAN'!$A$5:$A$504,0))))</f>
        <v/>
      </c>
      <c r="H481" s="0" t="str">
        <f aca="false">IF(E481="","",IF(COUNTIFS('MASTER BAHAN'!$A$5:$A$504,E481)=0,"BELUM ADA",INDEX('MASTER BAHAN'!$D$5:$D$504,MATCH(E481,'MASTER BAHAN'!$A$5:$A$504,0))))</f>
        <v/>
      </c>
      <c r="J481" s="0" t="str">
        <f aca="false">IF(A481="","",IF(OR(NOT(ISNUMBER(G481)),NOT(ISNUMBER(I481))),"BELUM LENGKAP",ROUND(G481*I481,0)))</f>
        <v/>
      </c>
      <c r="M481" s="24" t="str">
        <f aca="false">IF(A481="","",COUNTIF($A$5:A481,A481))</f>
        <v/>
      </c>
      <c r="N481" s="24" t="str">
        <f aca="false">IF(A481="","",A481&amp;"|"&amp;M481)</f>
        <v/>
      </c>
    </row>
    <row r="482" customFormat="false" ht="15" hidden="false" customHeight="false" outlineLevel="0" collapsed="false">
      <c r="F482" s="0" t="str">
        <f aca="false">IF(E482="","",IF(COUNTIFS('MASTER BAHAN'!$A$5:$A$504,E482)=0,"BELUM ADA",INDEX('MASTER BAHAN'!$B$5:$B$504,MATCH(E482,'MASTER BAHAN'!$A$5:$A$504,0))))</f>
        <v/>
      </c>
      <c r="H482" s="0" t="str">
        <f aca="false">IF(E482="","",IF(COUNTIFS('MASTER BAHAN'!$A$5:$A$504,E482)=0,"BELUM ADA",INDEX('MASTER BAHAN'!$D$5:$D$504,MATCH(E482,'MASTER BAHAN'!$A$5:$A$504,0))))</f>
        <v/>
      </c>
      <c r="J482" s="0" t="str">
        <f aca="false">IF(A482="","",IF(OR(NOT(ISNUMBER(G482)),NOT(ISNUMBER(I482))),"BELUM LENGKAP",ROUND(G482*I482,0)))</f>
        <v/>
      </c>
      <c r="M482" s="24" t="str">
        <f aca="false">IF(A482="","",COUNTIF($A$5:A482,A482))</f>
        <v/>
      </c>
      <c r="N482" s="24" t="str">
        <f aca="false">IF(A482="","",A482&amp;"|"&amp;M482)</f>
        <v/>
      </c>
    </row>
    <row r="483" customFormat="false" ht="15" hidden="false" customHeight="false" outlineLevel="0" collapsed="false">
      <c r="F483" s="0" t="str">
        <f aca="false">IF(E483="","",IF(COUNTIFS('MASTER BAHAN'!$A$5:$A$504,E483)=0,"BELUM ADA",INDEX('MASTER BAHAN'!$B$5:$B$504,MATCH(E483,'MASTER BAHAN'!$A$5:$A$504,0))))</f>
        <v/>
      </c>
      <c r="H483" s="0" t="str">
        <f aca="false">IF(E483="","",IF(COUNTIFS('MASTER BAHAN'!$A$5:$A$504,E483)=0,"BELUM ADA",INDEX('MASTER BAHAN'!$D$5:$D$504,MATCH(E483,'MASTER BAHAN'!$A$5:$A$504,0))))</f>
        <v/>
      </c>
      <c r="J483" s="0" t="str">
        <f aca="false">IF(A483="","",IF(OR(NOT(ISNUMBER(G483)),NOT(ISNUMBER(I483))),"BELUM LENGKAP",ROUND(G483*I483,0)))</f>
        <v/>
      </c>
      <c r="M483" s="24" t="str">
        <f aca="false">IF(A483="","",COUNTIF($A$5:A483,A483))</f>
        <v/>
      </c>
      <c r="N483" s="24" t="str">
        <f aca="false">IF(A483="","",A483&amp;"|"&amp;M483)</f>
        <v/>
      </c>
    </row>
    <row r="484" customFormat="false" ht="15" hidden="false" customHeight="false" outlineLevel="0" collapsed="false">
      <c r="F484" s="0" t="str">
        <f aca="false">IF(E484="","",IF(COUNTIFS('MASTER BAHAN'!$A$5:$A$504,E484)=0,"BELUM ADA",INDEX('MASTER BAHAN'!$B$5:$B$504,MATCH(E484,'MASTER BAHAN'!$A$5:$A$504,0))))</f>
        <v/>
      </c>
      <c r="H484" s="0" t="str">
        <f aca="false">IF(E484="","",IF(COUNTIFS('MASTER BAHAN'!$A$5:$A$504,E484)=0,"BELUM ADA",INDEX('MASTER BAHAN'!$D$5:$D$504,MATCH(E484,'MASTER BAHAN'!$A$5:$A$504,0))))</f>
        <v/>
      </c>
      <c r="J484" s="0" t="str">
        <f aca="false">IF(A484="","",IF(OR(NOT(ISNUMBER(G484)),NOT(ISNUMBER(I484))),"BELUM LENGKAP",ROUND(G484*I484,0)))</f>
        <v/>
      </c>
      <c r="M484" s="24" t="str">
        <f aca="false">IF(A484="","",COUNTIF($A$5:A484,A484))</f>
        <v/>
      </c>
      <c r="N484" s="24" t="str">
        <f aca="false">IF(A484="","",A484&amp;"|"&amp;M484)</f>
        <v/>
      </c>
    </row>
    <row r="485" customFormat="false" ht="15" hidden="false" customHeight="false" outlineLevel="0" collapsed="false">
      <c r="F485" s="0" t="str">
        <f aca="false">IF(E485="","",IF(COUNTIFS('MASTER BAHAN'!$A$5:$A$504,E485)=0,"BELUM ADA",INDEX('MASTER BAHAN'!$B$5:$B$504,MATCH(E485,'MASTER BAHAN'!$A$5:$A$504,0))))</f>
        <v/>
      </c>
      <c r="H485" s="0" t="str">
        <f aca="false">IF(E485="","",IF(COUNTIFS('MASTER BAHAN'!$A$5:$A$504,E485)=0,"BELUM ADA",INDEX('MASTER BAHAN'!$D$5:$D$504,MATCH(E485,'MASTER BAHAN'!$A$5:$A$504,0))))</f>
        <v/>
      </c>
      <c r="J485" s="0" t="str">
        <f aca="false">IF(A485="","",IF(OR(NOT(ISNUMBER(G485)),NOT(ISNUMBER(I485))),"BELUM LENGKAP",ROUND(G485*I485,0)))</f>
        <v/>
      </c>
      <c r="M485" s="24" t="str">
        <f aca="false">IF(A485="","",COUNTIF($A$5:A485,A485))</f>
        <v/>
      </c>
      <c r="N485" s="24" t="str">
        <f aca="false">IF(A485="","",A485&amp;"|"&amp;M485)</f>
        <v/>
      </c>
    </row>
    <row r="486" customFormat="false" ht="15" hidden="false" customHeight="false" outlineLevel="0" collapsed="false">
      <c r="F486" s="0" t="str">
        <f aca="false">IF(E486="","",IF(COUNTIFS('MASTER BAHAN'!$A$5:$A$504,E486)=0,"BELUM ADA",INDEX('MASTER BAHAN'!$B$5:$B$504,MATCH(E486,'MASTER BAHAN'!$A$5:$A$504,0))))</f>
        <v/>
      </c>
      <c r="H486" s="0" t="str">
        <f aca="false">IF(E486="","",IF(COUNTIFS('MASTER BAHAN'!$A$5:$A$504,E486)=0,"BELUM ADA",INDEX('MASTER BAHAN'!$D$5:$D$504,MATCH(E486,'MASTER BAHAN'!$A$5:$A$504,0))))</f>
        <v/>
      </c>
      <c r="J486" s="0" t="str">
        <f aca="false">IF(A486="","",IF(OR(NOT(ISNUMBER(G486)),NOT(ISNUMBER(I486))),"BELUM LENGKAP",ROUND(G486*I486,0)))</f>
        <v/>
      </c>
      <c r="M486" s="24" t="str">
        <f aca="false">IF(A486="","",COUNTIF($A$5:A486,A486))</f>
        <v/>
      </c>
      <c r="N486" s="24" t="str">
        <f aca="false">IF(A486="","",A486&amp;"|"&amp;M486)</f>
        <v/>
      </c>
    </row>
    <row r="487" customFormat="false" ht="15" hidden="false" customHeight="false" outlineLevel="0" collapsed="false">
      <c r="F487" s="0" t="str">
        <f aca="false">IF(E487="","",IF(COUNTIFS('MASTER BAHAN'!$A$5:$A$504,E487)=0,"BELUM ADA",INDEX('MASTER BAHAN'!$B$5:$B$504,MATCH(E487,'MASTER BAHAN'!$A$5:$A$504,0))))</f>
        <v/>
      </c>
      <c r="H487" s="0" t="str">
        <f aca="false">IF(E487="","",IF(COUNTIFS('MASTER BAHAN'!$A$5:$A$504,E487)=0,"BELUM ADA",INDEX('MASTER BAHAN'!$D$5:$D$504,MATCH(E487,'MASTER BAHAN'!$A$5:$A$504,0))))</f>
        <v/>
      </c>
      <c r="J487" s="0" t="str">
        <f aca="false">IF(A487="","",IF(OR(NOT(ISNUMBER(G487)),NOT(ISNUMBER(I487))),"BELUM LENGKAP",ROUND(G487*I487,0)))</f>
        <v/>
      </c>
      <c r="M487" s="24" t="str">
        <f aca="false">IF(A487="","",COUNTIF($A$5:A487,A487))</f>
        <v/>
      </c>
      <c r="N487" s="24" t="str">
        <f aca="false">IF(A487="","",A487&amp;"|"&amp;M487)</f>
        <v/>
      </c>
    </row>
    <row r="488" customFormat="false" ht="15" hidden="false" customHeight="false" outlineLevel="0" collapsed="false">
      <c r="F488" s="0" t="str">
        <f aca="false">IF(E488="","",IF(COUNTIFS('MASTER BAHAN'!$A$5:$A$504,E488)=0,"BELUM ADA",INDEX('MASTER BAHAN'!$B$5:$B$504,MATCH(E488,'MASTER BAHAN'!$A$5:$A$504,0))))</f>
        <v/>
      </c>
      <c r="H488" s="0" t="str">
        <f aca="false">IF(E488="","",IF(COUNTIFS('MASTER BAHAN'!$A$5:$A$504,E488)=0,"BELUM ADA",INDEX('MASTER BAHAN'!$D$5:$D$504,MATCH(E488,'MASTER BAHAN'!$A$5:$A$504,0))))</f>
        <v/>
      </c>
      <c r="J488" s="0" t="str">
        <f aca="false">IF(A488="","",IF(OR(NOT(ISNUMBER(G488)),NOT(ISNUMBER(I488))),"BELUM LENGKAP",ROUND(G488*I488,0)))</f>
        <v/>
      </c>
      <c r="M488" s="24" t="str">
        <f aca="false">IF(A488="","",COUNTIF($A$5:A488,A488))</f>
        <v/>
      </c>
      <c r="N488" s="24" t="str">
        <f aca="false">IF(A488="","",A488&amp;"|"&amp;M488)</f>
        <v/>
      </c>
    </row>
    <row r="489" customFormat="false" ht="15" hidden="false" customHeight="false" outlineLevel="0" collapsed="false">
      <c r="F489" s="0" t="str">
        <f aca="false">IF(E489="","",IF(COUNTIFS('MASTER BAHAN'!$A$5:$A$504,E489)=0,"BELUM ADA",INDEX('MASTER BAHAN'!$B$5:$B$504,MATCH(E489,'MASTER BAHAN'!$A$5:$A$504,0))))</f>
        <v/>
      </c>
      <c r="H489" s="0" t="str">
        <f aca="false">IF(E489="","",IF(COUNTIFS('MASTER BAHAN'!$A$5:$A$504,E489)=0,"BELUM ADA",INDEX('MASTER BAHAN'!$D$5:$D$504,MATCH(E489,'MASTER BAHAN'!$A$5:$A$504,0))))</f>
        <v/>
      </c>
      <c r="J489" s="0" t="str">
        <f aca="false">IF(A489="","",IF(OR(NOT(ISNUMBER(G489)),NOT(ISNUMBER(I489))),"BELUM LENGKAP",ROUND(G489*I489,0)))</f>
        <v/>
      </c>
      <c r="M489" s="24" t="str">
        <f aca="false">IF(A489="","",COUNTIF($A$5:A489,A489))</f>
        <v/>
      </c>
      <c r="N489" s="24" t="str">
        <f aca="false">IF(A489="","",A489&amp;"|"&amp;M489)</f>
        <v/>
      </c>
    </row>
    <row r="490" customFormat="false" ht="15" hidden="false" customHeight="false" outlineLevel="0" collapsed="false">
      <c r="F490" s="0" t="str">
        <f aca="false">IF(E490="","",IF(COUNTIFS('MASTER BAHAN'!$A$5:$A$504,E490)=0,"BELUM ADA",INDEX('MASTER BAHAN'!$B$5:$B$504,MATCH(E490,'MASTER BAHAN'!$A$5:$A$504,0))))</f>
        <v/>
      </c>
      <c r="H490" s="0" t="str">
        <f aca="false">IF(E490="","",IF(COUNTIFS('MASTER BAHAN'!$A$5:$A$504,E490)=0,"BELUM ADA",INDEX('MASTER BAHAN'!$D$5:$D$504,MATCH(E490,'MASTER BAHAN'!$A$5:$A$504,0))))</f>
        <v/>
      </c>
      <c r="J490" s="0" t="str">
        <f aca="false">IF(A490="","",IF(OR(NOT(ISNUMBER(G490)),NOT(ISNUMBER(I490))),"BELUM LENGKAP",ROUND(G490*I490,0)))</f>
        <v/>
      </c>
      <c r="M490" s="24" t="str">
        <f aca="false">IF(A490="","",COUNTIF($A$5:A490,A490))</f>
        <v/>
      </c>
      <c r="N490" s="24" t="str">
        <f aca="false">IF(A490="","",A490&amp;"|"&amp;M490)</f>
        <v/>
      </c>
    </row>
    <row r="491" customFormat="false" ht="15" hidden="false" customHeight="false" outlineLevel="0" collapsed="false">
      <c r="F491" s="0" t="str">
        <f aca="false">IF(E491="","",IF(COUNTIFS('MASTER BAHAN'!$A$5:$A$504,E491)=0,"BELUM ADA",INDEX('MASTER BAHAN'!$B$5:$B$504,MATCH(E491,'MASTER BAHAN'!$A$5:$A$504,0))))</f>
        <v/>
      </c>
      <c r="H491" s="0" t="str">
        <f aca="false">IF(E491="","",IF(COUNTIFS('MASTER BAHAN'!$A$5:$A$504,E491)=0,"BELUM ADA",INDEX('MASTER BAHAN'!$D$5:$D$504,MATCH(E491,'MASTER BAHAN'!$A$5:$A$504,0))))</f>
        <v/>
      </c>
      <c r="J491" s="0" t="str">
        <f aca="false">IF(A491="","",IF(OR(NOT(ISNUMBER(G491)),NOT(ISNUMBER(I491))),"BELUM LENGKAP",ROUND(G491*I491,0)))</f>
        <v/>
      </c>
      <c r="M491" s="24" t="str">
        <f aca="false">IF(A491="","",COUNTIF($A$5:A491,A491))</f>
        <v/>
      </c>
      <c r="N491" s="24" t="str">
        <f aca="false">IF(A491="","",A491&amp;"|"&amp;M491)</f>
        <v/>
      </c>
    </row>
    <row r="492" customFormat="false" ht="15" hidden="false" customHeight="false" outlineLevel="0" collapsed="false">
      <c r="F492" s="0" t="str">
        <f aca="false">IF(E492="","",IF(COUNTIFS('MASTER BAHAN'!$A$5:$A$504,E492)=0,"BELUM ADA",INDEX('MASTER BAHAN'!$B$5:$B$504,MATCH(E492,'MASTER BAHAN'!$A$5:$A$504,0))))</f>
        <v/>
      </c>
      <c r="H492" s="0" t="str">
        <f aca="false">IF(E492="","",IF(COUNTIFS('MASTER BAHAN'!$A$5:$A$504,E492)=0,"BELUM ADA",INDEX('MASTER BAHAN'!$D$5:$D$504,MATCH(E492,'MASTER BAHAN'!$A$5:$A$504,0))))</f>
        <v/>
      </c>
      <c r="J492" s="0" t="str">
        <f aca="false">IF(A492="","",IF(OR(NOT(ISNUMBER(G492)),NOT(ISNUMBER(I492))),"BELUM LENGKAP",ROUND(G492*I492,0)))</f>
        <v/>
      </c>
      <c r="M492" s="24" t="str">
        <f aca="false">IF(A492="","",COUNTIF($A$5:A492,A492))</f>
        <v/>
      </c>
      <c r="N492" s="24" t="str">
        <f aca="false">IF(A492="","",A492&amp;"|"&amp;M492)</f>
        <v/>
      </c>
    </row>
    <row r="493" customFormat="false" ht="15" hidden="false" customHeight="false" outlineLevel="0" collapsed="false">
      <c r="F493" s="0" t="str">
        <f aca="false">IF(E493="","",IF(COUNTIFS('MASTER BAHAN'!$A$5:$A$504,E493)=0,"BELUM ADA",INDEX('MASTER BAHAN'!$B$5:$B$504,MATCH(E493,'MASTER BAHAN'!$A$5:$A$504,0))))</f>
        <v/>
      </c>
      <c r="H493" s="0" t="str">
        <f aca="false">IF(E493="","",IF(COUNTIFS('MASTER BAHAN'!$A$5:$A$504,E493)=0,"BELUM ADA",INDEX('MASTER BAHAN'!$D$5:$D$504,MATCH(E493,'MASTER BAHAN'!$A$5:$A$504,0))))</f>
        <v/>
      </c>
      <c r="J493" s="0" t="str">
        <f aca="false">IF(A493="","",IF(OR(NOT(ISNUMBER(G493)),NOT(ISNUMBER(I493))),"BELUM LENGKAP",ROUND(G493*I493,0)))</f>
        <v/>
      </c>
      <c r="M493" s="24" t="str">
        <f aca="false">IF(A493="","",COUNTIF($A$5:A493,A493))</f>
        <v/>
      </c>
      <c r="N493" s="24" t="str">
        <f aca="false">IF(A493="","",A493&amp;"|"&amp;M493)</f>
        <v/>
      </c>
    </row>
    <row r="494" customFormat="false" ht="15" hidden="false" customHeight="false" outlineLevel="0" collapsed="false">
      <c r="F494" s="0" t="str">
        <f aca="false">IF(E494="","",IF(COUNTIFS('MASTER BAHAN'!$A$5:$A$504,E494)=0,"BELUM ADA",INDEX('MASTER BAHAN'!$B$5:$B$504,MATCH(E494,'MASTER BAHAN'!$A$5:$A$504,0))))</f>
        <v/>
      </c>
      <c r="H494" s="0" t="str">
        <f aca="false">IF(E494="","",IF(COUNTIFS('MASTER BAHAN'!$A$5:$A$504,E494)=0,"BELUM ADA",INDEX('MASTER BAHAN'!$D$5:$D$504,MATCH(E494,'MASTER BAHAN'!$A$5:$A$504,0))))</f>
        <v/>
      </c>
      <c r="J494" s="0" t="str">
        <f aca="false">IF(A494="","",IF(OR(NOT(ISNUMBER(G494)),NOT(ISNUMBER(I494))),"BELUM LENGKAP",ROUND(G494*I494,0)))</f>
        <v/>
      </c>
      <c r="M494" s="24" t="str">
        <f aca="false">IF(A494="","",COUNTIF($A$5:A494,A494))</f>
        <v/>
      </c>
      <c r="N494" s="24" t="str">
        <f aca="false">IF(A494="","",A494&amp;"|"&amp;M494)</f>
        <v/>
      </c>
    </row>
    <row r="495" customFormat="false" ht="15" hidden="false" customHeight="false" outlineLevel="0" collapsed="false">
      <c r="F495" s="0" t="str">
        <f aca="false">IF(E495="","",IF(COUNTIFS('MASTER BAHAN'!$A$5:$A$504,E495)=0,"BELUM ADA",INDEX('MASTER BAHAN'!$B$5:$B$504,MATCH(E495,'MASTER BAHAN'!$A$5:$A$504,0))))</f>
        <v/>
      </c>
      <c r="H495" s="0" t="str">
        <f aca="false">IF(E495="","",IF(COUNTIFS('MASTER BAHAN'!$A$5:$A$504,E495)=0,"BELUM ADA",INDEX('MASTER BAHAN'!$D$5:$D$504,MATCH(E495,'MASTER BAHAN'!$A$5:$A$504,0))))</f>
        <v/>
      </c>
      <c r="J495" s="0" t="str">
        <f aca="false">IF(A495="","",IF(OR(NOT(ISNUMBER(G495)),NOT(ISNUMBER(I495))),"BELUM LENGKAP",ROUND(G495*I495,0)))</f>
        <v/>
      </c>
      <c r="M495" s="24" t="str">
        <f aca="false">IF(A495="","",COUNTIF($A$5:A495,A495))</f>
        <v/>
      </c>
      <c r="N495" s="24" t="str">
        <f aca="false">IF(A495="","",A495&amp;"|"&amp;M495)</f>
        <v/>
      </c>
    </row>
    <row r="496" customFormat="false" ht="15" hidden="false" customHeight="false" outlineLevel="0" collapsed="false">
      <c r="F496" s="0" t="str">
        <f aca="false">IF(E496="","",IF(COUNTIFS('MASTER BAHAN'!$A$5:$A$504,E496)=0,"BELUM ADA",INDEX('MASTER BAHAN'!$B$5:$B$504,MATCH(E496,'MASTER BAHAN'!$A$5:$A$504,0))))</f>
        <v/>
      </c>
      <c r="H496" s="0" t="str">
        <f aca="false">IF(E496="","",IF(COUNTIFS('MASTER BAHAN'!$A$5:$A$504,E496)=0,"BELUM ADA",INDEX('MASTER BAHAN'!$D$5:$D$504,MATCH(E496,'MASTER BAHAN'!$A$5:$A$504,0))))</f>
        <v/>
      </c>
      <c r="J496" s="0" t="str">
        <f aca="false">IF(A496="","",IF(OR(NOT(ISNUMBER(G496)),NOT(ISNUMBER(I496))),"BELUM LENGKAP",ROUND(G496*I496,0)))</f>
        <v/>
      </c>
      <c r="M496" s="24" t="str">
        <f aca="false">IF(A496="","",COUNTIF($A$5:A496,A496))</f>
        <v/>
      </c>
      <c r="N496" s="24" t="str">
        <f aca="false">IF(A496="","",A496&amp;"|"&amp;M496)</f>
        <v/>
      </c>
    </row>
    <row r="497" customFormat="false" ht="15" hidden="false" customHeight="false" outlineLevel="0" collapsed="false">
      <c r="F497" s="0" t="str">
        <f aca="false">IF(E497="","",IF(COUNTIFS('MASTER BAHAN'!$A$5:$A$504,E497)=0,"BELUM ADA",INDEX('MASTER BAHAN'!$B$5:$B$504,MATCH(E497,'MASTER BAHAN'!$A$5:$A$504,0))))</f>
        <v/>
      </c>
      <c r="H497" s="0" t="str">
        <f aca="false">IF(E497="","",IF(COUNTIFS('MASTER BAHAN'!$A$5:$A$504,E497)=0,"BELUM ADA",INDEX('MASTER BAHAN'!$D$5:$D$504,MATCH(E497,'MASTER BAHAN'!$A$5:$A$504,0))))</f>
        <v/>
      </c>
      <c r="J497" s="0" t="str">
        <f aca="false">IF(A497="","",IF(OR(NOT(ISNUMBER(G497)),NOT(ISNUMBER(I497))),"BELUM LENGKAP",ROUND(G497*I497,0)))</f>
        <v/>
      </c>
      <c r="M497" s="24" t="str">
        <f aca="false">IF(A497="","",COUNTIF($A$5:A497,A497))</f>
        <v/>
      </c>
      <c r="N497" s="24" t="str">
        <f aca="false">IF(A497="","",A497&amp;"|"&amp;M497)</f>
        <v/>
      </c>
    </row>
    <row r="498" customFormat="false" ht="15" hidden="false" customHeight="false" outlineLevel="0" collapsed="false">
      <c r="F498" s="0" t="str">
        <f aca="false">IF(E498="","",IF(COUNTIFS('MASTER BAHAN'!$A$5:$A$504,E498)=0,"BELUM ADA",INDEX('MASTER BAHAN'!$B$5:$B$504,MATCH(E498,'MASTER BAHAN'!$A$5:$A$504,0))))</f>
        <v/>
      </c>
      <c r="H498" s="0" t="str">
        <f aca="false">IF(E498="","",IF(COUNTIFS('MASTER BAHAN'!$A$5:$A$504,E498)=0,"BELUM ADA",INDEX('MASTER BAHAN'!$D$5:$D$504,MATCH(E498,'MASTER BAHAN'!$A$5:$A$504,0))))</f>
        <v/>
      </c>
      <c r="J498" s="0" t="str">
        <f aca="false">IF(A498="","",IF(OR(NOT(ISNUMBER(G498)),NOT(ISNUMBER(I498))),"BELUM LENGKAP",ROUND(G498*I498,0)))</f>
        <v/>
      </c>
      <c r="M498" s="24" t="str">
        <f aca="false">IF(A498="","",COUNTIF($A$5:A498,A498))</f>
        <v/>
      </c>
      <c r="N498" s="24" t="str">
        <f aca="false">IF(A498="","",A498&amp;"|"&amp;M498)</f>
        <v/>
      </c>
    </row>
    <row r="499" customFormat="false" ht="15" hidden="false" customHeight="false" outlineLevel="0" collapsed="false">
      <c r="F499" s="0" t="str">
        <f aca="false">IF(E499="","",IF(COUNTIFS('MASTER BAHAN'!$A$5:$A$504,E499)=0,"BELUM ADA",INDEX('MASTER BAHAN'!$B$5:$B$504,MATCH(E499,'MASTER BAHAN'!$A$5:$A$504,0))))</f>
        <v/>
      </c>
      <c r="H499" s="0" t="str">
        <f aca="false">IF(E499="","",IF(COUNTIFS('MASTER BAHAN'!$A$5:$A$504,E499)=0,"BELUM ADA",INDEX('MASTER BAHAN'!$D$5:$D$504,MATCH(E499,'MASTER BAHAN'!$A$5:$A$504,0))))</f>
        <v/>
      </c>
      <c r="J499" s="0" t="str">
        <f aca="false">IF(A499="","",IF(OR(NOT(ISNUMBER(G499)),NOT(ISNUMBER(I499))),"BELUM LENGKAP",ROUND(G499*I499,0)))</f>
        <v/>
      </c>
      <c r="M499" s="24" t="str">
        <f aca="false">IF(A499="","",COUNTIF($A$5:A499,A499))</f>
        <v/>
      </c>
      <c r="N499" s="24" t="str">
        <f aca="false">IF(A499="","",A499&amp;"|"&amp;M499)</f>
        <v/>
      </c>
    </row>
    <row r="500" customFormat="false" ht="15" hidden="false" customHeight="false" outlineLevel="0" collapsed="false">
      <c r="F500" s="0" t="str">
        <f aca="false">IF(E500="","",IF(COUNTIFS('MASTER BAHAN'!$A$5:$A$504,E500)=0,"BELUM ADA",INDEX('MASTER BAHAN'!$B$5:$B$504,MATCH(E500,'MASTER BAHAN'!$A$5:$A$504,0))))</f>
        <v/>
      </c>
      <c r="H500" s="0" t="str">
        <f aca="false">IF(E500="","",IF(COUNTIFS('MASTER BAHAN'!$A$5:$A$504,E500)=0,"BELUM ADA",INDEX('MASTER BAHAN'!$D$5:$D$504,MATCH(E500,'MASTER BAHAN'!$A$5:$A$504,0))))</f>
        <v/>
      </c>
      <c r="J500" s="0" t="str">
        <f aca="false">IF(A500="","",IF(OR(NOT(ISNUMBER(G500)),NOT(ISNUMBER(I500))),"BELUM LENGKAP",ROUND(G500*I500,0)))</f>
        <v/>
      </c>
      <c r="M500" s="24" t="str">
        <f aca="false">IF(A500="","",COUNTIF($A$5:A500,A500))</f>
        <v/>
      </c>
      <c r="N500" s="24" t="str">
        <f aca="false">IF(A500="","",A500&amp;"|"&amp;M500)</f>
        <v/>
      </c>
    </row>
    <row r="501" customFormat="false" ht="15" hidden="false" customHeight="false" outlineLevel="0" collapsed="false">
      <c r="F501" s="0" t="str">
        <f aca="false">IF(E501="","",IF(COUNTIFS('MASTER BAHAN'!$A$5:$A$504,E501)=0,"BELUM ADA",INDEX('MASTER BAHAN'!$B$5:$B$504,MATCH(E501,'MASTER BAHAN'!$A$5:$A$504,0))))</f>
        <v/>
      </c>
      <c r="H501" s="0" t="str">
        <f aca="false">IF(E501="","",IF(COUNTIFS('MASTER BAHAN'!$A$5:$A$504,E501)=0,"BELUM ADA",INDEX('MASTER BAHAN'!$D$5:$D$504,MATCH(E501,'MASTER BAHAN'!$A$5:$A$504,0))))</f>
        <v/>
      </c>
      <c r="J501" s="0" t="str">
        <f aca="false">IF(A501="","",IF(OR(NOT(ISNUMBER(G501)),NOT(ISNUMBER(I501))),"BELUM LENGKAP",ROUND(G501*I501,0)))</f>
        <v/>
      </c>
      <c r="M501" s="24" t="str">
        <f aca="false">IF(A501="","",COUNTIF($A$5:A501,A501))</f>
        <v/>
      </c>
      <c r="N501" s="24" t="str">
        <f aca="false">IF(A501="","",A501&amp;"|"&amp;M501)</f>
        <v/>
      </c>
    </row>
    <row r="502" customFormat="false" ht="15" hidden="false" customHeight="false" outlineLevel="0" collapsed="false">
      <c r="F502" s="0" t="str">
        <f aca="false">IF(E502="","",IF(COUNTIFS('MASTER BAHAN'!$A$5:$A$504,E502)=0,"BELUM ADA",INDEX('MASTER BAHAN'!$B$5:$B$504,MATCH(E502,'MASTER BAHAN'!$A$5:$A$504,0))))</f>
        <v/>
      </c>
      <c r="H502" s="0" t="str">
        <f aca="false">IF(E502="","",IF(COUNTIFS('MASTER BAHAN'!$A$5:$A$504,E502)=0,"BELUM ADA",INDEX('MASTER BAHAN'!$D$5:$D$504,MATCH(E502,'MASTER BAHAN'!$A$5:$A$504,0))))</f>
        <v/>
      </c>
      <c r="J502" s="0" t="str">
        <f aca="false">IF(A502="","",IF(OR(NOT(ISNUMBER(G502)),NOT(ISNUMBER(I502))),"BELUM LENGKAP",ROUND(G502*I502,0)))</f>
        <v/>
      </c>
      <c r="M502" s="24" t="str">
        <f aca="false">IF(A502="","",COUNTIF($A$5:A502,A502))</f>
        <v/>
      </c>
      <c r="N502" s="24" t="str">
        <f aca="false">IF(A502="","",A502&amp;"|"&amp;M502)</f>
        <v/>
      </c>
    </row>
    <row r="503" customFormat="false" ht="15" hidden="false" customHeight="false" outlineLevel="0" collapsed="false">
      <c r="F503" s="0" t="str">
        <f aca="false">IF(E503="","",IF(COUNTIFS('MASTER BAHAN'!$A$5:$A$504,E503)=0,"BELUM ADA",INDEX('MASTER BAHAN'!$B$5:$B$504,MATCH(E503,'MASTER BAHAN'!$A$5:$A$504,0))))</f>
        <v/>
      </c>
      <c r="H503" s="0" t="str">
        <f aca="false">IF(E503="","",IF(COUNTIFS('MASTER BAHAN'!$A$5:$A$504,E503)=0,"BELUM ADA",INDEX('MASTER BAHAN'!$D$5:$D$504,MATCH(E503,'MASTER BAHAN'!$A$5:$A$504,0))))</f>
        <v/>
      </c>
      <c r="J503" s="0" t="str">
        <f aca="false">IF(A503="","",IF(OR(NOT(ISNUMBER(G503)),NOT(ISNUMBER(I503))),"BELUM LENGKAP",ROUND(G503*I503,0)))</f>
        <v/>
      </c>
      <c r="M503" s="24" t="str">
        <f aca="false">IF(A503="","",COUNTIF($A$5:A503,A503))</f>
        <v/>
      </c>
      <c r="N503" s="24" t="str">
        <f aca="false">IF(A503="","",A503&amp;"|"&amp;M503)</f>
        <v/>
      </c>
    </row>
    <row r="504" customFormat="false" ht="15" hidden="false" customHeight="false" outlineLevel="0" collapsed="false">
      <c r="F504" s="0" t="str">
        <f aca="false">IF(E504="","",IF(COUNTIFS('MASTER BAHAN'!$A$5:$A$504,E504)=0,"BELUM ADA",INDEX('MASTER BAHAN'!$B$5:$B$504,MATCH(E504,'MASTER BAHAN'!$A$5:$A$504,0))))</f>
        <v/>
      </c>
      <c r="H504" s="0" t="str">
        <f aca="false">IF(E504="","",IF(COUNTIFS('MASTER BAHAN'!$A$5:$A$504,E504)=0,"BELUM ADA",INDEX('MASTER BAHAN'!$D$5:$D$504,MATCH(E504,'MASTER BAHAN'!$A$5:$A$504,0))))</f>
        <v/>
      </c>
      <c r="J504" s="0" t="str">
        <f aca="false">IF(A504="","",IF(OR(NOT(ISNUMBER(G504)),NOT(ISNUMBER(I504))),"BELUM LENGKAP",ROUND(G504*I504,0)))</f>
        <v/>
      </c>
      <c r="M504" s="24" t="str">
        <f aca="false">IF(A504="","",COUNTIF($A$5:A504,A504))</f>
        <v/>
      </c>
      <c r="N504" s="24" t="str">
        <f aca="false">IF(A504="","",A504&amp;"|"&amp;M504)</f>
        <v/>
      </c>
    </row>
  </sheetData>
  <conditionalFormatting sqref="A5:A64">
    <cfRule type="expression" priority="2" aboveAverage="0" equalAverage="0" bottom="0" percent="0" rank="0" text="" dxfId="14">
      <formula>AND(A5&lt;&gt;"",COUNTIF($A$5:$A$64,A5)&gt;1)</formula>
    </cfRule>
  </conditionalFormatting>
  <dataValidations count="1">
    <dataValidation allowBlank="false" errorStyle="stop" operator="between" showDropDown="false" showErrorMessage="false" showInputMessage="false" sqref="E5:E504" type="list">
      <formula1>'MASTER BAHAN'!$A$5:$A$64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7"/>
    <col collapsed="false" customWidth="true" hidden="false" outlineLevel="0" max="3" min="3" style="0" width="21"/>
    <col collapsed="false" customWidth="true" hidden="false" outlineLevel="0" max="4" min="4" style="0" width="30"/>
    <col collapsed="false" customWidth="true" hidden="false" outlineLevel="0" max="7" min="5" style="0" width="18"/>
    <col collapsed="false" customWidth="true" hidden="false" outlineLevel="0" max="8" min="8" style="0" width="42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23"/>
    <col collapsed="false" customWidth="true" hidden="false" outlineLevel="0" max="12" min="12" style="0" width="26"/>
    <col collapsed="false" customWidth="true" hidden="false" outlineLevel="0" max="13" min="13" style="0" width="19"/>
  </cols>
  <sheetData>
    <row r="1" customFormat="false" ht="38" hidden="false" customHeight="true" outlineLevel="0" collapsed="false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29" hidden="false" customHeight="true" outlineLevel="0" collapsed="false">
      <c r="A2" s="9" t="s">
        <v>204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205</v>
      </c>
      <c r="B4" s="13" t="s">
        <v>174</v>
      </c>
      <c r="C4" s="13" t="s">
        <v>117</v>
      </c>
      <c r="D4" s="13" t="s">
        <v>118</v>
      </c>
      <c r="E4" s="13" t="s">
        <v>74</v>
      </c>
      <c r="F4" s="13" t="s">
        <v>176</v>
      </c>
      <c r="G4" s="13" t="s">
        <v>164</v>
      </c>
      <c r="H4" s="13" t="s">
        <v>206</v>
      </c>
      <c r="I4" s="13" t="s">
        <v>207</v>
      </c>
      <c r="J4" s="13" t="s">
        <v>178</v>
      </c>
      <c r="K4" s="13" t="s">
        <v>208</v>
      </c>
      <c r="L4" s="13" t="s">
        <v>209</v>
      </c>
      <c r="M4" s="13" t="s">
        <v>210</v>
      </c>
    </row>
    <row r="5" customFormat="false" ht="27" hidden="false" customHeight="true" outlineLevel="0" collapsed="false">
      <c r="A5" s="14" t="s">
        <v>211</v>
      </c>
      <c r="B5" s="22" t="n">
        <v>46325.4583333333</v>
      </c>
      <c r="C5" s="14" t="s">
        <v>128</v>
      </c>
      <c r="D5" s="18" t="str">
        <f aca="false">IF(C5="","",IF(COUNTIFS('MASTER BAHAN'!$A$5:$A$504,C5)=0,"BELUM ADA",INDEX('MASTER BAHAN'!$B$5:$B$504,MATCH(C5,'MASTER BAHAN'!$A$5:$A$504,0))))</f>
        <v>Biji kopi</v>
      </c>
      <c r="E5" s="14" t="s">
        <v>212</v>
      </c>
      <c r="F5" s="14" t="n">
        <v>10</v>
      </c>
      <c r="G5" s="18" t="str">
        <f aca="false">IF(C5="","",IF(COUNTIFS('MASTER BAHAN'!$A$5:$A$504,C5)=0,"BELUM ADA",INDEX('MASTER BAHAN'!$D$5:$D$504,MATCH(C5,'MASTER BAHAN'!$A$5:$A$504,0))))</f>
        <v>gram</v>
      </c>
      <c r="H5" s="14" t="s">
        <v>213</v>
      </c>
      <c r="I5" s="14" t="s">
        <v>214</v>
      </c>
      <c r="J5" s="14" t="s">
        <v>183</v>
      </c>
      <c r="K5" s="14" t="s">
        <v>215</v>
      </c>
      <c r="L5" s="23"/>
      <c r="M5" s="19" t="n">
        <f aca="false">IF(A5="","",IF(E5&lt;&gt;"Waste",0,IF(NOT(ISNUMBER(L5)),"ISI BIAYA WASTE",IF(K5="Disetujui",ROUND(F5*L5,0),0))))</f>
        <v>0</v>
      </c>
    </row>
    <row r="6" customFormat="false" ht="27" hidden="false" customHeight="true" outlineLevel="0" collapsed="false">
      <c r="A6" s="14" t="s">
        <v>216</v>
      </c>
      <c r="B6" s="22" t="n">
        <v>46325.4583333333</v>
      </c>
      <c r="C6" s="14" t="s">
        <v>132</v>
      </c>
      <c r="D6" s="18" t="str">
        <f aca="false">IF(C6="","",IF(COUNTIFS('MASTER BAHAN'!$A$5:$A$504,C6)=0,"BELUM ADA",INDEX('MASTER BAHAN'!$B$5:$B$504,MATCH(C6,'MASTER BAHAN'!$A$5:$A$504,0))))</f>
        <v>Susu UHT</v>
      </c>
      <c r="E6" s="14" t="s">
        <v>217</v>
      </c>
      <c r="F6" s="14" t="n">
        <v>20</v>
      </c>
      <c r="G6" s="18" t="str">
        <f aca="false">IF(C6="","",IF(COUNTIFS('MASTER BAHAN'!$A$5:$A$504,C6)=0,"BELUM ADA",INDEX('MASTER BAHAN'!$D$5:$D$504,MATCH(C6,'MASTER BAHAN'!$A$5:$A$504,0))))</f>
        <v>ml</v>
      </c>
      <c r="H6" s="14" t="s">
        <v>218</v>
      </c>
      <c r="I6" s="14"/>
      <c r="J6" s="14" t="s">
        <v>183</v>
      </c>
      <c r="K6" s="14" t="s">
        <v>215</v>
      </c>
      <c r="L6" s="23" t="n">
        <v>24</v>
      </c>
      <c r="M6" s="19" t="n">
        <f aca="false">IF(A6="","",IF(E6&lt;&gt;"Waste",0,IF(NOT(ISNUMBER(L6)),"ISI BIAYA WASTE",IF(K6="Disetujui",ROUND(F6*L6,0),0))))</f>
        <v>480</v>
      </c>
    </row>
    <row r="7" customFormat="false" ht="27" hidden="false" customHeight="true" outlineLevel="0" collapsed="false">
      <c r="A7" s="14" t="s">
        <v>219</v>
      </c>
      <c r="B7" s="22" t="n">
        <v>46325.4583333333</v>
      </c>
      <c r="C7" s="14" t="s">
        <v>136</v>
      </c>
      <c r="D7" s="18" t="str">
        <f aca="false">IF(C7="","",IF(COUNTIFS('MASTER BAHAN'!$A$5:$A$504,C7)=0,"BELUM ADA",INDEX('MASTER BAHAN'!$B$5:$B$504,MATCH(C7,'MASTER BAHAN'!$A$5:$A$504,0))))</f>
        <v>Gula aren</v>
      </c>
      <c r="E7" s="14" t="s">
        <v>212</v>
      </c>
      <c r="F7" s="14" t="n">
        <v>10</v>
      </c>
      <c r="G7" s="18" t="str">
        <f aca="false">IF(C7="","",IF(COUNTIFS('MASTER BAHAN'!$A$5:$A$504,C7)=0,"BELUM ADA",INDEX('MASTER BAHAN'!$D$5:$D$504,MATCH(C7,'MASTER BAHAN'!$A$5:$A$504,0))))</f>
        <v>ml</v>
      </c>
      <c r="H7" s="14" t="s">
        <v>213</v>
      </c>
      <c r="I7" s="14" t="s">
        <v>220</v>
      </c>
      <c r="J7" s="14" t="s">
        <v>183</v>
      </c>
      <c r="K7" s="14" t="s">
        <v>215</v>
      </c>
      <c r="L7" s="23"/>
      <c r="M7" s="19" t="n">
        <f aca="false">IF(A7="","",IF(E7&lt;&gt;"Waste",0,IF(NOT(ISNUMBER(L7)),"ISI BIAYA WASTE",IF(K7="Disetujui",ROUND(F7*L7,0),0))))</f>
        <v>0</v>
      </c>
    </row>
    <row r="8" customFormat="false" ht="27" hidden="false" customHeight="true" outlineLevel="0" collapsed="false">
      <c r="A8" s="14" t="s">
        <v>221</v>
      </c>
      <c r="B8" s="22" t="n">
        <v>46325.4583333333</v>
      </c>
      <c r="C8" s="14" t="s">
        <v>139</v>
      </c>
      <c r="D8" s="18" t="str">
        <f aca="false">IF(C8="","",IF(COUNTIFS('MASTER BAHAN'!$A$5:$A$504,C8)=0,"BELUM ADA",INDEX('MASTER BAHAN'!$B$5:$B$504,MATCH(C8,'MASTER BAHAN'!$A$5:$A$504,0))))</f>
        <v>Air mineral</v>
      </c>
      <c r="E8" s="14" t="s">
        <v>212</v>
      </c>
      <c r="F8" s="14" t="n">
        <v>10</v>
      </c>
      <c r="G8" s="18" t="str">
        <f aca="false">IF(C8="","",IF(COUNTIFS('MASTER BAHAN'!$A$5:$A$504,C8)=0,"BELUM ADA",INDEX('MASTER BAHAN'!$D$5:$D$504,MATCH(C8,'MASTER BAHAN'!$A$5:$A$504,0))))</f>
        <v>ml</v>
      </c>
      <c r="H8" s="14" t="s">
        <v>213</v>
      </c>
      <c r="I8" s="14" t="s">
        <v>222</v>
      </c>
      <c r="J8" s="14" t="s">
        <v>183</v>
      </c>
      <c r="K8" s="14" t="s">
        <v>215</v>
      </c>
      <c r="L8" s="23"/>
      <c r="M8" s="19" t="n">
        <f aca="false">IF(A8="","",IF(E8&lt;&gt;"Waste",0,IF(NOT(ISNUMBER(L8)),"ISI BIAYA WASTE",IF(K8="Disetujui",ROUND(F8*L8,0),0))))</f>
        <v>0</v>
      </c>
    </row>
    <row r="9" customFormat="false" ht="27" hidden="false" customHeight="true" outlineLevel="0" collapsed="false">
      <c r="A9" s="14" t="s">
        <v>223</v>
      </c>
      <c r="B9" s="22" t="n">
        <v>46325.4583333333</v>
      </c>
      <c r="C9" s="14" t="s">
        <v>142</v>
      </c>
      <c r="D9" s="18" t="str">
        <f aca="false">IF(C9="","",IF(COUNTIFS('MASTER BAHAN'!$A$5:$A$504,C9)=0,"BELUM ADA",INDEX('MASTER BAHAN'!$B$5:$B$504,MATCH(C9,'MASTER BAHAN'!$A$5:$A$504,0))))</f>
        <v>Bubuk matcha</v>
      </c>
      <c r="E9" s="14" t="s">
        <v>212</v>
      </c>
      <c r="F9" s="14" t="n">
        <v>10</v>
      </c>
      <c r="G9" s="18" t="str">
        <f aca="false">IF(C9="","",IF(COUNTIFS('MASTER BAHAN'!$A$5:$A$504,C9)=0,"BELUM ADA",INDEX('MASTER BAHAN'!$D$5:$D$504,MATCH(C9,'MASTER BAHAN'!$A$5:$A$504,0))))</f>
        <v>gram</v>
      </c>
      <c r="H9" s="14" t="s">
        <v>213</v>
      </c>
      <c r="I9" s="14" t="s">
        <v>224</v>
      </c>
      <c r="J9" s="14" t="s">
        <v>183</v>
      </c>
      <c r="K9" s="14" t="s">
        <v>215</v>
      </c>
      <c r="L9" s="23"/>
      <c r="M9" s="19" t="n">
        <f aca="false">IF(A9="","",IF(E9&lt;&gt;"Waste",0,IF(NOT(ISNUMBER(L9)),"ISI BIAYA WASTE",IF(K9="Disetujui",ROUND(F9*L9,0),0))))</f>
        <v>0</v>
      </c>
    </row>
    <row r="10" customFormat="false" ht="27" hidden="false" customHeight="true" outlineLevel="0" collapsed="false">
      <c r="A10" s="14" t="s">
        <v>225</v>
      </c>
      <c r="B10" s="22" t="n">
        <v>46325.4583333333</v>
      </c>
      <c r="C10" s="14" t="s">
        <v>145</v>
      </c>
      <c r="D10" s="18" t="str">
        <f aca="false">IF(C10="","",IF(COUNTIFS('MASTER BAHAN'!$A$5:$A$504,C10)=0,"BELUM ADA",INDEX('MASTER BAHAN'!$B$5:$B$504,MATCH(C10,'MASTER BAHAN'!$A$5:$A$504,0))))</f>
        <v>Teh celup</v>
      </c>
      <c r="E10" s="14" t="s">
        <v>212</v>
      </c>
      <c r="F10" s="14" t="n">
        <v>10</v>
      </c>
      <c r="G10" s="18" t="str">
        <f aca="false">IF(C10="","",IF(COUNTIFS('MASTER BAHAN'!$A$5:$A$504,C10)=0,"BELUM ADA",INDEX('MASTER BAHAN'!$D$5:$D$504,MATCH(C10,'MASTER BAHAN'!$A$5:$A$504,0))))</f>
        <v>pcs</v>
      </c>
      <c r="H10" s="14" t="s">
        <v>213</v>
      </c>
      <c r="I10" s="14" t="s">
        <v>226</v>
      </c>
      <c r="J10" s="14" t="s">
        <v>183</v>
      </c>
      <c r="K10" s="14" t="s">
        <v>215</v>
      </c>
      <c r="L10" s="23"/>
      <c r="M10" s="19" t="n">
        <f aca="false">IF(A10="","",IF(E10&lt;&gt;"Waste",0,IF(NOT(ISNUMBER(L10)),"ISI BIAYA WASTE",IF(K10="Disetujui",ROUND(F10*L10,0),0))))</f>
        <v>0</v>
      </c>
    </row>
    <row r="11" customFormat="false" ht="27" hidden="false" customHeight="true" outlineLevel="0" collapsed="false">
      <c r="A11" s="14" t="s">
        <v>227</v>
      </c>
      <c r="B11" s="22" t="n">
        <v>46325.4583333333</v>
      </c>
      <c r="C11" s="14" t="s">
        <v>148</v>
      </c>
      <c r="D11" s="18" t="str">
        <f aca="false">IF(C11="","",IF(COUNTIFS('MASTER BAHAN'!$A$5:$A$504,C11)=0,"BELUM ADA",INDEX('MASTER BAHAN'!$B$5:$B$504,MATCH(C11,'MASTER BAHAN'!$A$5:$A$504,0))))</f>
        <v>Lemon</v>
      </c>
      <c r="E11" s="14" t="s">
        <v>212</v>
      </c>
      <c r="F11" s="14" t="n">
        <v>10</v>
      </c>
      <c r="G11" s="18" t="str">
        <f aca="false">IF(C11="","",IF(COUNTIFS('MASTER BAHAN'!$A$5:$A$504,C11)=0,"BELUM ADA",INDEX('MASTER BAHAN'!$D$5:$D$504,MATCH(C11,'MASTER BAHAN'!$A$5:$A$504,0))))</f>
        <v>gram</v>
      </c>
      <c r="H11" s="14" t="s">
        <v>213</v>
      </c>
      <c r="I11" s="14" t="s">
        <v>228</v>
      </c>
      <c r="J11" s="14" t="s">
        <v>183</v>
      </c>
      <c r="K11" s="14" t="s">
        <v>215</v>
      </c>
      <c r="L11" s="23"/>
      <c r="M11" s="19" t="n">
        <f aca="false">IF(A11="","",IF(E11&lt;&gt;"Waste",0,IF(NOT(ISNUMBER(L11)),"ISI BIAYA WASTE",IF(K11="Disetujui",ROUND(F11*L11,0),0))))</f>
        <v>0</v>
      </c>
    </row>
    <row r="12" customFormat="false" ht="27" hidden="false" customHeight="true" outlineLevel="0" collapsed="false">
      <c r="A12" s="14" t="s">
        <v>229</v>
      </c>
      <c r="B12" s="22" t="n">
        <v>46325.4583333333</v>
      </c>
      <c r="C12" s="14" t="s">
        <v>151</v>
      </c>
      <c r="D12" s="18" t="str">
        <f aca="false">IF(C12="","",IF(COUNTIFS('MASTER BAHAN'!$A$5:$A$504,C12)=0,"BELUM ADA",INDEX('MASTER BAHAN'!$B$5:$B$504,MATCH(C12,'MASTER BAHAN'!$A$5:$A$504,0))))</f>
        <v>Croissant beku</v>
      </c>
      <c r="E12" s="14" t="s">
        <v>212</v>
      </c>
      <c r="F12" s="14" t="n">
        <v>10</v>
      </c>
      <c r="G12" s="18" t="str">
        <f aca="false">IF(C12="","",IF(COUNTIFS('MASTER BAHAN'!$A$5:$A$504,C12)=0,"BELUM ADA",INDEX('MASTER BAHAN'!$D$5:$D$504,MATCH(C12,'MASTER BAHAN'!$A$5:$A$504,0))))</f>
        <v>pcs</v>
      </c>
      <c r="H12" s="14" t="s">
        <v>213</v>
      </c>
      <c r="I12" s="14" t="s">
        <v>230</v>
      </c>
      <c r="J12" s="14" t="s">
        <v>183</v>
      </c>
      <c r="K12" s="14" t="s">
        <v>215</v>
      </c>
      <c r="L12" s="23"/>
      <c r="M12" s="19" t="n">
        <f aca="false">IF(A12="","",IF(E12&lt;&gt;"Waste",0,IF(NOT(ISNUMBER(L12)),"ISI BIAYA WASTE",IF(K12="Disetujui",ROUND(F12*L12,0),0))))</f>
        <v>0</v>
      </c>
    </row>
    <row r="13" customFormat="false" ht="27" hidden="false" customHeight="true" outlineLevel="0" collapsed="false">
      <c r="A13" s="14" t="s">
        <v>231</v>
      </c>
      <c r="B13" s="22" t="n">
        <v>46325.4583333333</v>
      </c>
      <c r="C13" s="14" t="s">
        <v>153</v>
      </c>
      <c r="D13" s="18" t="str">
        <f aca="false">IF(C13="","",IF(COUNTIFS('MASTER BAHAN'!$A$5:$A$504,C13)=0,"BELUM ADA",INDEX('MASTER BAHAN'!$B$5:$B$504,MATCH(C13,'MASTER BAHAN'!$A$5:$A$504,0))))</f>
        <v>Beras</v>
      </c>
      <c r="E13" s="14" t="s">
        <v>212</v>
      </c>
      <c r="F13" s="14" t="n">
        <v>10</v>
      </c>
      <c r="G13" s="18" t="str">
        <f aca="false">IF(C13="","",IF(COUNTIFS('MASTER BAHAN'!$A$5:$A$504,C13)=0,"BELUM ADA",INDEX('MASTER BAHAN'!$D$5:$D$504,MATCH(C13,'MASTER BAHAN'!$A$5:$A$504,0))))</f>
        <v>gram</v>
      </c>
      <c r="H13" s="14" t="s">
        <v>213</v>
      </c>
      <c r="I13" s="14" t="s">
        <v>232</v>
      </c>
      <c r="J13" s="14" t="s">
        <v>183</v>
      </c>
      <c r="K13" s="14" t="s">
        <v>215</v>
      </c>
      <c r="L13" s="23"/>
      <c r="M13" s="19" t="n">
        <f aca="false">IF(A13="","",IF(E13&lt;&gt;"Waste",0,IF(NOT(ISNUMBER(L13)),"ISI BIAYA WASTE",IF(K13="Disetujui",ROUND(F13*L13,0),0))))</f>
        <v>0</v>
      </c>
    </row>
    <row r="14" customFormat="false" ht="27" hidden="false" customHeight="true" outlineLevel="0" collapsed="false">
      <c r="A14" s="14" t="s">
        <v>233</v>
      </c>
      <c r="B14" s="22" t="n">
        <v>46325.4583333333</v>
      </c>
      <c r="C14" s="14" t="s">
        <v>156</v>
      </c>
      <c r="D14" s="18" t="str">
        <f aca="false">IF(C14="","",IF(COUNTIFS('MASTER BAHAN'!$A$5:$A$504,C14)=0,"BELUM ADA",INDEX('MASTER BAHAN'!$B$5:$B$504,MATCH(C14,'MASTER BAHAN'!$A$5:$A$504,0))))</f>
        <v>Telur</v>
      </c>
      <c r="E14" s="14" t="s">
        <v>212</v>
      </c>
      <c r="F14" s="14" t="n">
        <v>10</v>
      </c>
      <c r="G14" s="18" t="str">
        <f aca="false">IF(C14="","",IF(COUNTIFS('MASTER BAHAN'!$A$5:$A$504,C14)=0,"BELUM ADA",INDEX('MASTER BAHAN'!$D$5:$D$504,MATCH(C14,'MASTER BAHAN'!$A$5:$A$504,0))))</f>
        <v>pcs</v>
      </c>
      <c r="H14" s="14" t="s">
        <v>213</v>
      </c>
      <c r="I14" s="14" t="s">
        <v>234</v>
      </c>
      <c r="J14" s="14" t="s">
        <v>183</v>
      </c>
      <c r="K14" s="14" t="s">
        <v>215</v>
      </c>
      <c r="L14" s="23"/>
      <c r="M14" s="19" t="n">
        <f aca="false">IF(A14="","",IF(E14&lt;&gt;"Waste",0,IF(NOT(ISNUMBER(L14)),"ISI BIAYA WASTE",IF(K14="Disetujui",ROUND(F14*L14,0),0))))</f>
        <v>0</v>
      </c>
    </row>
    <row r="15" customFormat="false" ht="27" hidden="false" customHeight="true" outlineLevel="0" collapsed="false">
      <c r="A15" s="14"/>
      <c r="B15" s="22"/>
      <c r="C15" s="14"/>
      <c r="D15" s="18" t="str">
        <f aca="false">IF(C15="","",IF(COUNTIFS('MASTER BAHAN'!$A$5:$A$504,C15)=0,"BELUM ADA",INDEX('MASTER BAHAN'!$B$5:$B$504,MATCH(C15,'MASTER BAHAN'!$A$5:$A$504,0))))</f>
        <v/>
      </c>
      <c r="E15" s="14"/>
      <c r="F15" s="14"/>
      <c r="G15" s="18" t="str">
        <f aca="false">IF(C15="","",IF(COUNTIFS('MASTER BAHAN'!$A$5:$A$504,C15)=0,"BELUM ADA",INDEX('MASTER BAHAN'!$D$5:$D$504,MATCH(C15,'MASTER BAHAN'!$A$5:$A$504,0))))</f>
        <v/>
      </c>
      <c r="H15" s="14"/>
      <c r="I15" s="14"/>
      <c r="J15" s="14"/>
      <c r="K15" s="14"/>
      <c r="L15" s="23"/>
      <c r="M15" s="19" t="str">
        <f aca="false">IF(A15="","",IF(E15&lt;&gt;"Waste",0,IF(NOT(ISNUMBER(L15)),"ISI BIAYA WASTE",IF(K15="Disetujui",ROUND(F15*L15,0),0))))</f>
        <v/>
      </c>
    </row>
    <row r="16" customFormat="false" ht="27" hidden="false" customHeight="true" outlineLevel="0" collapsed="false">
      <c r="A16" s="14"/>
      <c r="B16" s="22"/>
      <c r="C16" s="14"/>
      <c r="D16" s="18" t="str">
        <f aca="false">IF(C16="","",IF(COUNTIFS('MASTER BAHAN'!$A$5:$A$504,C16)=0,"BELUM ADA",INDEX('MASTER BAHAN'!$B$5:$B$504,MATCH(C16,'MASTER BAHAN'!$A$5:$A$504,0))))</f>
        <v/>
      </c>
      <c r="E16" s="14"/>
      <c r="F16" s="14"/>
      <c r="G16" s="18" t="str">
        <f aca="false">IF(C16="","",IF(COUNTIFS('MASTER BAHAN'!$A$5:$A$504,C16)=0,"BELUM ADA",INDEX('MASTER BAHAN'!$D$5:$D$504,MATCH(C16,'MASTER BAHAN'!$A$5:$A$504,0))))</f>
        <v/>
      </c>
      <c r="H16" s="14"/>
      <c r="I16" s="14"/>
      <c r="J16" s="14"/>
      <c r="K16" s="14"/>
      <c r="L16" s="23"/>
      <c r="M16" s="19" t="str">
        <f aca="false">IF(A16="","",IF(E16&lt;&gt;"Waste",0,IF(NOT(ISNUMBER(L16)),"ISI BIAYA WASTE",IF(K16="Disetujui",ROUND(F16*L16,0),0))))</f>
        <v/>
      </c>
    </row>
    <row r="17" customFormat="false" ht="27" hidden="false" customHeight="true" outlineLevel="0" collapsed="false">
      <c r="A17" s="14"/>
      <c r="B17" s="22"/>
      <c r="C17" s="14"/>
      <c r="D17" s="18" t="str">
        <f aca="false">IF(C17="","",IF(COUNTIFS('MASTER BAHAN'!$A$5:$A$504,C17)=0,"BELUM ADA",INDEX('MASTER BAHAN'!$B$5:$B$504,MATCH(C17,'MASTER BAHAN'!$A$5:$A$504,0))))</f>
        <v/>
      </c>
      <c r="E17" s="14"/>
      <c r="F17" s="14"/>
      <c r="G17" s="18" t="str">
        <f aca="false">IF(C17="","",IF(COUNTIFS('MASTER BAHAN'!$A$5:$A$504,C17)=0,"BELUM ADA",INDEX('MASTER BAHAN'!$D$5:$D$504,MATCH(C17,'MASTER BAHAN'!$A$5:$A$504,0))))</f>
        <v/>
      </c>
      <c r="H17" s="14"/>
      <c r="I17" s="14"/>
      <c r="J17" s="14"/>
      <c r="K17" s="14"/>
      <c r="L17" s="23"/>
      <c r="M17" s="19" t="str">
        <f aca="false">IF(A17="","",IF(E17&lt;&gt;"Waste",0,IF(NOT(ISNUMBER(L17)),"ISI BIAYA WASTE",IF(K17="Disetujui",ROUND(F17*L17,0),0))))</f>
        <v/>
      </c>
    </row>
    <row r="18" customFormat="false" ht="27" hidden="false" customHeight="true" outlineLevel="0" collapsed="false">
      <c r="A18" s="14"/>
      <c r="B18" s="22"/>
      <c r="C18" s="14"/>
      <c r="D18" s="18" t="str">
        <f aca="false">IF(C18="","",IF(COUNTIFS('MASTER BAHAN'!$A$5:$A$504,C18)=0,"BELUM ADA",INDEX('MASTER BAHAN'!$B$5:$B$504,MATCH(C18,'MASTER BAHAN'!$A$5:$A$504,0))))</f>
        <v/>
      </c>
      <c r="E18" s="14"/>
      <c r="F18" s="14"/>
      <c r="G18" s="18" t="str">
        <f aca="false">IF(C18="","",IF(COUNTIFS('MASTER BAHAN'!$A$5:$A$504,C18)=0,"BELUM ADA",INDEX('MASTER BAHAN'!$D$5:$D$504,MATCH(C18,'MASTER BAHAN'!$A$5:$A$504,0))))</f>
        <v/>
      </c>
      <c r="H18" s="14"/>
      <c r="I18" s="14"/>
      <c r="J18" s="14"/>
      <c r="K18" s="14"/>
      <c r="L18" s="23"/>
      <c r="M18" s="19" t="str">
        <f aca="false">IF(A18="","",IF(E18&lt;&gt;"Waste",0,IF(NOT(ISNUMBER(L18)),"ISI BIAYA WASTE",IF(K18="Disetujui",ROUND(F18*L18,0),0))))</f>
        <v/>
      </c>
    </row>
    <row r="19" customFormat="false" ht="27" hidden="false" customHeight="true" outlineLevel="0" collapsed="false">
      <c r="A19" s="14"/>
      <c r="B19" s="22"/>
      <c r="C19" s="14"/>
      <c r="D19" s="18" t="str">
        <f aca="false">IF(C19="","",IF(COUNTIFS('MASTER BAHAN'!$A$5:$A$504,C19)=0,"BELUM ADA",INDEX('MASTER BAHAN'!$B$5:$B$504,MATCH(C19,'MASTER BAHAN'!$A$5:$A$504,0))))</f>
        <v/>
      </c>
      <c r="E19" s="14"/>
      <c r="F19" s="14"/>
      <c r="G19" s="18" t="str">
        <f aca="false">IF(C19="","",IF(COUNTIFS('MASTER BAHAN'!$A$5:$A$504,C19)=0,"BELUM ADA",INDEX('MASTER BAHAN'!$D$5:$D$504,MATCH(C19,'MASTER BAHAN'!$A$5:$A$504,0))))</f>
        <v/>
      </c>
      <c r="H19" s="14"/>
      <c r="I19" s="14"/>
      <c r="J19" s="14"/>
      <c r="K19" s="14"/>
      <c r="L19" s="23"/>
      <c r="M19" s="19" t="str">
        <f aca="false">IF(A19="","",IF(E19&lt;&gt;"Waste",0,IF(NOT(ISNUMBER(L19)),"ISI BIAYA WASTE",IF(K19="Disetujui",ROUND(F19*L19,0),0))))</f>
        <v/>
      </c>
    </row>
    <row r="20" customFormat="false" ht="27" hidden="false" customHeight="true" outlineLevel="0" collapsed="false">
      <c r="A20" s="14"/>
      <c r="B20" s="22"/>
      <c r="C20" s="14"/>
      <c r="D20" s="18" t="str">
        <f aca="false">IF(C20="","",IF(COUNTIFS('MASTER BAHAN'!$A$5:$A$504,C20)=0,"BELUM ADA",INDEX('MASTER BAHAN'!$B$5:$B$504,MATCH(C20,'MASTER BAHAN'!$A$5:$A$504,0))))</f>
        <v/>
      </c>
      <c r="E20" s="14"/>
      <c r="F20" s="14"/>
      <c r="G20" s="18" t="str">
        <f aca="false">IF(C20="","",IF(COUNTIFS('MASTER BAHAN'!$A$5:$A$504,C20)=0,"BELUM ADA",INDEX('MASTER BAHAN'!$D$5:$D$504,MATCH(C20,'MASTER BAHAN'!$A$5:$A$504,0))))</f>
        <v/>
      </c>
      <c r="H20" s="14"/>
      <c r="I20" s="14"/>
      <c r="J20" s="14"/>
      <c r="K20" s="14"/>
      <c r="L20" s="23"/>
      <c r="M20" s="19" t="str">
        <f aca="false">IF(A20="","",IF(E20&lt;&gt;"Waste",0,IF(NOT(ISNUMBER(L20)),"ISI BIAYA WASTE",IF(K20="Disetujui",ROUND(F20*L20,0),0))))</f>
        <v/>
      </c>
    </row>
    <row r="21" customFormat="false" ht="27" hidden="false" customHeight="true" outlineLevel="0" collapsed="false">
      <c r="A21" s="14"/>
      <c r="B21" s="22"/>
      <c r="C21" s="14"/>
      <c r="D21" s="18" t="str">
        <f aca="false">IF(C21="","",IF(COUNTIFS('MASTER BAHAN'!$A$5:$A$504,C21)=0,"BELUM ADA",INDEX('MASTER BAHAN'!$B$5:$B$504,MATCH(C21,'MASTER BAHAN'!$A$5:$A$504,0))))</f>
        <v/>
      </c>
      <c r="E21" s="14"/>
      <c r="F21" s="14"/>
      <c r="G21" s="18" t="str">
        <f aca="false">IF(C21="","",IF(COUNTIFS('MASTER BAHAN'!$A$5:$A$504,C21)=0,"BELUM ADA",INDEX('MASTER BAHAN'!$D$5:$D$504,MATCH(C21,'MASTER BAHAN'!$A$5:$A$504,0))))</f>
        <v/>
      </c>
      <c r="H21" s="14"/>
      <c r="I21" s="14"/>
      <c r="J21" s="14"/>
      <c r="K21" s="14"/>
      <c r="L21" s="23"/>
      <c r="M21" s="19" t="str">
        <f aca="false">IF(A21="","",IF(E21&lt;&gt;"Waste",0,IF(NOT(ISNUMBER(L21)),"ISI BIAYA WASTE",IF(K21="Disetujui",ROUND(F21*L21,0),0))))</f>
        <v/>
      </c>
    </row>
    <row r="22" customFormat="false" ht="27" hidden="false" customHeight="true" outlineLevel="0" collapsed="false">
      <c r="A22" s="14"/>
      <c r="B22" s="22"/>
      <c r="C22" s="14"/>
      <c r="D22" s="18" t="str">
        <f aca="false">IF(C22="","",IF(COUNTIFS('MASTER BAHAN'!$A$5:$A$504,C22)=0,"BELUM ADA",INDEX('MASTER BAHAN'!$B$5:$B$504,MATCH(C22,'MASTER BAHAN'!$A$5:$A$504,0))))</f>
        <v/>
      </c>
      <c r="E22" s="14"/>
      <c r="F22" s="14"/>
      <c r="G22" s="18" t="str">
        <f aca="false">IF(C22="","",IF(COUNTIFS('MASTER BAHAN'!$A$5:$A$504,C22)=0,"BELUM ADA",INDEX('MASTER BAHAN'!$D$5:$D$504,MATCH(C22,'MASTER BAHAN'!$A$5:$A$504,0))))</f>
        <v/>
      </c>
      <c r="H22" s="14"/>
      <c r="I22" s="14"/>
      <c r="J22" s="14"/>
      <c r="K22" s="14"/>
      <c r="L22" s="23"/>
      <c r="M22" s="19" t="str">
        <f aca="false">IF(A22="","",IF(E22&lt;&gt;"Waste",0,IF(NOT(ISNUMBER(L22)),"ISI BIAYA WASTE",IF(K22="Disetujui",ROUND(F22*L22,0),0))))</f>
        <v/>
      </c>
    </row>
    <row r="23" customFormat="false" ht="27" hidden="false" customHeight="true" outlineLevel="0" collapsed="false">
      <c r="A23" s="14"/>
      <c r="B23" s="22"/>
      <c r="C23" s="14"/>
      <c r="D23" s="18" t="str">
        <f aca="false">IF(C23="","",IF(COUNTIFS('MASTER BAHAN'!$A$5:$A$504,C23)=0,"BELUM ADA",INDEX('MASTER BAHAN'!$B$5:$B$504,MATCH(C23,'MASTER BAHAN'!$A$5:$A$504,0))))</f>
        <v/>
      </c>
      <c r="E23" s="14"/>
      <c r="F23" s="14"/>
      <c r="G23" s="18" t="str">
        <f aca="false">IF(C23="","",IF(COUNTIFS('MASTER BAHAN'!$A$5:$A$504,C23)=0,"BELUM ADA",INDEX('MASTER BAHAN'!$D$5:$D$504,MATCH(C23,'MASTER BAHAN'!$A$5:$A$504,0))))</f>
        <v/>
      </c>
      <c r="H23" s="14"/>
      <c r="I23" s="14"/>
      <c r="J23" s="14"/>
      <c r="K23" s="14"/>
      <c r="L23" s="23"/>
      <c r="M23" s="19" t="str">
        <f aca="false">IF(A23="","",IF(E23&lt;&gt;"Waste",0,IF(NOT(ISNUMBER(L23)),"ISI BIAYA WASTE",IF(K23="Disetujui",ROUND(F23*L23,0),0))))</f>
        <v/>
      </c>
    </row>
    <row r="24" customFormat="false" ht="27" hidden="false" customHeight="true" outlineLevel="0" collapsed="false">
      <c r="A24" s="14"/>
      <c r="B24" s="22"/>
      <c r="C24" s="14"/>
      <c r="D24" s="18" t="str">
        <f aca="false">IF(C24="","",IF(COUNTIFS('MASTER BAHAN'!$A$5:$A$504,C24)=0,"BELUM ADA",INDEX('MASTER BAHAN'!$B$5:$B$504,MATCH(C24,'MASTER BAHAN'!$A$5:$A$504,0))))</f>
        <v/>
      </c>
      <c r="E24" s="14"/>
      <c r="F24" s="14"/>
      <c r="G24" s="18" t="str">
        <f aca="false">IF(C24="","",IF(COUNTIFS('MASTER BAHAN'!$A$5:$A$504,C24)=0,"BELUM ADA",INDEX('MASTER BAHAN'!$D$5:$D$504,MATCH(C24,'MASTER BAHAN'!$A$5:$A$504,0))))</f>
        <v/>
      </c>
      <c r="H24" s="14"/>
      <c r="I24" s="14"/>
      <c r="J24" s="14"/>
      <c r="K24" s="14"/>
      <c r="L24" s="23"/>
      <c r="M24" s="19" t="str">
        <f aca="false">IF(A24="","",IF(E24&lt;&gt;"Waste",0,IF(NOT(ISNUMBER(L24)),"ISI BIAYA WASTE",IF(K24="Disetujui",ROUND(F24*L24,0),0))))</f>
        <v/>
      </c>
    </row>
    <row r="25" customFormat="false" ht="27" hidden="false" customHeight="true" outlineLevel="0" collapsed="false">
      <c r="A25" s="14"/>
      <c r="B25" s="22"/>
      <c r="C25" s="14"/>
      <c r="D25" s="18" t="str">
        <f aca="false">IF(C25="","",IF(COUNTIFS('MASTER BAHAN'!$A$5:$A$504,C25)=0,"BELUM ADA",INDEX('MASTER BAHAN'!$B$5:$B$504,MATCH(C25,'MASTER BAHAN'!$A$5:$A$504,0))))</f>
        <v/>
      </c>
      <c r="E25" s="14"/>
      <c r="F25" s="14"/>
      <c r="G25" s="18" t="str">
        <f aca="false">IF(C25="","",IF(COUNTIFS('MASTER BAHAN'!$A$5:$A$504,C25)=0,"BELUM ADA",INDEX('MASTER BAHAN'!$D$5:$D$504,MATCH(C25,'MASTER BAHAN'!$A$5:$A$504,0))))</f>
        <v/>
      </c>
      <c r="H25" s="14"/>
      <c r="I25" s="14"/>
      <c r="J25" s="14"/>
      <c r="K25" s="14"/>
      <c r="L25" s="23"/>
      <c r="M25" s="19" t="str">
        <f aca="false">IF(A25="","",IF(E25&lt;&gt;"Waste",0,IF(NOT(ISNUMBER(L25)),"ISI BIAYA WASTE",IF(K25="Disetujui",ROUND(F25*L25,0),0))))</f>
        <v/>
      </c>
    </row>
    <row r="26" customFormat="false" ht="27" hidden="false" customHeight="true" outlineLevel="0" collapsed="false">
      <c r="A26" s="14"/>
      <c r="B26" s="22"/>
      <c r="C26" s="14"/>
      <c r="D26" s="18" t="str">
        <f aca="false">IF(C26="","",IF(COUNTIFS('MASTER BAHAN'!$A$5:$A$504,C26)=0,"BELUM ADA",INDEX('MASTER BAHAN'!$B$5:$B$504,MATCH(C26,'MASTER BAHAN'!$A$5:$A$504,0))))</f>
        <v/>
      </c>
      <c r="E26" s="14"/>
      <c r="F26" s="14"/>
      <c r="G26" s="18" t="str">
        <f aca="false">IF(C26="","",IF(COUNTIFS('MASTER BAHAN'!$A$5:$A$504,C26)=0,"BELUM ADA",INDEX('MASTER BAHAN'!$D$5:$D$504,MATCH(C26,'MASTER BAHAN'!$A$5:$A$504,0))))</f>
        <v/>
      </c>
      <c r="H26" s="14"/>
      <c r="I26" s="14"/>
      <c r="J26" s="14"/>
      <c r="K26" s="14"/>
      <c r="L26" s="23"/>
      <c r="M26" s="19" t="str">
        <f aca="false">IF(A26="","",IF(E26&lt;&gt;"Waste",0,IF(NOT(ISNUMBER(L26)),"ISI BIAYA WASTE",IF(K26="Disetujui",ROUND(F26*L26,0),0))))</f>
        <v/>
      </c>
    </row>
    <row r="27" customFormat="false" ht="27" hidden="false" customHeight="true" outlineLevel="0" collapsed="false">
      <c r="A27" s="14"/>
      <c r="B27" s="22"/>
      <c r="C27" s="14"/>
      <c r="D27" s="18" t="str">
        <f aca="false">IF(C27="","",IF(COUNTIFS('MASTER BAHAN'!$A$5:$A$504,C27)=0,"BELUM ADA",INDEX('MASTER BAHAN'!$B$5:$B$504,MATCH(C27,'MASTER BAHAN'!$A$5:$A$504,0))))</f>
        <v/>
      </c>
      <c r="E27" s="14"/>
      <c r="F27" s="14"/>
      <c r="G27" s="18" t="str">
        <f aca="false">IF(C27="","",IF(COUNTIFS('MASTER BAHAN'!$A$5:$A$504,C27)=0,"BELUM ADA",INDEX('MASTER BAHAN'!$D$5:$D$504,MATCH(C27,'MASTER BAHAN'!$A$5:$A$504,0))))</f>
        <v/>
      </c>
      <c r="H27" s="14"/>
      <c r="I27" s="14"/>
      <c r="J27" s="14"/>
      <c r="K27" s="14"/>
      <c r="L27" s="23"/>
      <c r="M27" s="19" t="str">
        <f aca="false">IF(A27="","",IF(E27&lt;&gt;"Waste",0,IF(NOT(ISNUMBER(L27)),"ISI BIAYA WASTE",IF(K27="Disetujui",ROUND(F27*L27,0),0))))</f>
        <v/>
      </c>
    </row>
    <row r="28" customFormat="false" ht="27" hidden="false" customHeight="true" outlineLevel="0" collapsed="false">
      <c r="A28" s="14"/>
      <c r="B28" s="22"/>
      <c r="C28" s="14"/>
      <c r="D28" s="18" t="str">
        <f aca="false">IF(C28="","",IF(COUNTIFS('MASTER BAHAN'!$A$5:$A$504,C28)=0,"BELUM ADA",INDEX('MASTER BAHAN'!$B$5:$B$504,MATCH(C28,'MASTER BAHAN'!$A$5:$A$504,0))))</f>
        <v/>
      </c>
      <c r="E28" s="14"/>
      <c r="F28" s="14"/>
      <c r="G28" s="18" t="str">
        <f aca="false">IF(C28="","",IF(COUNTIFS('MASTER BAHAN'!$A$5:$A$504,C28)=0,"BELUM ADA",INDEX('MASTER BAHAN'!$D$5:$D$504,MATCH(C28,'MASTER BAHAN'!$A$5:$A$504,0))))</f>
        <v/>
      </c>
      <c r="H28" s="14"/>
      <c r="I28" s="14"/>
      <c r="J28" s="14"/>
      <c r="K28" s="14"/>
      <c r="L28" s="23"/>
      <c r="M28" s="19" t="str">
        <f aca="false">IF(A28="","",IF(E28&lt;&gt;"Waste",0,IF(NOT(ISNUMBER(L28)),"ISI BIAYA WASTE",IF(K28="Disetujui",ROUND(F28*L28,0),0))))</f>
        <v/>
      </c>
    </row>
    <row r="29" customFormat="false" ht="27" hidden="false" customHeight="true" outlineLevel="0" collapsed="false">
      <c r="A29" s="14"/>
      <c r="B29" s="22"/>
      <c r="C29" s="14"/>
      <c r="D29" s="18" t="str">
        <f aca="false">IF(C29="","",IF(COUNTIFS('MASTER BAHAN'!$A$5:$A$504,C29)=0,"BELUM ADA",INDEX('MASTER BAHAN'!$B$5:$B$504,MATCH(C29,'MASTER BAHAN'!$A$5:$A$504,0))))</f>
        <v/>
      </c>
      <c r="E29" s="14"/>
      <c r="F29" s="14"/>
      <c r="G29" s="18" t="str">
        <f aca="false">IF(C29="","",IF(COUNTIFS('MASTER BAHAN'!$A$5:$A$504,C29)=0,"BELUM ADA",INDEX('MASTER BAHAN'!$D$5:$D$504,MATCH(C29,'MASTER BAHAN'!$A$5:$A$504,0))))</f>
        <v/>
      </c>
      <c r="H29" s="14"/>
      <c r="I29" s="14"/>
      <c r="J29" s="14"/>
      <c r="K29" s="14"/>
      <c r="L29" s="23"/>
      <c r="M29" s="19" t="str">
        <f aca="false">IF(A29="","",IF(E29&lt;&gt;"Waste",0,IF(NOT(ISNUMBER(L29)),"ISI BIAYA WASTE",IF(K29="Disetujui",ROUND(F29*L29,0),0))))</f>
        <v/>
      </c>
    </row>
    <row r="30" customFormat="false" ht="27" hidden="false" customHeight="true" outlineLevel="0" collapsed="false">
      <c r="A30" s="14"/>
      <c r="B30" s="22"/>
      <c r="C30" s="14"/>
      <c r="D30" s="18" t="str">
        <f aca="false">IF(C30="","",IF(COUNTIFS('MASTER BAHAN'!$A$5:$A$504,C30)=0,"BELUM ADA",INDEX('MASTER BAHAN'!$B$5:$B$504,MATCH(C30,'MASTER BAHAN'!$A$5:$A$504,0))))</f>
        <v/>
      </c>
      <c r="E30" s="14"/>
      <c r="F30" s="14"/>
      <c r="G30" s="18" t="str">
        <f aca="false">IF(C30="","",IF(COUNTIFS('MASTER BAHAN'!$A$5:$A$504,C30)=0,"BELUM ADA",INDEX('MASTER BAHAN'!$D$5:$D$504,MATCH(C30,'MASTER BAHAN'!$A$5:$A$504,0))))</f>
        <v/>
      </c>
      <c r="H30" s="14"/>
      <c r="I30" s="14"/>
      <c r="J30" s="14"/>
      <c r="K30" s="14"/>
      <c r="L30" s="23"/>
      <c r="M30" s="19" t="str">
        <f aca="false">IF(A30="","",IF(E30&lt;&gt;"Waste",0,IF(NOT(ISNUMBER(L30)),"ISI BIAYA WASTE",IF(K30="Disetujui",ROUND(F30*L30,0),0))))</f>
        <v/>
      </c>
    </row>
    <row r="31" customFormat="false" ht="27" hidden="false" customHeight="true" outlineLevel="0" collapsed="false">
      <c r="A31" s="14"/>
      <c r="B31" s="22"/>
      <c r="C31" s="14"/>
      <c r="D31" s="18" t="str">
        <f aca="false">IF(C31="","",IF(COUNTIFS('MASTER BAHAN'!$A$5:$A$504,C31)=0,"BELUM ADA",INDEX('MASTER BAHAN'!$B$5:$B$504,MATCH(C31,'MASTER BAHAN'!$A$5:$A$504,0))))</f>
        <v/>
      </c>
      <c r="E31" s="14"/>
      <c r="F31" s="14"/>
      <c r="G31" s="18" t="str">
        <f aca="false">IF(C31="","",IF(COUNTIFS('MASTER BAHAN'!$A$5:$A$504,C31)=0,"BELUM ADA",INDEX('MASTER BAHAN'!$D$5:$D$504,MATCH(C31,'MASTER BAHAN'!$A$5:$A$504,0))))</f>
        <v/>
      </c>
      <c r="H31" s="14"/>
      <c r="I31" s="14"/>
      <c r="J31" s="14"/>
      <c r="K31" s="14"/>
      <c r="L31" s="23"/>
      <c r="M31" s="19" t="str">
        <f aca="false">IF(A31="","",IF(E31&lt;&gt;"Waste",0,IF(NOT(ISNUMBER(L31)),"ISI BIAYA WASTE",IF(K31="Disetujui",ROUND(F31*L31,0),0))))</f>
        <v/>
      </c>
    </row>
    <row r="32" customFormat="false" ht="27" hidden="false" customHeight="true" outlineLevel="0" collapsed="false">
      <c r="A32" s="14"/>
      <c r="B32" s="22"/>
      <c r="C32" s="14"/>
      <c r="D32" s="18" t="str">
        <f aca="false">IF(C32="","",IF(COUNTIFS('MASTER BAHAN'!$A$5:$A$504,C32)=0,"BELUM ADA",INDEX('MASTER BAHAN'!$B$5:$B$504,MATCH(C32,'MASTER BAHAN'!$A$5:$A$504,0))))</f>
        <v/>
      </c>
      <c r="E32" s="14"/>
      <c r="F32" s="14"/>
      <c r="G32" s="18" t="str">
        <f aca="false">IF(C32="","",IF(COUNTIFS('MASTER BAHAN'!$A$5:$A$504,C32)=0,"BELUM ADA",INDEX('MASTER BAHAN'!$D$5:$D$504,MATCH(C32,'MASTER BAHAN'!$A$5:$A$504,0))))</f>
        <v/>
      </c>
      <c r="H32" s="14"/>
      <c r="I32" s="14"/>
      <c r="J32" s="14"/>
      <c r="K32" s="14"/>
      <c r="L32" s="23"/>
      <c r="M32" s="19" t="str">
        <f aca="false">IF(A32="","",IF(E32&lt;&gt;"Waste",0,IF(NOT(ISNUMBER(L32)),"ISI BIAYA WASTE",IF(K32="Disetujui",ROUND(F32*L32,0),0))))</f>
        <v/>
      </c>
    </row>
    <row r="33" customFormat="false" ht="27" hidden="false" customHeight="true" outlineLevel="0" collapsed="false">
      <c r="A33" s="14"/>
      <c r="B33" s="22"/>
      <c r="C33" s="14"/>
      <c r="D33" s="18" t="str">
        <f aca="false">IF(C33="","",IF(COUNTIFS('MASTER BAHAN'!$A$5:$A$504,C33)=0,"BELUM ADA",INDEX('MASTER BAHAN'!$B$5:$B$504,MATCH(C33,'MASTER BAHAN'!$A$5:$A$504,0))))</f>
        <v/>
      </c>
      <c r="E33" s="14"/>
      <c r="F33" s="14"/>
      <c r="G33" s="18" t="str">
        <f aca="false">IF(C33="","",IF(COUNTIFS('MASTER BAHAN'!$A$5:$A$504,C33)=0,"BELUM ADA",INDEX('MASTER BAHAN'!$D$5:$D$504,MATCH(C33,'MASTER BAHAN'!$A$5:$A$504,0))))</f>
        <v/>
      </c>
      <c r="H33" s="14"/>
      <c r="I33" s="14"/>
      <c r="J33" s="14"/>
      <c r="K33" s="14"/>
      <c r="L33" s="23"/>
      <c r="M33" s="19" t="str">
        <f aca="false">IF(A33="","",IF(E33&lt;&gt;"Waste",0,IF(NOT(ISNUMBER(L33)),"ISI BIAYA WASTE",IF(K33="Disetujui",ROUND(F33*L33,0),0))))</f>
        <v/>
      </c>
    </row>
    <row r="34" customFormat="false" ht="27" hidden="false" customHeight="true" outlineLevel="0" collapsed="false">
      <c r="A34" s="14"/>
      <c r="B34" s="22"/>
      <c r="C34" s="14"/>
      <c r="D34" s="18" t="str">
        <f aca="false">IF(C34="","",IF(COUNTIFS('MASTER BAHAN'!$A$5:$A$504,C34)=0,"BELUM ADA",INDEX('MASTER BAHAN'!$B$5:$B$504,MATCH(C34,'MASTER BAHAN'!$A$5:$A$504,0))))</f>
        <v/>
      </c>
      <c r="E34" s="14"/>
      <c r="F34" s="14"/>
      <c r="G34" s="18" t="str">
        <f aca="false">IF(C34="","",IF(COUNTIFS('MASTER BAHAN'!$A$5:$A$504,C34)=0,"BELUM ADA",INDEX('MASTER BAHAN'!$D$5:$D$504,MATCH(C34,'MASTER BAHAN'!$A$5:$A$504,0))))</f>
        <v/>
      </c>
      <c r="H34" s="14"/>
      <c r="I34" s="14"/>
      <c r="J34" s="14"/>
      <c r="K34" s="14"/>
      <c r="L34" s="23"/>
      <c r="M34" s="19" t="str">
        <f aca="false">IF(A34="","",IF(E34&lt;&gt;"Waste",0,IF(NOT(ISNUMBER(L34)),"ISI BIAYA WASTE",IF(K34="Disetujui",ROUND(F34*L34,0),0))))</f>
        <v/>
      </c>
    </row>
    <row r="35" customFormat="false" ht="27" hidden="false" customHeight="true" outlineLevel="0" collapsed="false">
      <c r="A35" s="14"/>
      <c r="B35" s="22"/>
      <c r="C35" s="14"/>
      <c r="D35" s="18" t="str">
        <f aca="false">IF(C35="","",IF(COUNTIFS('MASTER BAHAN'!$A$5:$A$504,C35)=0,"BELUM ADA",INDEX('MASTER BAHAN'!$B$5:$B$504,MATCH(C35,'MASTER BAHAN'!$A$5:$A$504,0))))</f>
        <v/>
      </c>
      <c r="E35" s="14"/>
      <c r="F35" s="14"/>
      <c r="G35" s="18" t="str">
        <f aca="false">IF(C35="","",IF(COUNTIFS('MASTER BAHAN'!$A$5:$A$504,C35)=0,"BELUM ADA",INDEX('MASTER BAHAN'!$D$5:$D$504,MATCH(C35,'MASTER BAHAN'!$A$5:$A$504,0))))</f>
        <v/>
      </c>
      <c r="H35" s="14"/>
      <c r="I35" s="14"/>
      <c r="J35" s="14"/>
      <c r="K35" s="14"/>
      <c r="L35" s="23"/>
      <c r="M35" s="19" t="str">
        <f aca="false">IF(A35="","",IF(E35&lt;&gt;"Waste",0,IF(NOT(ISNUMBER(L35)),"ISI BIAYA WASTE",IF(K35="Disetujui",ROUND(F35*L35,0),0))))</f>
        <v/>
      </c>
    </row>
    <row r="36" customFormat="false" ht="27" hidden="false" customHeight="true" outlineLevel="0" collapsed="false">
      <c r="A36" s="14"/>
      <c r="B36" s="22"/>
      <c r="C36" s="14"/>
      <c r="D36" s="18" t="str">
        <f aca="false">IF(C36="","",IF(COUNTIFS('MASTER BAHAN'!$A$5:$A$504,C36)=0,"BELUM ADA",INDEX('MASTER BAHAN'!$B$5:$B$504,MATCH(C36,'MASTER BAHAN'!$A$5:$A$504,0))))</f>
        <v/>
      </c>
      <c r="E36" s="14"/>
      <c r="F36" s="14"/>
      <c r="G36" s="18" t="str">
        <f aca="false">IF(C36="","",IF(COUNTIFS('MASTER BAHAN'!$A$5:$A$504,C36)=0,"BELUM ADA",INDEX('MASTER BAHAN'!$D$5:$D$504,MATCH(C36,'MASTER BAHAN'!$A$5:$A$504,0))))</f>
        <v/>
      </c>
      <c r="H36" s="14"/>
      <c r="I36" s="14"/>
      <c r="J36" s="14"/>
      <c r="K36" s="14"/>
      <c r="L36" s="23"/>
      <c r="M36" s="19" t="str">
        <f aca="false">IF(A36="","",IF(E36&lt;&gt;"Waste",0,IF(NOT(ISNUMBER(L36)),"ISI BIAYA WASTE",IF(K36="Disetujui",ROUND(F36*L36,0),0))))</f>
        <v/>
      </c>
    </row>
    <row r="37" customFormat="false" ht="27" hidden="false" customHeight="true" outlineLevel="0" collapsed="false">
      <c r="A37" s="14"/>
      <c r="B37" s="22"/>
      <c r="C37" s="14"/>
      <c r="D37" s="18" t="str">
        <f aca="false">IF(C37="","",IF(COUNTIFS('MASTER BAHAN'!$A$5:$A$504,C37)=0,"BELUM ADA",INDEX('MASTER BAHAN'!$B$5:$B$504,MATCH(C37,'MASTER BAHAN'!$A$5:$A$504,0))))</f>
        <v/>
      </c>
      <c r="E37" s="14"/>
      <c r="F37" s="14"/>
      <c r="G37" s="18" t="str">
        <f aca="false">IF(C37="","",IF(COUNTIFS('MASTER BAHAN'!$A$5:$A$504,C37)=0,"BELUM ADA",INDEX('MASTER BAHAN'!$D$5:$D$504,MATCH(C37,'MASTER BAHAN'!$A$5:$A$504,0))))</f>
        <v/>
      </c>
      <c r="H37" s="14"/>
      <c r="I37" s="14"/>
      <c r="J37" s="14"/>
      <c r="K37" s="14"/>
      <c r="L37" s="23"/>
      <c r="M37" s="19" t="str">
        <f aca="false">IF(A37="","",IF(E37&lt;&gt;"Waste",0,IF(NOT(ISNUMBER(L37)),"ISI BIAYA WASTE",IF(K37="Disetujui",ROUND(F37*L37,0),0))))</f>
        <v/>
      </c>
    </row>
    <row r="38" customFormat="false" ht="27" hidden="false" customHeight="true" outlineLevel="0" collapsed="false">
      <c r="A38" s="14"/>
      <c r="B38" s="22"/>
      <c r="C38" s="14"/>
      <c r="D38" s="18" t="str">
        <f aca="false">IF(C38="","",IF(COUNTIFS('MASTER BAHAN'!$A$5:$A$504,C38)=0,"BELUM ADA",INDEX('MASTER BAHAN'!$B$5:$B$504,MATCH(C38,'MASTER BAHAN'!$A$5:$A$504,0))))</f>
        <v/>
      </c>
      <c r="E38" s="14"/>
      <c r="F38" s="14"/>
      <c r="G38" s="18" t="str">
        <f aca="false">IF(C38="","",IF(COUNTIFS('MASTER BAHAN'!$A$5:$A$504,C38)=0,"BELUM ADA",INDEX('MASTER BAHAN'!$D$5:$D$504,MATCH(C38,'MASTER BAHAN'!$A$5:$A$504,0))))</f>
        <v/>
      </c>
      <c r="H38" s="14"/>
      <c r="I38" s="14"/>
      <c r="J38" s="14"/>
      <c r="K38" s="14"/>
      <c r="L38" s="23"/>
      <c r="M38" s="19" t="str">
        <f aca="false">IF(A38="","",IF(E38&lt;&gt;"Waste",0,IF(NOT(ISNUMBER(L38)),"ISI BIAYA WASTE",IF(K38="Disetujui",ROUND(F38*L38,0),0))))</f>
        <v/>
      </c>
    </row>
    <row r="39" customFormat="false" ht="27" hidden="false" customHeight="true" outlineLevel="0" collapsed="false">
      <c r="A39" s="14"/>
      <c r="B39" s="22"/>
      <c r="C39" s="14"/>
      <c r="D39" s="18" t="str">
        <f aca="false">IF(C39="","",IF(COUNTIFS('MASTER BAHAN'!$A$5:$A$504,C39)=0,"BELUM ADA",INDEX('MASTER BAHAN'!$B$5:$B$504,MATCH(C39,'MASTER BAHAN'!$A$5:$A$504,0))))</f>
        <v/>
      </c>
      <c r="E39" s="14"/>
      <c r="F39" s="14"/>
      <c r="G39" s="18" t="str">
        <f aca="false">IF(C39="","",IF(COUNTIFS('MASTER BAHAN'!$A$5:$A$504,C39)=0,"BELUM ADA",INDEX('MASTER BAHAN'!$D$5:$D$504,MATCH(C39,'MASTER BAHAN'!$A$5:$A$504,0))))</f>
        <v/>
      </c>
      <c r="H39" s="14"/>
      <c r="I39" s="14"/>
      <c r="J39" s="14"/>
      <c r="K39" s="14"/>
      <c r="L39" s="23"/>
      <c r="M39" s="19" t="str">
        <f aca="false">IF(A39="","",IF(E39&lt;&gt;"Waste",0,IF(NOT(ISNUMBER(L39)),"ISI BIAYA WASTE",IF(K39="Disetujui",ROUND(F39*L39,0),0))))</f>
        <v/>
      </c>
    </row>
    <row r="40" customFormat="false" ht="27" hidden="false" customHeight="true" outlineLevel="0" collapsed="false">
      <c r="A40" s="14"/>
      <c r="B40" s="22"/>
      <c r="C40" s="14"/>
      <c r="D40" s="18" t="str">
        <f aca="false">IF(C40="","",IF(COUNTIFS('MASTER BAHAN'!$A$5:$A$504,C40)=0,"BELUM ADA",INDEX('MASTER BAHAN'!$B$5:$B$504,MATCH(C40,'MASTER BAHAN'!$A$5:$A$504,0))))</f>
        <v/>
      </c>
      <c r="E40" s="14"/>
      <c r="F40" s="14"/>
      <c r="G40" s="18" t="str">
        <f aca="false">IF(C40="","",IF(COUNTIFS('MASTER BAHAN'!$A$5:$A$504,C40)=0,"BELUM ADA",INDEX('MASTER BAHAN'!$D$5:$D$504,MATCH(C40,'MASTER BAHAN'!$A$5:$A$504,0))))</f>
        <v/>
      </c>
      <c r="H40" s="14"/>
      <c r="I40" s="14"/>
      <c r="J40" s="14"/>
      <c r="K40" s="14"/>
      <c r="L40" s="23"/>
      <c r="M40" s="19" t="str">
        <f aca="false">IF(A40="","",IF(E40&lt;&gt;"Waste",0,IF(NOT(ISNUMBER(L40)),"ISI BIAYA WASTE",IF(K40="Disetujui",ROUND(F40*L40,0),0))))</f>
        <v/>
      </c>
    </row>
    <row r="41" customFormat="false" ht="27" hidden="false" customHeight="true" outlineLevel="0" collapsed="false">
      <c r="A41" s="14"/>
      <c r="B41" s="22"/>
      <c r="C41" s="14"/>
      <c r="D41" s="18" t="str">
        <f aca="false">IF(C41="","",IF(COUNTIFS('MASTER BAHAN'!$A$5:$A$504,C41)=0,"BELUM ADA",INDEX('MASTER BAHAN'!$B$5:$B$504,MATCH(C41,'MASTER BAHAN'!$A$5:$A$504,0))))</f>
        <v/>
      </c>
      <c r="E41" s="14"/>
      <c r="F41" s="14"/>
      <c r="G41" s="18" t="str">
        <f aca="false">IF(C41="","",IF(COUNTIFS('MASTER BAHAN'!$A$5:$A$504,C41)=0,"BELUM ADA",INDEX('MASTER BAHAN'!$D$5:$D$504,MATCH(C41,'MASTER BAHAN'!$A$5:$A$504,0))))</f>
        <v/>
      </c>
      <c r="H41" s="14"/>
      <c r="I41" s="14"/>
      <c r="J41" s="14"/>
      <c r="K41" s="14"/>
      <c r="L41" s="23"/>
      <c r="M41" s="19" t="str">
        <f aca="false">IF(A41="","",IF(E41&lt;&gt;"Waste",0,IF(NOT(ISNUMBER(L41)),"ISI BIAYA WASTE",IF(K41="Disetujui",ROUND(F41*L41,0),0))))</f>
        <v/>
      </c>
    </row>
    <row r="42" customFormat="false" ht="27" hidden="false" customHeight="true" outlineLevel="0" collapsed="false">
      <c r="A42" s="14"/>
      <c r="B42" s="22"/>
      <c r="C42" s="14"/>
      <c r="D42" s="18" t="str">
        <f aca="false">IF(C42="","",IF(COUNTIFS('MASTER BAHAN'!$A$5:$A$504,C42)=0,"BELUM ADA",INDEX('MASTER BAHAN'!$B$5:$B$504,MATCH(C42,'MASTER BAHAN'!$A$5:$A$504,0))))</f>
        <v/>
      </c>
      <c r="E42" s="14"/>
      <c r="F42" s="14"/>
      <c r="G42" s="18" t="str">
        <f aca="false">IF(C42="","",IF(COUNTIFS('MASTER BAHAN'!$A$5:$A$504,C42)=0,"BELUM ADA",INDEX('MASTER BAHAN'!$D$5:$D$504,MATCH(C42,'MASTER BAHAN'!$A$5:$A$504,0))))</f>
        <v/>
      </c>
      <c r="H42" s="14"/>
      <c r="I42" s="14"/>
      <c r="J42" s="14"/>
      <c r="K42" s="14"/>
      <c r="L42" s="23"/>
      <c r="M42" s="19" t="str">
        <f aca="false">IF(A42="","",IF(E42&lt;&gt;"Waste",0,IF(NOT(ISNUMBER(L42)),"ISI BIAYA WASTE",IF(K42="Disetujui",ROUND(F42*L42,0),0))))</f>
        <v/>
      </c>
    </row>
    <row r="43" customFormat="false" ht="27" hidden="false" customHeight="true" outlineLevel="0" collapsed="false">
      <c r="A43" s="14"/>
      <c r="B43" s="22"/>
      <c r="C43" s="14"/>
      <c r="D43" s="18" t="str">
        <f aca="false">IF(C43="","",IF(COUNTIFS('MASTER BAHAN'!$A$5:$A$504,C43)=0,"BELUM ADA",INDEX('MASTER BAHAN'!$B$5:$B$504,MATCH(C43,'MASTER BAHAN'!$A$5:$A$504,0))))</f>
        <v/>
      </c>
      <c r="E43" s="14"/>
      <c r="F43" s="14"/>
      <c r="G43" s="18" t="str">
        <f aca="false">IF(C43="","",IF(COUNTIFS('MASTER BAHAN'!$A$5:$A$504,C43)=0,"BELUM ADA",INDEX('MASTER BAHAN'!$D$5:$D$504,MATCH(C43,'MASTER BAHAN'!$A$5:$A$504,0))))</f>
        <v/>
      </c>
      <c r="H43" s="14"/>
      <c r="I43" s="14"/>
      <c r="J43" s="14"/>
      <c r="K43" s="14"/>
      <c r="L43" s="23"/>
      <c r="M43" s="19" t="str">
        <f aca="false">IF(A43="","",IF(E43&lt;&gt;"Waste",0,IF(NOT(ISNUMBER(L43)),"ISI BIAYA WASTE",IF(K43="Disetujui",ROUND(F43*L43,0),0))))</f>
        <v/>
      </c>
    </row>
    <row r="44" customFormat="false" ht="27" hidden="false" customHeight="true" outlineLevel="0" collapsed="false">
      <c r="A44" s="14"/>
      <c r="B44" s="22"/>
      <c r="C44" s="14"/>
      <c r="D44" s="18" t="str">
        <f aca="false">IF(C44="","",IF(COUNTIFS('MASTER BAHAN'!$A$5:$A$504,C44)=0,"BELUM ADA",INDEX('MASTER BAHAN'!$B$5:$B$504,MATCH(C44,'MASTER BAHAN'!$A$5:$A$504,0))))</f>
        <v/>
      </c>
      <c r="E44" s="14"/>
      <c r="F44" s="14"/>
      <c r="G44" s="18" t="str">
        <f aca="false">IF(C44="","",IF(COUNTIFS('MASTER BAHAN'!$A$5:$A$504,C44)=0,"BELUM ADA",INDEX('MASTER BAHAN'!$D$5:$D$504,MATCH(C44,'MASTER BAHAN'!$A$5:$A$504,0))))</f>
        <v/>
      </c>
      <c r="H44" s="14"/>
      <c r="I44" s="14"/>
      <c r="J44" s="14"/>
      <c r="K44" s="14"/>
      <c r="L44" s="23"/>
      <c r="M44" s="19" t="str">
        <f aca="false">IF(A44="","",IF(E44&lt;&gt;"Waste",0,IF(NOT(ISNUMBER(L44)),"ISI BIAYA WASTE",IF(K44="Disetujui",ROUND(F44*L44,0),0))))</f>
        <v/>
      </c>
    </row>
    <row r="45" customFormat="false" ht="27" hidden="false" customHeight="true" outlineLevel="0" collapsed="false">
      <c r="A45" s="14"/>
      <c r="B45" s="22"/>
      <c r="C45" s="14"/>
      <c r="D45" s="18" t="str">
        <f aca="false">IF(C45="","",IF(COUNTIFS('MASTER BAHAN'!$A$5:$A$504,C45)=0,"BELUM ADA",INDEX('MASTER BAHAN'!$B$5:$B$504,MATCH(C45,'MASTER BAHAN'!$A$5:$A$504,0))))</f>
        <v/>
      </c>
      <c r="E45" s="14"/>
      <c r="F45" s="14"/>
      <c r="G45" s="18" t="str">
        <f aca="false">IF(C45="","",IF(COUNTIFS('MASTER BAHAN'!$A$5:$A$504,C45)=0,"BELUM ADA",INDEX('MASTER BAHAN'!$D$5:$D$504,MATCH(C45,'MASTER BAHAN'!$A$5:$A$504,0))))</f>
        <v/>
      </c>
      <c r="H45" s="14"/>
      <c r="I45" s="14"/>
      <c r="J45" s="14"/>
      <c r="K45" s="14"/>
      <c r="L45" s="23"/>
      <c r="M45" s="19" t="str">
        <f aca="false">IF(A45="","",IF(E45&lt;&gt;"Waste",0,IF(NOT(ISNUMBER(L45)),"ISI BIAYA WASTE",IF(K45="Disetujui",ROUND(F45*L45,0),0))))</f>
        <v/>
      </c>
    </row>
    <row r="46" customFormat="false" ht="27" hidden="false" customHeight="true" outlineLevel="0" collapsed="false">
      <c r="A46" s="14"/>
      <c r="B46" s="22"/>
      <c r="C46" s="14"/>
      <c r="D46" s="18" t="str">
        <f aca="false">IF(C46="","",IF(COUNTIFS('MASTER BAHAN'!$A$5:$A$504,C46)=0,"BELUM ADA",INDEX('MASTER BAHAN'!$B$5:$B$504,MATCH(C46,'MASTER BAHAN'!$A$5:$A$504,0))))</f>
        <v/>
      </c>
      <c r="E46" s="14"/>
      <c r="F46" s="14"/>
      <c r="G46" s="18" t="str">
        <f aca="false">IF(C46="","",IF(COUNTIFS('MASTER BAHAN'!$A$5:$A$504,C46)=0,"BELUM ADA",INDEX('MASTER BAHAN'!$D$5:$D$504,MATCH(C46,'MASTER BAHAN'!$A$5:$A$504,0))))</f>
        <v/>
      </c>
      <c r="H46" s="14"/>
      <c r="I46" s="14"/>
      <c r="J46" s="14"/>
      <c r="K46" s="14"/>
      <c r="L46" s="23"/>
      <c r="M46" s="19" t="str">
        <f aca="false">IF(A46="","",IF(E46&lt;&gt;"Waste",0,IF(NOT(ISNUMBER(L46)),"ISI BIAYA WASTE",IF(K46="Disetujui",ROUND(F46*L46,0),0))))</f>
        <v/>
      </c>
    </row>
    <row r="47" customFormat="false" ht="27" hidden="false" customHeight="true" outlineLevel="0" collapsed="false">
      <c r="A47" s="14"/>
      <c r="B47" s="22"/>
      <c r="C47" s="14"/>
      <c r="D47" s="18" t="str">
        <f aca="false">IF(C47="","",IF(COUNTIFS('MASTER BAHAN'!$A$5:$A$504,C47)=0,"BELUM ADA",INDEX('MASTER BAHAN'!$B$5:$B$504,MATCH(C47,'MASTER BAHAN'!$A$5:$A$504,0))))</f>
        <v/>
      </c>
      <c r="E47" s="14"/>
      <c r="F47" s="14"/>
      <c r="G47" s="18" t="str">
        <f aca="false">IF(C47="","",IF(COUNTIFS('MASTER BAHAN'!$A$5:$A$504,C47)=0,"BELUM ADA",INDEX('MASTER BAHAN'!$D$5:$D$504,MATCH(C47,'MASTER BAHAN'!$A$5:$A$504,0))))</f>
        <v/>
      </c>
      <c r="H47" s="14"/>
      <c r="I47" s="14"/>
      <c r="J47" s="14"/>
      <c r="K47" s="14"/>
      <c r="L47" s="23"/>
      <c r="M47" s="19" t="str">
        <f aca="false">IF(A47="","",IF(E47&lt;&gt;"Waste",0,IF(NOT(ISNUMBER(L47)),"ISI BIAYA WASTE",IF(K47="Disetujui",ROUND(F47*L47,0),0))))</f>
        <v/>
      </c>
    </row>
    <row r="48" customFormat="false" ht="27" hidden="false" customHeight="true" outlineLevel="0" collapsed="false">
      <c r="A48" s="14"/>
      <c r="B48" s="22"/>
      <c r="C48" s="14"/>
      <c r="D48" s="18" t="str">
        <f aca="false">IF(C48="","",IF(COUNTIFS('MASTER BAHAN'!$A$5:$A$504,C48)=0,"BELUM ADA",INDEX('MASTER BAHAN'!$B$5:$B$504,MATCH(C48,'MASTER BAHAN'!$A$5:$A$504,0))))</f>
        <v/>
      </c>
      <c r="E48" s="14"/>
      <c r="F48" s="14"/>
      <c r="G48" s="18" t="str">
        <f aca="false">IF(C48="","",IF(COUNTIFS('MASTER BAHAN'!$A$5:$A$504,C48)=0,"BELUM ADA",INDEX('MASTER BAHAN'!$D$5:$D$504,MATCH(C48,'MASTER BAHAN'!$A$5:$A$504,0))))</f>
        <v/>
      </c>
      <c r="H48" s="14"/>
      <c r="I48" s="14"/>
      <c r="J48" s="14"/>
      <c r="K48" s="14"/>
      <c r="L48" s="23"/>
      <c r="M48" s="19" t="str">
        <f aca="false">IF(A48="","",IF(E48&lt;&gt;"Waste",0,IF(NOT(ISNUMBER(L48)),"ISI BIAYA WASTE",IF(K48="Disetujui",ROUND(F48*L48,0),0))))</f>
        <v/>
      </c>
    </row>
    <row r="49" customFormat="false" ht="27" hidden="false" customHeight="true" outlineLevel="0" collapsed="false">
      <c r="A49" s="14"/>
      <c r="B49" s="22"/>
      <c r="C49" s="14"/>
      <c r="D49" s="18" t="str">
        <f aca="false">IF(C49="","",IF(COUNTIFS('MASTER BAHAN'!$A$5:$A$504,C49)=0,"BELUM ADA",INDEX('MASTER BAHAN'!$B$5:$B$504,MATCH(C49,'MASTER BAHAN'!$A$5:$A$504,0))))</f>
        <v/>
      </c>
      <c r="E49" s="14"/>
      <c r="F49" s="14"/>
      <c r="G49" s="18" t="str">
        <f aca="false">IF(C49="","",IF(COUNTIFS('MASTER BAHAN'!$A$5:$A$504,C49)=0,"BELUM ADA",INDEX('MASTER BAHAN'!$D$5:$D$504,MATCH(C49,'MASTER BAHAN'!$A$5:$A$504,0))))</f>
        <v/>
      </c>
      <c r="H49" s="14"/>
      <c r="I49" s="14"/>
      <c r="J49" s="14"/>
      <c r="K49" s="14"/>
      <c r="L49" s="23"/>
      <c r="M49" s="19" t="str">
        <f aca="false">IF(A49="","",IF(E49&lt;&gt;"Waste",0,IF(NOT(ISNUMBER(L49)),"ISI BIAYA WASTE",IF(K49="Disetujui",ROUND(F49*L49,0),0))))</f>
        <v/>
      </c>
    </row>
    <row r="50" customFormat="false" ht="27" hidden="false" customHeight="true" outlineLevel="0" collapsed="false">
      <c r="A50" s="14"/>
      <c r="B50" s="22"/>
      <c r="C50" s="14"/>
      <c r="D50" s="18" t="str">
        <f aca="false">IF(C50="","",IF(COUNTIFS('MASTER BAHAN'!$A$5:$A$504,C50)=0,"BELUM ADA",INDEX('MASTER BAHAN'!$B$5:$B$504,MATCH(C50,'MASTER BAHAN'!$A$5:$A$504,0))))</f>
        <v/>
      </c>
      <c r="E50" s="14"/>
      <c r="F50" s="14"/>
      <c r="G50" s="18" t="str">
        <f aca="false">IF(C50="","",IF(COUNTIFS('MASTER BAHAN'!$A$5:$A$504,C50)=0,"BELUM ADA",INDEX('MASTER BAHAN'!$D$5:$D$504,MATCH(C50,'MASTER BAHAN'!$A$5:$A$504,0))))</f>
        <v/>
      </c>
      <c r="H50" s="14"/>
      <c r="I50" s="14"/>
      <c r="J50" s="14"/>
      <c r="K50" s="14"/>
      <c r="L50" s="23"/>
      <c r="M50" s="19" t="str">
        <f aca="false">IF(A50="","",IF(E50&lt;&gt;"Waste",0,IF(NOT(ISNUMBER(L50)),"ISI BIAYA WASTE",IF(K50="Disetujui",ROUND(F50*L50,0),0))))</f>
        <v/>
      </c>
    </row>
    <row r="51" customFormat="false" ht="27" hidden="false" customHeight="true" outlineLevel="0" collapsed="false">
      <c r="A51" s="14"/>
      <c r="B51" s="22"/>
      <c r="C51" s="14"/>
      <c r="D51" s="18" t="str">
        <f aca="false">IF(C51="","",IF(COUNTIFS('MASTER BAHAN'!$A$5:$A$504,C51)=0,"BELUM ADA",INDEX('MASTER BAHAN'!$B$5:$B$504,MATCH(C51,'MASTER BAHAN'!$A$5:$A$504,0))))</f>
        <v/>
      </c>
      <c r="E51" s="14"/>
      <c r="F51" s="14"/>
      <c r="G51" s="18" t="str">
        <f aca="false">IF(C51="","",IF(COUNTIFS('MASTER BAHAN'!$A$5:$A$504,C51)=0,"BELUM ADA",INDEX('MASTER BAHAN'!$D$5:$D$504,MATCH(C51,'MASTER BAHAN'!$A$5:$A$504,0))))</f>
        <v/>
      </c>
      <c r="H51" s="14"/>
      <c r="I51" s="14"/>
      <c r="J51" s="14"/>
      <c r="K51" s="14"/>
      <c r="L51" s="23"/>
      <c r="M51" s="19" t="str">
        <f aca="false">IF(A51="","",IF(E51&lt;&gt;"Waste",0,IF(NOT(ISNUMBER(L51)),"ISI BIAYA WASTE",IF(K51="Disetujui",ROUND(F51*L51,0),0))))</f>
        <v/>
      </c>
    </row>
    <row r="52" customFormat="false" ht="27" hidden="false" customHeight="true" outlineLevel="0" collapsed="false">
      <c r="A52" s="14"/>
      <c r="B52" s="22"/>
      <c r="C52" s="14"/>
      <c r="D52" s="18" t="str">
        <f aca="false">IF(C52="","",IF(COUNTIFS('MASTER BAHAN'!$A$5:$A$504,C52)=0,"BELUM ADA",INDEX('MASTER BAHAN'!$B$5:$B$504,MATCH(C52,'MASTER BAHAN'!$A$5:$A$504,0))))</f>
        <v/>
      </c>
      <c r="E52" s="14"/>
      <c r="F52" s="14"/>
      <c r="G52" s="18" t="str">
        <f aca="false">IF(C52="","",IF(COUNTIFS('MASTER BAHAN'!$A$5:$A$504,C52)=0,"BELUM ADA",INDEX('MASTER BAHAN'!$D$5:$D$504,MATCH(C52,'MASTER BAHAN'!$A$5:$A$504,0))))</f>
        <v/>
      </c>
      <c r="H52" s="14"/>
      <c r="I52" s="14"/>
      <c r="J52" s="14"/>
      <c r="K52" s="14"/>
      <c r="L52" s="23"/>
      <c r="M52" s="19" t="str">
        <f aca="false">IF(A52="","",IF(E52&lt;&gt;"Waste",0,IF(NOT(ISNUMBER(L52)),"ISI BIAYA WASTE",IF(K52="Disetujui",ROUND(F52*L52,0),0))))</f>
        <v/>
      </c>
    </row>
    <row r="53" customFormat="false" ht="27" hidden="false" customHeight="true" outlineLevel="0" collapsed="false">
      <c r="A53" s="14"/>
      <c r="B53" s="22"/>
      <c r="C53" s="14"/>
      <c r="D53" s="18" t="str">
        <f aca="false">IF(C53="","",IF(COUNTIFS('MASTER BAHAN'!$A$5:$A$504,C53)=0,"BELUM ADA",INDEX('MASTER BAHAN'!$B$5:$B$504,MATCH(C53,'MASTER BAHAN'!$A$5:$A$504,0))))</f>
        <v/>
      </c>
      <c r="E53" s="14"/>
      <c r="F53" s="14"/>
      <c r="G53" s="18" t="str">
        <f aca="false">IF(C53="","",IF(COUNTIFS('MASTER BAHAN'!$A$5:$A$504,C53)=0,"BELUM ADA",INDEX('MASTER BAHAN'!$D$5:$D$504,MATCH(C53,'MASTER BAHAN'!$A$5:$A$504,0))))</f>
        <v/>
      </c>
      <c r="H53" s="14"/>
      <c r="I53" s="14"/>
      <c r="J53" s="14"/>
      <c r="K53" s="14"/>
      <c r="L53" s="23"/>
      <c r="M53" s="19" t="str">
        <f aca="false">IF(A53="","",IF(E53&lt;&gt;"Waste",0,IF(NOT(ISNUMBER(L53)),"ISI BIAYA WASTE",IF(K53="Disetujui",ROUND(F53*L53,0),0))))</f>
        <v/>
      </c>
    </row>
    <row r="54" customFormat="false" ht="27" hidden="false" customHeight="true" outlineLevel="0" collapsed="false">
      <c r="A54" s="14"/>
      <c r="B54" s="22"/>
      <c r="C54" s="14"/>
      <c r="D54" s="18" t="str">
        <f aca="false">IF(C54="","",IF(COUNTIFS('MASTER BAHAN'!$A$5:$A$504,C54)=0,"BELUM ADA",INDEX('MASTER BAHAN'!$B$5:$B$504,MATCH(C54,'MASTER BAHAN'!$A$5:$A$504,0))))</f>
        <v/>
      </c>
      <c r="E54" s="14"/>
      <c r="F54" s="14"/>
      <c r="G54" s="18" t="str">
        <f aca="false">IF(C54="","",IF(COUNTIFS('MASTER BAHAN'!$A$5:$A$504,C54)=0,"BELUM ADA",INDEX('MASTER BAHAN'!$D$5:$D$504,MATCH(C54,'MASTER BAHAN'!$A$5:$A$504,0))))</f>
        <v/>
      </c>
      <c r="H54" s="14"/>
      <c r="I54" s="14"/>
      <c r="J54" s="14"/>
      <c r="K54" s="14"/>
      <c r="L54" s="23"/>
      <c r="M54" s="19" t="str">
        <f aca="false">IF(A54="","",IF(E54&lt;&gt;"Waste",0,IF(NOT(ISNUMBER(L54)),"ISI BIAYA WASTE",IF(K54="Disetujui",ROUND(F54*L54,0),0))))</f>
        <v/>
      </c>
    </row>
    <row r="55" customFormat="false" ht="27" hidden="false" customHeight="true" outlineLevel="0" collapsed="false">
      <c r="A55" s="14"/>
      <c r="B55" s="22"/>
      <c r="C55" s="14"/>
      <c r="D55" s="18" t="str">
        <f aca="false">IF(C55="","",IF(COUNTIFS('MASTER BAHAN'!$A$5:$A$504,C55)=0,"BELUM ADA",INDEX('MASTER BAHAN'!$B$5:$B$504,MATCH(C55,'MASTER BAHAN'!$A$5:$A$504,0))))</f>
        <v/>
      </c>
      <c r="E55" s="14"/>
      <c r="F55" s="14"/>
      <c r="G55" s="18" t="str">
        <f aca="false">IF(C55="","",IF(COUNTIFS('MASTER BAHAN'!$A$5:$A$504,C55)=0,"BELUM ADA",INDEX('MASTER BAHAN'!$D$5:$D$504,MATCH(C55,'MASTER BAHAN'!$A$5:$A$504,0))))</f>
        <v/>
      </c>
      <c r="H55" s="14"/>
      <c r="I55" s="14"/>
      <c r="J55" s="14"/>
      <c r="K55" s="14"/>
      <c r="L55" s="23"/>
      <c r="M55" s="19" t="str">
        <f aca="false">IF(A55="","",IF(E55&lt;&gt;"Waste",0,IF(NOT(ISNUMBER(L55)),"ISI BIAYA WASTE",IF(K55="Disetujui",ROUND(F55*L55,0),0))))</f>
        <v/>
      </c>
    </row>
    <row r="56" customFormat="false" ht="27" hidden="false" customHeight="true" outlineLevel="0" collapsed="false">
      <c r="A56" s="14"/>
      <c r="B56" s="22"/>
      <c r="C56" s="14"/>
      <c r="D56" s="18" t="str">
        <f aca="false">IF(C56="","",IF(COUNTIFS('MASTER BAHAN'!$A$5:$A$504,C56)=0,"BELUM ADA",INDEX('MASTER BAHAN'!$B$5:$B$504,MATCH(C56,'MASTER BAHAN'!$A$5:$A$504,0))))</f>
        <v/>
      </c>
      <c r="E56" s="14"/>
      <c r="F56" s="14"/>
      <c r="G56" s="18" t="str">
        <f aca="false">IF(C56="","",IF(COUNTIFS('MASTER BAHAN'!$A$5:$A$504,C56)=0,"BELUM ADA",INDEX('MASTER BAHAN'!$D$5:$D$504,MATCH(C56,'MASTER BAHAN'!$A$5:$A$504,0))))</f>
        <v/>
      </c>
      <c r="H56" s="14"/>
      <c r="I56" s="14"/>
      <c r="J56" s="14"/>
      <c r="K56" s="14"/>
      <c r="L56" s="23"/>
      <c r="M56" s="19" t="str">
        <f aca="false">IF(A56="","",IF(E56&lt;&gt;"Waste",0,IF(NOT(ISNUMBER(L56)),"ISI BIAYA WASTE",IF(K56="Disetujui",ROUND(F56*L56,0),0))))</f>
        <v/>
      </c>
    </row>
    <row r="57" customFormat="false" ht="27" hidden="false" customHeight="true" outlineLevel="0" collapsed="false">
      <c r="A57" s="14"/>
      <c r="B57" s="22"/>
      <c r="C57" s="14"/>
      <c r="D57" s="18" t="str">
        <f aca="false">IF(C57="","",IF(COUNTIFS('MASTER BAHAN'!$A$5:$A$504,C57)=0,"BELUM ADA",INDEX('MASTER BAHAN'!$B$5:$B$504,MATCH(C57,'MASTER BAHAN'!$A$5:$A$504,0))))</f>
        <v/>
      </c>
      <c r="E57" s="14"/>
      <c r="F57" s="14"/>
      <c r="G57" s="18" t="str">
        <f aca="false">IF(C57="","",IF(COUNTIFS('MASTER BAHAN'!$A$5:$A$504,C57)=0,"BELUM ADA",INDEX('MASTER BAHAN'!$D$5:$D$504,MATCH(C57,'MASTER BAHAN'!$A$5:$A$504,0))))</f>
        <v/>
      </c>
      <c r="H57" s="14"/>
      <c r="I57" s="14"/>
      <c r="J57" s="14"/>
      <c r="K57" s="14"/>
      <c r="L57" s="23"/>
      <c r="M57" s="19" t="str">
        <f aca="false">IF(A57="","",IF(E57&lt;&gt;"Waste",0,IF(NOT(ISNUMBER(L57)),"ISI BIAYA WASTE",IF(K57="Disetujui",ROUND(F57*L57,0),0))))</f>
        <v/>
      </c>
    </row>
    <row r="58" customFormat="false" ht="27" hidden="false" customHeight="true" outlineLevel="0" collapsed="false">
      <c r="A58" s="14"/>
      <c r="B58" s="22"/>
      <c r="C58" s="14"/>
      <c r="D58" s="18" t="str">
        <f aca="false">IF(C58="","",IF(COUNTIFS('MASTER BAHAN'!$A$5:$A$504,C58)=0,"BELUM ADA",INDEX('MASTER BAHAN'!$B$5:$B$504,MATCH(C58,'MASTER BAHAN'!$A$5:$A$504,0))))</f>
        <v/>
      </c>
      <c r="E58" s="14"/>
      <c r="F58" s="14"/>
      <c r="G58" s="18" t="str">
        <f aca="false">IF(C58="","",IF(COUNTIFS('MASTER BAHAN'!$A$5:$A$504,C58)=0,"BELUM ADA",INDEX('MASTER BAHAN'!$D$5:$D$504,MATCH(C58,'MASTER BAHAN'!$A$5:$A$504,0))))</f>
        <v/>
      </c>
      <c r="H58" s="14"/>
      <c r="I58" s="14"/>
      <c r="J58" s="14"/>
      <c r="K58" s="14"/>
      <c r="L58" s="23"/>
      <c r="M58" s="19" t="str">
        <f aca="false">IF(A58="","",IF(E58&lt;&gt;"Waste",0,IF(NOT(ISNUMBER(L58)),"ISI BIAYA WASTE",IF(K58="Disetujui",ROUND(F58*L58,0),0))))</f>
        <v/>
      </c>
    </row>
    <row r="59" customFormat="false" ht="27" hidden="false" customHeight="true" outlineLevel="0" collapsed="false">
      <c r="A59" s="14"/>
      <c r="B59" s="22"/>
      <c r="C59" s="14"/>
      <c r="D59" s="18" t="str">
        <f aca="false">IF(C59="","",IF(COUNTIFS('MASTER BAHAN'!$A$5:$A$504,C59)=0,"BELUM ADA",INDEX('MASTER BAHAN'!$B$5:$B$504,MATCH(C59,'MASTER BAHAN'!$A$5:$A$504,0))))</f>
        <v/>
      </c>
      <c r="E59" s="14"/>
      <c r="F59" s="14"/>
      <c r="G59" s="18" t="str">
        <f aca="false">IF(C59="","",IF(COUNTIFS('MASTER BAHAN'!$A$5:$A$504,C59)=0,"BELUM ADA",INDEX('MASTER BAHAN'!$D$5:$D$504,MATCH(C59,'MASTER BAHAN'!$A$5:$A$504,0))))</f>
        <v/>
      </c>
      <c r="H59" s="14"/>
      <c r="I59" s="14"/>
      <c r="J59" s="14"/>
      <c r="K59" s="14"/>
      <c r="L59" s="23"/>
      <c r="M59" s="19" t="str">
        <f aca="false">IF(A59="","",IF(E59&lt;&gt;"Waste",0,IF(NOT(ISNUMBER(L59)),"ISI BIAYA WASTE",IF(K59="Disetujui",ROUND(F59*L59,0),0))))</f>
        <v/>
      </c>
    </row>
    <row r="60" customFormat="false" ht="27" hidden="false" customHeight="true" outlineLevel="0" collapsed="false">
      <c r="A60" s="14"/>
      <c r="B60" s="22"/>
      <c r="C60" s="14"/>
      <c r="D60" s="18" t="str">
        <f aca="false">IF(C60="","",IF(COUNTIFS('MASTER BAHAN'!$A$5:$A$504,C60)=0,"BELUM ADA",INDEX('MASTER BAHAN'!$B$5:$B$504,MATCH(C60,'MASTER BAHAN'!$A$5:$A$504,0))))</f>
        <v/>
      </c>
      <c r="E60" s="14"/>
      <c r="F60" s="14"/>
      <c r="G60" s="18" t="str">
        <f aca="false">IF(C60="","",IF(COUNTIFS('MASTER BAHAN'!$A$5:$A$504,C60)=0,"BELUM ADA",INDEX('MASTER BAHAN'!$D$5:$D$504,MATCH(C60,'MASTER BAHAN'!$A$5:$A$504,0))))</f>
        <v/>
      </c>
      <c r="H60" s="14"/>
      <c r="I60" s="14"/>
      <c r="J60" s="14"/>
      <c r="K60" s="14"/>
      <c r="L60" s="23"/>
      <c r="M60" s="19" t="str">
        <f aca="false">IF(A60="","",IF(E60&lt;&gt;"Waste",0,IF(NOT(ISNUMBER(L60)),"ISI BIAYA WASTE",IF(K60="Disetujui",ROUND(F60*L60,0),0))))</f>
        <v/>
      </c>
    </row>
    <row r="61" customFormat="false" ht="27" hidden="false" customHeight="true" outlineLevel="0" collapsed="false">
      <c r="A61" s="14"/>
      <c r="B61" s="22"/>
      <c r="C61" s="14"/>
      <c r="D61" s="18" t="str">
        <f aca="false">IF(C61="","",IF(COUNTIFS('MASTER BAHAN'!$A$5:$A$504,C61)=0,"BELUM ADA",INDEX('MASTER BAHAN'!$B$5:$B$504,MATCH(C61,'MASTER BAHAN'!$A$5:$A$504,0))))</f>
        <v/>
      </c>
      <c r="E61" s="14"/>
      <c r="F61" s="14"/>
      <c r="G61" s="18" t="str">
        <f aca="false">IF(C61="","",IF(COUNTIFS('MASTER BAHAN'!$A$5:$A$504,C61)=0,"BELUM ADA",INDEX('MASTER BAHAN'!$D$5:$D$504,MATCH(C61,'MASTER BAHAN'!$A$5:$A$504,0))))</f>
        <v/>
      </c>
      <c r="H61" s="14"/>
      <c r="I61" s="14"/>
      <c r="J61" s="14"/>
      <c r="K61" s="14"/>
      <c r="L61" s="23"/>
      <c r="M61" s="19" t="str">
        <f aca="false">IF(A61="","",IF(E61&lt;&gt;"Waste",0,IF(NOT(ISNUMBER(L61)),"ISI BIAYA WASTE",IF(K61="Disetujui",ROUND(F61*L61,0),0))))</f>
        <v/>
      </c>
    </row>
    <row r="62" customFormat="false" ht="27" hidden="false" customHeight="true" outlineLevel="0" collapsed="false">
      <c r="A62" s="14"/>
      <c r="B62" s="22"/>
      <c r="C62" s="14"/>
      <c r="D62" s="18" t="str">
        <f aca="false">IF(C62="","",IF(COUNTIFS('MASTER BAHAN'!$A$5:$A$504,C62)=0,"BELUM ADA",INDEX('MASTER BAHAN'!$B$5:$B$504,MATCH(C62,'MASTER BAHAN'!$A$5:$A$504,0))))</f>
        <v/>
      </c>
      <c r="E62" s="14"/>
      <c r="F62" s="14"/>
      <c r="G62" s="18" t="str">
        <f aca="false">IF(C62="","",IF(COUNTIFS('MASTER BAHAN'!$A$5:$A$504,C62)=0,"BELUM ADA",INDEX('MASTER BAHAN'!$D$5:$D$504,MATCH(C62,'MASTER BAHAN'!$A$5:$A$504,0))))</f>
        <v/>
      </c>
      <c r="H62" s="14"/>
      <c r="I62" s="14"/>
      <c r="J62" s="14"/>
      <c r="K62" s="14"/>
      <c r="L62" s="23"/>
      <c r="M62" s="19" t="str">
        <f aca="false">IF(A62="","",IF(E62&lt;&gt;"Waste",0,IF(NOT(ISNUMBER(L62)),"ISI BIAYA WASTE",IF(K62="Disetujui",ROUND(F62*L62,0),0))))</f>
        <v/>
      </c>
    </row>
    <row r="63" customFormat="false" ht="27" hidden="false" customHeight="true" outlineLevel="0" collapsed="false">
      <c r="A63" s="14"/>
      <c r="B63" s="22"/>
      <c r="C63" s="14"/>
      <c r="D63" s="18" t="str">
        <f aca="false">IF(C63="","",IF(COUNTIFS('MASTER BAHAN'!$A$5:$A$504,C63)=0,"BELUM ADA",INDEX('MASTER BAHAN'!$B$5:$B$504,MATCH(C63,'MASTER BAHAN'!$A$5:$A$504,0))))</f>
        <v/>
      </c>
      <c r="E63" s="14"/>
      <c r="F63" s="14"/>
      <c r="G63" s="18" t="str">
        <f aca="false">IF(C63="","",IF(COUNTIFS('MASTER BAHAN'!$A$5:$A$504,C63)=0,"BELUM ADA",INDEX('MASTER BAHAN'!$D$5:$D$504,MATCH(C63,'MASTER BAHAN'!$A$5:$A$504,0))))</f>
        <v/>
      </c>
      <c r="H63" s="14"/>
      <c r="I63" s="14"/>
      <c r="J63" s="14"/>
      <c r="K63" s="14"/>
      <c r="L63" s="23"/>
      <c r="M63" s="19" t="str">
        <f aca="false">IF(A63="","",IF(E63&lt;&gt;"Waste",0,IF(NOT(ISNUMBER(L63)),"ISI BIAYA WASTE",IF(K63="Disetujui",ROUND(F63*L63,0),0))))</f>
        <v/>
      </c>
    </row>
    <row r="64" customFormat="false" ht="27" hidden="false" customHeight="true" outlineLevel="0" collapsed="false">
      <c r="A64" s="14"/>
      <c r="B64" s="22"/>
      <c r="C64" s="14"/>
      <c r="D64" s="18" t="str">
        <f aca="false">IF(C64="","",IF(COUNTIFS('MASTER BAHAN'!$A$5:$A$504,C64)=0,"BELUM ADA",INDEX('MASTER BAHAN'!$B$5:$B$504,MATCH(C64,'MASTER BAHAN'!$A$5:$A$504,0))))</f>
        <v/>
      </c>
      <c r="E64" s="14"/>
      <c r="F64" s="14"/>
      <c r="G64" s="18" t="str">
        <f aca="false">IF(C64="","",IF(COUNTIFS('MASTER BAHAN'!$A$5:$A$504,C64)=0,"BELUM ADA",INDEX('MASTER BAHAN'!$D$5:$D$504,MATCH(C64,'MASTER BAHAN'!$A$5:$A$504,0))))</f>
        <v/>
      </c>
      <c r="H64" s="14"/>
      <c r="I64" s="14"/>
      <c r="J64" s="14"/>
      <c r="K64" s="14"/>
      <c r="L64" s="23"/>
      <c r="M64" s="19" t="str">
        <f aca="false">IF(A64="","",IF(E64&lt;&gt;"Waste",0,IF(NOT(ISNUMBER(L64)),"ISI BIAYA WASTE",IF(K64="Disetujui",ROUND(F64*L64,0),0))))</f>
        <v/>
      </c>
    </row>
    <row r="65" customFormat="false" ht="15" hidden="false" customHeight="false" outlineLevel="0" collapsed="false">
      <c r="D65" s="0" t="str">
        <f aca="false">IF(C65="","",IF(COUNTIFS('MASTER BAHAN'!$A$5:$A$504,C65)=0,"BELUM ADA",INDEX('MASTER BAHAN'!$B$5:$B$504,MATCH(C65,'MASTER BAHAN'!$A$5:$A$504,0))))</f>
        <v/>
      </c>
      <c r="G65" s="0" t="str">
        <f aca="false">IF(C65="","",IF(COUNTIFS('MASTER BAHAN'!$A$5:$A$504,C65)=0,"BELUM ADA",INDEX('MASTER BAHAN'!$D$5:$D$504,MATCH(C65,'MASTER BAHAN'!$A$5:$A$504,0))))</f>
        <v/>
      </c>
      <c r="M65" s="0" t="str">
        <f aca="false">IF(A65="","",IF(E65&lt;&gt;"Waste",0,IF(NOT(ISNUMBER(L65)),"ISI BIAYA WASTE",IF(K65="Disetujui",ROUND(F65*L65,0),0))))</f>
        <v/>
      </c>
    </row>
    <row r="66" customFormat="false" ht="15" hidden="false" customHeight="false" outlineLevel="0" collapsed="false">
      <c r="D66" s="0" t="str">
        <f aca="false">IF(C66="","",IF(COUNTIFS('MASTER BAHAN'!$A$5:$A$504,C66)=0,"BELUM ADA",INDEX('MASTER BAHAN'!$B$5:$B$504,MATCH(C66,'MASTER BAHAN'!$A$5:$A$504,0))))</f>
        <v/>
      </c>
      <c r="G66" s="0" t="str">
        <f aca="false">IF(C66="","",IF(COUNTIFS('MASTER BAHAN'!$A$5:$A$504,C66)=0,"BELUM ADA",INDEX('MASTER BAHAN'!$D$5:$D$504,MATCH(C66,'MASTER BAHAN'!$A$5:$A$504,0))))</f>
        <v/>
      </c>
      <c r="M66" s="0" t="str">
        <f aca="false">IF(A66="","",IF(E66&lt;&gt;"Waste",0,IF(NOT(ISNUMBER(L66)),"ISI BIAYA WASTE",IF(K66="Disetujui",ROUND(F66*L66,0),0))))</f>
        <v/>
      </c>
    </row>
    <row r="67" customFormat="false" ht="15" hidden="false" customHeight="false" outlineLevel="0" collapsed="false">
      <c r="D67" s="0" t="str">
        <f aca="false">IF(C67="","",IF(COUNTIFS('MASTER BAHAN'!$A$5:$A$504,C67)=0,"BELUM ADA",INDEX('MASTER BAHAN'!$B$5:$B$504,MATCH(C67,'MASTER BAHAN'!$A$5:$A$504,0))))</f>
        <v/>
      </c>
      <c r="G67" s="0" t="str">
        <f aca="false">IF(C67="","",IF(COUNTIFS('MASTER BAHAN'!$A$5:$A$504,C67)=0,"BELUM ADA",INDEX('MASTER BAHAN'!$D$5:$D$504,MATCH(C67,'MASTER BAHAN'!$A$5:$A$504,0))))</f>
        <v/>
      </c>
      <c r="M67" s="0" t="str">
        <f aca="false">IF(A67="","",IF(E67&lt;&gt;"Waste",0,IF(NOT(ISNUMBER(L67)),"ISI BIAYA WASTE",IF(K67="Disetujui",ROUND(F67*L67,0),0))))</f>
        <v/>
      </c>
    </row>
    <row r="68" customFormat="false" ht="15" hidden="false" customHeight="false" outlineLevel="0" collapsed="false">
      <c r="D68" s="0" t="str">
        <f aca="false">IF(C68="","",IF(COUNTIFS('MASTER BAHAN'!$A$5:$A$504,C68)=0,"BELUM ADA",INDEX('MASTER BAHAN'!$B$5:$B$504,MATCH(C68,'MASTER BAHAN'!$A$5:$A$504,0))))</f>
        <v/>
      </c>
      <c r="G68" s="0" t="str">
        <f aca="false">IF(C68="","",IF(COUNTIFS('MASTER BAHAN'!$A$5:$A$504,C68)=0,"BELUM ADA",INDEX('MASTER BAHAN'!$D$5:$D$504,MATCH(C68,'MASTER BAHAN'!$A$5:$A$504,0))))</f>
        <v/>
      </c>
      <c r="M68" s="0" t="str">
        <f aca="false">IF(A68="","",IF(E68&lt;&gt;"Waste",0,IF(NOT(ISNUMBER(L68)),"ISI BIAYA WASTE",IF(K68="Disetujui",ROUND(F68*L68,0),0))))</f>
        <v/>
      </c>
    </row>
    <row r="69" customFormat="false" ht="15" hidden="false" customHeight="false" outlineLevel="0" collapsed="false">
      <c r="D69" s="0" t="str">
        <f aca="false">IF(C69="","",IF(COUNTIFS('MASTER BAHAN'!$A$5:$A$504,C69)=0,"BELUM ADA",INDEX('MASTER BAHAN'!$B$5:$B$504,MATCH(C69,'MASTER BAHAN'!$A$5:$A$504,0))))</f>
        <v/>
      </c>
      <c r="G69" s="0" t="str">
        <f aca="false">IF(C69="","",IF(COUNTIFS('MASTER BAHAN'!$A$5:$A$504,C69)=0,"BELUM ADA",INDEX('MASTER BAHAN'!$D$5:$D$504,MATCH(C69,'MASTER BAHAN'!$A$5:$A$504,0))))</f>
        <v/>
      </c>
      <c r="M69" s="0" t="str">
        <f aca="false">IF(A69="","",IF(E69&lt;&gt;"Waste",0,IF(NOT(ISNUMBER(L69)),"ISI BIAYA WASTE",IF(K69="Disetujui",ROUND(F69*L69,0),0))))</f>
        <v/>
      </c>
    </row>
    <row r="70" customFormat="false" ht="15" hidden="false" customHeight="false" outlineLevel="0" collapsed="false">
      <c r="D70" s="0" t="str">
        <f aca="false">IF(C70="","",IF(COUNTIFS('MASTER BAHAN'!$A$5:$A$504,C70)=0,"BELUM ADA",INDEX('MASTER BAHAN'!$B$5:$B$504,MATCH(C70,'MASTER BAHAN'!$A$5:$A$504,0))))</f>
        <v/>
      </c>
      <c r="G70" s="0" t="str">
        <f aca="false">IF(C70="","",IF(COUNTIFS('MASTER BAHAN'!$A$5:$A$504,C70)=0,"BELUM ADA",INDEX('MASTER BAHAN'!$D$5:$D$504,MATCH(C70,'MASTER BAHAN'!$A$5:$A$504,0))))</f>
        <v/>
      </c>
      <c r="M70" s="0" t="str">
        <f aca="false">IF(A70="","",IF(E70&lt;&gt;"Waste",0,IF(NOT(ISNUMBER(L70)),"ISI BIAYA WASTE",IF(K70="Disetujui",ROUND(F70*L70,0),0))))</f>
        <v/>
      </c>
    </row>
    <row r="71" customFormat="false" ht="15" hidden="false" customHeight="false" outlineLevel="0" collapsed="false">
      <c r="D71" s="0" t="str">
        <f aca="false">IF(C71="","",IF(COUNTIFS('MASTER BAHAN'!$A$5:$A$504,C71)=0,"BELUM ADA",INDEX('MASTER BAHAN'!$B$5:$B$504,MATCH(C71,'MASTER BAHAN'!$A$5:$A$504,0))))</f>
        <v/>
      </c>
      <c r="G71" s="0" t="str">
        <f aca="false">IF(C71="","",IF(COUNTIFS('MASTER BAHAN'!$A$5:$A$504,C71)=0,"BELUM ADA",INDEX('MASTER BAHAN'!$D$5:$D$504,MATCH(C71,'MASTER BAHAN'!$A$5:$A$504,0))))</f>
        <v/>
      </c>
      <c r="M71" s="0" t="str">
        <f aca="false">IF(A71="","",IF(E71&lt;&gt;"Waste",0,IF(NOT(ISNUMBER(L71)),"ISI BIAYA WASTE",IF(K71="Disetujui",ROUND(F71*L71,0),0))))</f>
        <v/>
      </c>
    </row>
    <row r="72" customFormat="false" ht="15" hidden="false" customHeight="false" outlineLevel="0" collapsed="false">
      <c r="D72" s="0" t="str">
        <f aca="false">IF(C72="","",IF(COUNTIFS('MASTER BAHAN'!$A$5:$A$504,C72)=0,"BELUM ADA",INDEX('MASTER BAHAN'!$B$5:$B$504,MATCH(C72,'MASTER BAHAN'!$A$5:$A$504,0))))</f>
        <v/>
      </c>
      <c r="G72" s="0" t="str">
        <f aca="false">IF(C72="","",IF(COUNTIFS('MASTER BAHAN'!$A$5:$A$504,C72)=0,"BELUM ADA",INDEX('MASTER BAHAN'!$D$5:$D$504,MATCH(C72,'MASTER BAHAN'!$A$5:$A$504,0))))</f>
        <v/>
      </c>
      <c r="M72" s="0" t="str">
        <f aca="false">IF(A72="","",IF(E72&lt;&gt;"Waste",0,IF(NOT(ISNUMBER(L72)),"ISI BIAYA WASTE",IF(K72="Disetujui",ROUND(F72*L72,0),0))))</f>
        <v/>
      </c>
    </row>
    <row r="73" customFormat="false" ht="15" hidden="false" customHeight="false" outlineLevel="0" collapsed="false">
      <c r="D73" s="0" t="str">
        <f aca="false">IF(C73="","",IF(COUNTIFS('MASTER BAHAN'!$A$5:$A$504,C73)=0,"BELUM ADA",INDEX('MASTER BAHAN'!$B$5:$B$504,MATCH(C73,'MASTER BAHAN'!$A$5:$A$504,0))))</f>
        <v/>
      </c>
      <c r="G73" s="0" t="str">
        <f aca="false">IF(C73="","",IF(COUNTIFS('MASTER BAHAN'!$A$5:$A$504,C73)=0,"BELUM ADA",INDEX('MASTER BAHAN'!$D$5:$D$504,MATCH(C73,'MASTER BAHAN'!$A$5:$A$504,0))))</f>
        <v/>
      </c>
      <c r="M73" s="0" t="str">
        <f aca="false">IF(A73="","",IF(E73&lt;&gt;"Waste",0,IF(NOT(ISNUMBER(L73)),"ISI BIAYA WASTE",IF(K73="Disetujui",ROUND(F73*L73,0),0))))</f>
        <v/>
      </c>
    </row>
    <row r="74" customFormat="false" ht="15" hidden="false" customHeight="false" outlineLevel="0" collapsed="false">
      <c r="D74" s="0" t="str">
        <f aca="false">IF(C74="","",IF(COUNTIFS('MASTER BAHAN'!$A$5:$A$504,C74)=0,"BELUM ADA",INDEX('MASTER BAHAN'!$B$5:$B$504,MATCH(C74,'MASTER BAHAN'!$A$5:$A$504,0))))</f>
        <v/>
      </c>
      <c r="G74" s="0" t="str">
        <f aca="false">IF(C74="","",IF(COUNTIFS('MASTER BAHAN'!$A$5:$A$504,C74)=0,"BELUM ADA",INDEX('MASTER BAHAN'!$D$5:$D$504,MATCH(C74,'MASTER BAHAN'!$A$5:$A$504,0))))</f>
        <v/>
      </c>
      <c r="M74" s="0" t="str">
        <f aca="false">IF(A74="","",IF(E74&lt;&gt;"Waste",0,IF(NOT(ISNUMBER(L74)),"ISI BIAYA WASTE",IF(K74="Disetujui",ROUND(F74*L74,0),0))))</f>
        <v/>
      </c>
    </row>
    <row r="75" customFormat="false" ht="15" hidden="false" customHeight="false" outlineLevel="0" collapsed="false">
      <c r="D75" s="0" t="str">
        <f aca="false">IF(C75="","",IF(COUNTIFS('MASTER BAHAN'!$A$5:$A$504,C75)=0,"BELUM ADA",INDEX('MASTER BAHAN'!$B$5:$B$504,MATCH(C75,'MASTER BAHAN'!$A$5:$A$504,0))))</f>
        <v/>
      </c>
      <c r="G75" s="0" t="str">
        <f aca="false">IF(C75="","",IF(COUNTIFS('MASTER BAHAN'!$A$5:$A$504,C75)=0,"BELUM ADA",INDEX('MASTER BAHAN'!$D$5:$D$504,MATCH(C75,'MASTER BAHAN'!$A$5:$A$504,0))))</f>
        <v/>
      </c>
      <c r="M75" s="0" t="str">
        <f aca="false">IF(A75="","",IF(E75&lt;&gt;"Waste",0,IF(NOT(ISNUMBER(L75)),"ISI BIAYA WASTE",IF(K75="Disetujui",ROUND(F75*L75,0),0))))</f>
        <v/>
      </c>
    </row>
    <row r="76" customFormat="false" ht="15" hidden="false" customHeight="false" outlineLevel="0" collapsed="false">
      <c r="D76" s="0" t="str">
        <f aca="false">IF(C76="","",IF(COUNTIFS('MASTER BAHAN'!$A$5:$A$504,C76)=0,"BELUM ADA",INDEX('MASTER BAHAN'!$B$5:$B$504,MATCH(C76,'MASTER BAHAN'!$A$5:$A$504,0))))</f>
        <v/>
      </c>
      <c r="G76" s="0" t="str">
        <f aca="false">IF(C76="","",IF(COUNTIFS('MASTER BAHAN'!$A$5:$A$504,C76)=0,"BELUM ADA",INDEX('MASTER BAHAN'!$D$5:$D$504,MATCH(C76,'MASTER BAHAN'!$A$5:$A$504,0))))</f>
        <v/>
      </c>
      <c r="M76" s="0" t="str">
        <f aca="false">IF(A76="","",IF(E76&lt;&gt;"Waste",0,IF(NOT(ISNUMBER(L76)),"ISI BIAYA WASTE",IF(K76="Disetujui",ROUND(F76*L76,0),0))))</f>
        <v/>
      </c>
    </row>
    <row r="77" customFormat="false" ht="15" hidden="false" customHeight="false" outlineLevel="0" collapsed="false">
      <c r="D77" s="0" t="str">
        <f aca="false">IF(C77="","",IF(COUNTIFS('MASTER BAHAN'!$A$5:$A$504,C77)=0,"BELUM ADA",INDEX('MASTER BAHAN'!$B$5:$B$504,MATCH(C77,'MASTER BAHAN'!$A$5:$A$504,0))))</f>
        <v/>
      </c>
      <c r="G77" s="0" t="str">
        <f aca="false">IF(C77="","",IF(COUNTIFS('MASTER BAHAN'!$A$5:$A$504,C77)=0,"BELUM ADA",INDEX('MASTER BAHAN'!$D$5:$D$504,MATCH(C77,'MASTER BAHAN'!$A$5:$A$504,0))))</f>
        <v/>
      </c>
      <c r="M77" s="0" t="str">
        <f aca="false">IF(A77="","",IF(E77&lt;&gt;"Waste",0,IF(NOT(ISNUMBER(L77)),"ISI BIAYA WASTE",IF(K77="Disetujui",ROUND(F77*L77,0),0))))</f>
        <v/>
      </c>
    </row>
    <row r="78" customFormat="false" ht="15" hidden="false" customHeight="false" outlineLevel="0" collapsed="false">
      <c r="D78" s="0" t="str">
        <f aca="false">IF(C78="","",IF(COUNTIFS('MASTER BAHAN'!$A$5:$A$504,C78)=0,"BELUM ADA",INDEX('MASTER BAHAN'!$B$5:$B$504,MATCH(C78,'MASTER BAHAN'!$A$5:$A$504,0))))</f>
        <v/>
      </c>
      <c r="G78" s="0" t="str">
        <f aca="false">IF(C78="","",IF(COUNTIFS('MASTER BAHAN'!$A$5:$A$504,C78)=0,"BELUM ADA",INDEX('MASTER BAHAN'!$D$5:$D$504,MATCH(C78,'MASTER BAHAN'!$A$5:$A$504,0))))</f>
        <v/>
      </c>
      <c r="M78" s="0" t="str">
        <f aca="false">IF(A78="","",IF(E78&lt;&gt;"Waste",0,IF(NOT(ISNUMBER(L78)),"ISI BIAYA WASTE",IF(K78="Disetujui",ROUND(F78*L78,0),0))))</f>
        <v/>
      </c>
    </row>
    <row r="79" customFormat="false" ht="15" hidden="false" customHeight="false" outlineLevel="0" collapsed="false">
      <c r="D79" s="0" t="str">
        <f aca="false">IF(C79="","",IF(COUNTIFS('MASTER BAHAN'!$A$5:$A$504,C79)=0,"BELUM ADA",INDEX('MASTER BAHAN'!$B$5:$B$504,MATCH(C79,'MASTER BAHAN'!$A$5:$A$504,0))))</f>
        <v/>
      </c>
      <c r="G79" s="0" t="str">
        <f aca="false">IF(C79="","",IF(COUNTIFS('MASTER BAHAN'!$A$5:$A$504,C79)=0,"BELUM ADA",INDEX('MASTER BAHAN'!$D$5:$D$504,MATCH(C79,'MASTER BAHAN'!$A$5:$A$504,0))))</f>
        <v/>
      </c>
      <c r="M79" s="0" t="str">
        <f aca="false">IF(A79="","",IF(E79&lt;&gt;"Waste",0,IF(NOT(ISNUMBER(L79)),"ISI BIAYA WASTE",IF(K79="Disetujui",ROUND(F79*L79,0),0))))</f>
        <v/>
      </c>
    </row>
    <row r="80" customFormat="false" ht="15" hidden="false" customHeight="false" outlineLevel="0" collapsed="false">
      <c r="D80" s="0" t="str">
        <f aca="false">IF(C80="","",IF(COUNTIFS('MASTER BAHAN'!$A$5:$A$504,C80)=0,"BELUM ADA",INDEX('MASTER BAHAN'!$B$5:$B$504,MATCH(C80,'MASTER BAHAN'!$A$5:$A$504,0))))</f>
        <v/>
      </c>
      <c r="G80" s="0" t="str">
        <f aca="false">IF(C80="","",IF(COUNTIFS('MASTER BAHAN'!$A$5:$A$504,C80)=0,"BELUM ADA",INDEX('MASTER BAHAN'!$D$5:$D$504,MATCH(C80,'MASTER BAHAN'!$A$5:$A$504,0))))</f>
        <v/>
      </c>
      <c r="M80" s="0" t="str">
        <f aca="false">IF(A80="","",IF(E80&lt;&gt;"Waste",0,IF(NOT(ISNUMBER(L80)),"ISI BIAYA WASTE",IF(K80="Disetujui",ROUND(F80*L80,0),0))))</f>
        <v/>
      </c>
    </row>
    <row r="81" customFormat="false" ht="15" hidden="false" customHeight="false" outlineLevel="0" collapsed="false">
      <c r="D81" s="0" t="str">
        <f aca="false">IF(C81="","",IF(COUNTIFS('MASTER BAHAN'!$A$5:$A$504,C81)=0,"BELUM ADA",INDEX('MASTER BAHAN'!$B$5:$B$504,MATCH(C81,'MASTER BAHAN'!$A$5:$A$504,0))))</f>
        <v/>
      </c>
      <c r="G81" s="0" t="str">
        <f aca="false">IF(C81="","",IF(COUNTIFS('MASTER BAHAN'!$A$5:$A$504,C81)=0,"BELUM ADA",INDEX('MASTER BAHAN'!$D$5:$D$504,MATCH(C81,'MASTER BAHAN'!$A$5:$A$504,0))))</f>
        <v/>
      </c>
      <c r="M81" s="0" t="str">
        <f aca="false">IF(A81="","",IF(E81&lt;&gt;"Waste",0,IF(NOT(ISNUMBER(L81)),"ISI BIAYA WASTE",IF(K81="Disetujui",ROUND(F81*L81,0),0))))</f>
        <v/>
      </c>
    </row>
    <row r="82" customFormat="false" ht="15" hidden="false" customHeight="false" outlineLevel="0" collapsed="false">
      <c r="D82" s="0" t="str">
        <f aca="false">IF(C82="","",IF(COUNTIFS('MASTER BAHAN'!$A$5:$A$504,C82)=0,"BELUM ADA",INDEX('MASTER BAHAN'!$B$5:$B$504,MATCH(C82,'MASTER BAHAN'!$A$5:$A$504,0))))</f>
        <v/>
      </c>
      <c r="G82" s="0" t="str">
        <f aca="false">IF(C82="","",IF(COUNTIFS('MASTER BAHAN'!$A$5:$A$504,C82)=0,"BELUM ADA",INDEX('MASTER BAHAN'!$D$5:$D$504,MATCH(C82,'MASTER BAHAN'!$A$5:$A$504,0))))</f>
        <v/>
      </c>
      <c r="M82" s="0" t="str">
        <f aca="false">IF(A82="","",IF(E82&lt;&gt;"Waste",0,IF(NOT(ISNUMBER(L82)),"ISI BIAYA WASTE",IF(K82="Disetujui",ROUND(F82*L82,0),0))))</f>
        <v/>
      </c>
    </row>
    <row r="83" customFormat="false" ht="15" hidden="false" customHeight="false" outlineLevel="0" collapsed="false">
      <c r="D83" s="0" t="str">
        <f aca="false">IF(C83="","",IF(COUNTIFS('MASTER BAHAN'!$A$5:$A$504,C83)=0,"BELUM ADA",INDEX('MASTER BAHAN'!$B$5:$B$504,MATCH(C83,'MASTER BAHAN'!$A$5:$A$504,0))))</f>
        <v/>
      </c>
      <c r="G83" s="0" t="str">
        <f aca="false">IF(C83="","",IF(COUNTIFS('MASTER BAHAN'!$A$5:$A$504,C83)=0,"BELUM ADA",INDEX('MASTER BAHAN'!$D$5:$D$504,MATCH(C83,'MASTER BAHAN'!$A$5:$A$504,0))))</f>
        <v/>
      </c>
      <c r="M83" s="0" t="str">
        <f aca="false">IF(A83="","",IF(E83&lt;&gt;"Waste",0,IF(NOT(ISNUMBER(L83)),"ISI BIAYA WASTE",IF(K83="Disetujui",ROUND(F83*L83,0),0))))</f>
        <v/>
      </c>
    </row>
    <row r="84" customFormat="false" ht="15" hidden="false" customHeight="false" outlineLevel="0" collapsed="false">
      <c r="D84" s="0" t="str">
        <f aca="false">IF(C84="","",IF(COUNTIFS('MASTER BAHAN'!$A$5:$A$504,C84)=0,"BELUM ADA",INDEX('MASTER BAHAN'!$B$5:$B$504,MATCH(C84,'MASTER BAHAN'!$A$5:$A$504,0))))</f>
        <v/>
      </c>
      <c r="G84" s="0" t="str">
        <f aca="false">IF(C84="","",IF(COUNTIFS('MASTER BAHAN'!$A$5:$A$504,C84)=0,"BELUM ADA",INDEX('MASTER BAHAN'!$D$5:$D$504,MATCH(C84,'MASTER BAHAN'!$A$5:$A$504,0))))</f>
        <v/>
      </c>
      <c r="M84" s="0" t="str">
        <f aca="false">IF(A84="","",IF(E84&lt;&gt;"Waste",0,IF(NOT(ISNUMBER(L84)),"ISI BIAYA WASTE",IF(K84="Disetujui",ROUND(F84*L84,0),0))))</f>
        <v/>
      </c>
    </row>
    <row r="85" customFormat="false" ht="15" hidden="false" customHeight="false" outlineLevel="0" collapsed="false">
      <c r="D85" s="0" t="str">
        <f aca="false">IF(C85="","",IF(COUNTIFS('MASTER BAHAN'!$A$5:$A$504,C85)=0,"BELUM ADA",INDEX('MASTER BAHAN'!$B$5:$B$504,MATCH(C85,'MASTER BAHAN'!$A$5:$A$504,0))))</f>
        <v/>
      </c>
      <c r="G85" s="0" t="str">
        <f aca="false">IF(C85="","",IF(COUNTIFS('MASTER BAHAN'!$A$5:$A$504,C85)=0,"BELUM ADA",INDEX('MASTER BAHAN'!$D$5:$D$504,MATCH(C85,'MASTER BAHAN'!$A$5:$A$504,0))))</f>
        <v/>
      </c>
      <c r="M85" s="0" t="str">
        <f aca="false">IF(A85="","",IF(E85&lt;&gt;"Waste",0,IF(NOT(ISNUMBER(L85)),"ISI BIAYA WASTE",IF(K85="Disetujui",ROUND(F85*L85,0),0))))</f>
        <v/>
      </c>
    </row>
    <row r="86" customFormat="false" ht="15" hidden="false" customHeight="false" outlineLevel="0" collapsed="false">
      <c r="D86" s="0" t="str">
        <f aca="false">IF(C86="","",IF(COUNTIFS('MASTER BAHAN'!$A$5:$A$504,C86)=0,"BELUM ADA",INDEX('MASTER BAHAN'!$B$5:$B$504,MATCH(C86,'MASTER BAHAN'!$A$5:$A$504,0))))</f>
        <v/>
      </c>
      <c r="G86" s="0" t="str">
        <f aca="false">IF(C86="","",IF(COUNTIFS('MASTER BAHAN'!$A$5:$A$504,C86)=0,"BELUM ADA",INDEX('MASTER BAHAN'!$D$5:$D$504,MATCH(C86,'MASTER BAHAN'!$A$5:$A$504,0))))</f>
        <v/>
      </c>
      <c r="M86" s="0" t="str">
        <f aca="false">IF(A86="","",IF(E86&lt;&gt;"Waste",0,IF(NOT(ISNUMBER(L86)),"ISI BIAYA WASTE",IF(K86="Disetujui",ROUND(F86*L86,0),0))))</f>
        <v/>
      </c>
    </row>
    <row r="87" customFormat="false" ht="15" hidden="false" customHeight="false" outlineLevel="0" collapsed="false">
      <c r="D87" s="0" t="str">
        <f aca="false">IF(C87="","",IF(COUNTIFS('MASTER BAHAN'!$A$5:$A$504,C87)=0,"BELUM ADA",INDEX('MASTER BAHAN'!$B$5:$B$504,MATCH(C87,'MASTER BAHAN'!$A$5:$A$504,0))))</f>
        <v/>
      </c>
      <c r="G87" s="0" t="str">
        <f aca="false">IF(C87="","",IF(COUNTIFS('MASTER BAHAN'!$A$5:$A$504,C87)=0,"BELUM ADA",INDEX('MASTER BAHAN'!$D$5:$D$504,MATCH(C87,'MASTER BAHAN'!$A$5:$A$504,0))))</f>
        <v/>
      </c>
      <c r="M87" s="0" t="str">
        <f aca="false">IF(A87="","",IF(E87&lt;&gt;"Waste",0,IF(NOT(ISNUMBER(L87)),"ISI BIAYA WASTE",IF(K87="Disetujui",ROUND(F87*L87,0),0))))</f>
        <v/>
      </c>
    </row>
    <row r="88" customFormat="false" ht="15" hidden="false" customHeight="false" outlineLevel="0" collapsed="false">
      <c r="D88" s="0" t="str">
        <f aca="false">IF(C88="","",IF(COUNTIFS('MASTER BAHAN'!$A$5:$A$504,C88)=0,"BELUM ADA",INDEX('MASTER BAHAN'!$B$5:$B$504,MATCH(C88,'MASTER BAHAN'!$A$5:$A$504,0))))</f>
        <v/>
      </c>
      <c r="G88" s="0" t="str">
        <f aca="false">IF(C88="","",IF(COUNTIFS('MASTER BAHAN'!$A$5:$A$504,C88)=0,"BELUM ADA",INDEX('MASTER BAHAN'!$D$5:$D$504,MATCH(C88,'MASTER BAHAN'!$A$5:$A$504,0))))</f>
        <v/>
      </c>
      <c r="M88" s="0" t="str">
        <f aca="false">IF(A88="","",IF(E88&lt;&gt;"Waste",0,IF(NOT(ISNUMBER(L88)),"ISI BIAYA WASTE",IF(K88="Disetujui",ROUND(F88*L88,0),0))))</f>
        <v/>
      </c>
    </row>
    <row r="89" customFormat="false" ht="15" hidden="false" customHeight="false" outlineLevel="0" collapsed="false">
      <c r="D89" s="0" t="str">
        <f aca="false">IF(C89="","",IF(COUNTIFS('MASTER BAHAN'!$A$5:$A$504,C89)=0,"BELUM ADA",INDEX('MASTER BAHAN'!$B$5:$B$504,MATCH(C89,'MASTER BAHAN'!$A$5:$A$504,0))))</f>
        <v/>
      </c>
      <c r="G89" s="0" t="str">
        <f aca="false">IF(C89="","",IF(COUNTIFS('MASTER BAHAN'!$A$5:$A$504,C89)=0,"BELUM ADA",INDEX('MASTER BAHAN'!$D$5:$D$504,MATCH(C89,'MASTER BAHAN'!$A$5:$A$504,0))))</f>
        <v/>
      </c>
      <c r="M89" s="0" t="str">
        <f aca="false">IF(A89="","",IF(E89&lt;&gt;"Waste",0,IF(NOT(ISNUMBER(L89)),"ISI BIAYA WASTE",IF(K89="Disetujui",ROUND(F89*L89,0),0))))</f>
        <v/>
      </c>
    </row>
    <row r="90" customFormat="false" ht="15" hidden="false" customHeight="false" outlineLevel="0" collapsed="false">
      <c r="D90" s="0" t="str">
        <f aca="false">IF(C90="","",IF(COUNTIFS('MASTER BAHAN'!$A$5:$A$504,C90)=0,"BELUM ADA",INDEX('MASTER BAHAN'!$B$5:$B$504,MATCH(C90,'MASTER BAHAN'!$A$5:$A$504,0))))</f>
        <v/>
      </c>
      <c r="G90" s="0" t="str">
        <f aca="false">IF(C90="","",IF(COUNTIFS('MASTER BAHAN'!$A$5:$A$504,C90)=0,"BELUM ADA",INDEX('MASTER BAHAN'!$D$5:$D$504,MATCH(C90,'MASTER BAHAN'!$A$5:$A$504,0))))</f>
        <v/>
      </c>
      <c r="M90" s="0" t="str">
        <f aca="false">IF(A90="","",IF(E90&lt;&gt;"Waste",0,IF(NOT(ISNUMBER(L90)),"ISI BIAYA WASTE",IF(K90="Disetujui",ROUND(F90*L90,0),0))))</f>
        <v/>
      </c>
    </row>
    <row r="91" customFormat="false" ht="15" hidden="false" customHeight="false" outlineLevel="0" collapsed="false">
      <c r="D91" s="0" t="str">
        <f aca="false">IF(C91="","",IF(COUNTIFS('MASTER BAHAN'!$A$5:$A$504,C91)=0,"BELUM ADA",INDEX('MASTER BAHAN'!$B$5:$B$504,MATCH(C91,'MASTER BAHAN'!$A$5:$A$504,0))))</f>
        <v/>
      </c>
      <c r="G91" s="0" t="str">
        <f aca="false">IF(C91="","",IF(COUNTIFS('MASTER BAHAN'!$A$5:$A$504,C91)=0,"BELUM ADA",INDEX('MASTER BAHAN'!$D$5:$D$504,MATCH(C91,'MASTER BAHAN'!$A$5:$A$504,0))))</f>
        <v/>
      </c>
      <c r="M91" s="0" t="str">
        <f aca="false">IF(A91="","",IF(E91&lt;&gt;"Waste",0,IF(NOT(ISNUMBER(L91)),"ISI BIAYA WASTE",IF(K91="Disetujui",ROUND(F91*L91,0),0))))</f>
        <v/>
      </c>
    </row>
    <row r="92" customFormat="false" ht="15" hidden="false" customHeight="false" outlineLevel="0" collapsed="false">
      <c r="D92" s="0" t="str">
        <f aca="false">IF(C92="","",IF(COUNTIFS('MASTER BAHAN'!$A$5:$A$504,C92)=0,"BELUM ADA",INDEX('MASTER BAHAN'!$B$5:$B$504,MATCH(C92,'MASTER BAHAN'!$A$5:$A$504,0))))</f>
        <v/>
      </c>
      <c r="G92" s="0" t="str">
        <f aca="false">IF(C92="","",IF(COUNTIFS('MASTER BAHAN'!$A$5:$A$504,C92)=0,"BELUM ADA",INDEX('MASTER BAHAN'!$D$5:$D$504,MATCH(C92,'MASTER BAHAN'!$A$5:$A$504,0))))</f>
        <v/>
      </c>
      <c r="M92" s="0" t="str">
        <f aca="false">IF(A92="","",IF(E92&lt;&gt;"Waste",0,IF(NOT(ISNUMBER(L92)),"ISI BIAYA WASTE",IF(K92="Disetujui",ROUND(F92*L92,0),0))))</f>
        <v/>
      </c>
    </row>
    <row r="93" customFormat="false" ht="15" hidden="false" customHeight="false" outlineLevel="0" collapsed="false">
      <c r="D93" s="0" t="str">
        <f aca="false">IF(C93="","",IF(COUNTIFS('MASTER BAHAN'!$A$5:$A$504,C93)=0,"BELUM ADA",INDEX('MASTER BAHAN'!$B$5:$B$504,MATCH(C93,'MASTER BAHAN'!$A$5:$A$504,0))))</f>
        <v/>
      </c>
      <c r="G93" s="0" t="str">
        <f aca="false">IF(C93="","",IF(COUNTIFS('MASTER BAHAN'!$A$5:$A$504,C93)=0,"BELUM ADA",INDEX('MASTER BAHAN'!$D$5:$D$504,MATCH(C93,'MASTER BAHAN'!$A$5:$A$504,0))))</f>
        <v/>
      </c>
      <c r="M93" s="0" t="str">
        <f aca="false">IF(A93="","",IF(E93&lt;&gt;"Waste",0,IF(NOT(ISNUMBER(L93)),"ISI BIAYA WASTE",IF(K93="Disetujui",ROUND(F93*L93,0),0))))</f>
        <v/>
      </c>
    </row>
    <row r="94" customFormat="false" ht="15" hidden="false" customHeight="false" outlineLevel="0" collapsed="false">
      <c r="D94" s="0" t="str">
        <f aca="false">IF(C94="","",IF(COUNTIFS('MASTER BAHAN'!$A$5:$A$504,C94)=0,"BELUM ADA",INDEX('MASTER BAHAN'!$B$5:$B$504,MATCH(C94,'MASTER BAHAN'!$A$5:$A$504,0))))</f>
        <v/>
      </c>
      <c r="G94" s="0" t="str">
        <f aca="false">IF(C94="","",IF(COUNTIFS('MASTER BAHAN'!$A$5:$A$504,C94)=0,"BELUM ADA",INDEX('MASTER BAHAN'!$D$5:$D$504,MATCH(C94,'MASTER BAHAN'!$A$5:$A$504,0))))</f>
        <v/>
      </c>
      <c r="M94" s="0" t="str">
        <f aca="false">IF(A94="","",IF(E94&lt;&gt;"Waste",0,IF(NOT(ISNUMBER(L94)),"ISI BIAYA WASTE",IF(K94="Disetujui",ROUND(F94*L94,0),0))))</f>
        <v/>
      </c>
    </row>
    <row r="95" customFormat="false" ht="15" hidden="false" customHeight="false" outlineLevel="0" collapsed="false">
      <c r="D95" s="0" t="str">
        <f aca="false">IF(C95="","",IF(COUNTIFS('MASTER BAHAN'!$A$5:$A$504,C95)=0,"BELUM ADA",INDEX('MASTER BAHAN'!$B$5:$B$504,MATCH(C95,'MASTER BAHAN'!$A$5:$A$504,0))))</f>
        <v/>
      </c>
      <c r="G95" s="0" t="str">
        <f aca="false">IF(C95="","",IF(COUNTIFS('MASTER BAHAN'!$A$5:$A$504,C95)=0,"BELUM ADA",INDEX('MASTER BAHAN'!$D$5:$D$504,MATCH(C95,'MASTER BAHAN'!$A$5:$A$504,0))))</f>
        <v/>
      </c>
      <c r="M95" s="0" t="str">
        <f aca="false">IF(A95="","",IF(E95&lt;&gt;"Waste",0,IF(NOT(ISNUMBER(L95)),"ISI BIAYA WASTE",IF(K95="Disetujui",ROUND(F95*L95,0),0))))</f>
        <v/>
      </c>
    </row>
    <row r="96" customFormat="false" ht="15" hidden="false" customHeight="false" outlineLevel="0" collapsed="false">
      <c r="D96" s="0" t="str">
        <f aca="false">IF(C96="","",IF(COUNTIFS('MASTER BAHAN'!$A$5:$A$504,C96)=0,"BELUM ADA",INDEX('MASTER BAHAN'!$B$5:$B$504,MATCH(C96,'MASTER BAHAN'!$A$5:$A$504,0))))</f>
        <v/>
      </c>
      <c r="G96" s="0" t="str">
        <f aca="false">IF(C96="","",IF(COUNTIFS('MASTER BAHAN'!$A$5:$A$504,C96)=0,"BELUM ADA",INDEX('MASTER BAHAN'!$D$5:$D$504,MATCH(C96,'MASTER BAHAN'!$A$5:$A$504,0))))</f>
        <v/>
      </c>
      <c r="M96" s="0" t="str">
        <f aca="false">IF(A96="","",IF(E96&lt;&gt;"Waste",0,IF(NOT(ISNUMBER(L96)),"ISI BIAYA WASTE",IF(K96="Disetujui",ROUND(F96*L96,0),0))))</f>
        <v/>
      </c>
    </row>
    <row r="97" customFormat="false" ht="15" hidden="false" customHeight="false" outlineLevel="0" collapsed="false">
      <c r="D97" s="0" t="str">
        <f aca="false">IF(C97="","",IF(COUNTIFS('MASTER BAHAN'!$A$5:$A$504,C97)=0,"BELUM ADA",INDEX('MASTER BAHAN'!$B$5:$B$504,MATCH(C97,'MASTER BAHAN'!$A$5:$A$504,0))))</f>
        <v/>
      </c>
      <c r="G97" s="0" t="str">
        <f aca="false">IF(C97="","",IF(COUNTIFS('MASTER BAHAN'!$A$5:$A$504,C97)=0,"BELUM ADA",INDEX('MASTER BAHAN'!$D$5:$D$504,MATCH(C97,'MASTER BAHAN'!$A$5:$A$504,0))))</f>
        <v/>
      </c>
      <c r="M97" s="0" t="str">
        <f aca="false">IF(A97="","",IF(E97&lt;&gt;"Waste",0,IF(NOT(ISNUMBER(L97)),"ISI BIAYA WASTE",IF(K97="Disetujui",ROUND(F97*L97,0),0))))</f>
        <v/>
      </c>
    </row>
    <row r="98" customFormat="false" ht="15" hidden="false" customHeight="false" outlineLevel="0" collapsed="false">
      <c r="D98" s="0" t="str">
        <f aca="false">IF(C98="","",IF(COUNTIFS('MASTER BAHAN'!$A$5:$A$504,C98)=0,"BELUM ADA",INDEX('MASTER BAHAN'!$B$5:$B$504,MATCH(C98,'MASTER BAHAN'!$A$5:$A$504,0))))</f>
        <v/>
      </c>
      <c r="G98" s="0" t="str">
        <f aca="false">IF(C98="","",IF(COUNTIFS('MASTER BAHAN'!$A$5:$A$504,C98)=0,"BELUM ADA",INDEX('MASTER BAHAN'!$D$5:$D$504,MATCH(C98,'MASTER BAHAN'!$A$5:$A$504,0))))</f>
        <v/>
      </c>
      <c r="M98" s="0" t="str">
        <f aca="false">IF(A98="","",IF(E98&lt;&gt;"Waste",0,IF(NOT(ISNUMBER(L98)),"ISI BIAYA WASTE",IF(K98="Disetujui",ROUND(F98*L98,0),0))))</f>
        <v/>
      </c>
    </row>
    <row r="99" customFormat="false" ht="15" hidden="false" customHeight="false" outlineLevel="0" collapsed="false">
      <c r="D99" s="0" t="str">
        <f aca="false">IF(C99="","",IF(COUNTIFS('MASTER BAHAN'!$A$5:$A$504,C99)=0,"BELUM ADA",INDEX('MASTER BAHAN'!$B$5:$B$504,MATCH(C99,'MASTER BAHAN'!$A$5:$A$504,0))))</f>
        <v/>
      </c>
      <c r="G99" s="0" t="str">
        <f aca="false">IF(C99="","",IF(COUNTIFS('MASTER BAHAN'!$A$5:$A$504,C99)=0,"BELUM ADA",INDEX('MASTER BAHAN'!$D$5:$D$504,MATCH(C99,'MASTER BAHAN'!$A$5:$A$504,0))))</f>
        <v/>
      </c>
      <c r="M99" s="0" t="str">
        <f aca="false">IF(A99="","",IF(E99&lt;&gt;"Waste",0,IF(NOT(ISNUMBER(L99)),"ISI BIAYA WASTE",IF(K99="Disetujui",ROUND(F99*L99,0),0))))</f>
        <v/>
      </c>
    </row>
    <row r="100" customFormat="false" ht="15" hidden="false" customHeight="false" outlineLevel="0" collapsed="false">
      <c r="D100" s="0" t="str">
        <f aca="false">IF(C100="","",IF(COUNTIFS('MASTER BAHAN'!$A$5:$A$504,C100)=0,"BELUM ADA",INDEX('MASTER BAHAN'!$B$5:$B$504,MATCH(C100,'MASTER BAHAN'!$A$5:$A$504,0))))</f>
        <v/>
      </c>
      <c r="G100" s="0" t="str">
        <f aca="false">IF(C100="","",IF(COUNTIFS('MASTER BAHAN'!$A$5:$A$504,C100)=0,"BELUM ADA",INDEX('MASTER BAHAN'!$D$5:$D$504,MATCH(C100,'MASTER BAHAN'!$A$5:$A$504,0))))</f>
        <v/>
      </c>
      <c r="M100" s="0" t="str">
        <f aca="false">IF(A100="","",IF(E100&lt;&gt;"Waste",0,IF(NOT(ISNUMBER(L100)),"ISI BIAYA WASTE",IF(K100="Disetujui",ROUND(F100*L100,0),0))))</f>
        <v/>
      </c>
    </row>
    <row r="101" customFormat="false" ht="15" hidden="false" customHeight="false" outlineLevel="0" collapsed="false">
      <c r="D101" s="0" t="str">
        <f aca="false">IF(C101="","",IF(COUNTIFS('MASTER BAHAN'!$A$5:$A$504,C101)=0,"BELUM ADA",INDEX('MASTER BAHAN'!$B$5:$B$504,MATCH(C101,'MASTER BAHAN'!$A$5:$A$504,0))))</f>
        <v/>
      </c>
      <c r="G101" s="0" t="str">
        <f aca="false">IF(C101="","",IF(COUNTIFS('MASTER BAHAN'!$A$5:$A$504,C101)=0,"BELUM ADA",INDEX('MASTER BAHAN'!$D$5:$D$504,MATCH(C101,'MASTER BAHAN'!$A$5:$A$504,0))))</f>
        <v/>
      </c>
      <c r="M101" s="0" t="str">
        <f aca="false">IF(A101="","",IF(E101&lt;&gt;"Waste",0,IF(NOT(ISNUMBER(L101)),"ISI BIAYA WASTE",IF(K101="Disetujui",ROUND(F101*L101,0),0))))</f>
        <v/>
      </c>
    </row>
    <row r="102" customFormat="false" ht="15" hidden="false" customHeight="false" outlineLevel="0" collapsed="false">
      <c r="D102" s="0" t="str">
        <f aca="false">IF(C102="","",IF(COUNTIFS('MASTER BAHAN'!$A$5:$A$504,C102)=0,"BELUM ADA",INDEX('MASTER BAHAN'!$B$5:$B$504,MATCH(C102,'MASTER BAHAN'!$A$5:$A$504,0))))</f>
        <v/>
      </c>
      <c r="G102" s="0" t="str">
        <f aca="false">IF(C102="","",IF(COUNTIFS('MASTER BAHAN'!$A$5:$A$504,C102)=0,"BELUM ADA",INDEX('MASTER BAHAN'!$D$5:$D$504,MATCH(C102,'MASTER BAHAN'!$A$5:$A$504,0))))</f>
        <v/>
      </c>
      <c r="M102" s="0" t="str">
        <f aca="false">IF(A102="","",IF(E102&lt;&gt;"Waste",0,IF(NOT(ISNUMBER(L102)),"ISI BIAYA WASTE",IF(K102="Disetujui",ROUND(F102*L102,0),0))))</f>
        <v/>
      </c>
    </row>
    <row r="103" customFormat="false" ht="15" hidden="false" customHeight="false" outlineLevel="0" collapsed="false">
      <c r="D103" s="0" t="str">
        <f aca="false">IF(C103="","",IF(COUNTIFS('MASTER BAHAN'!$A$5:$A$504,C103)=0,"BELUM ADA",INDEX('MASTER BAHAN'!$B$5:$B$504,MATCH(C103,'MASTER BAHAN'!$A$5:$A$504,0))))</f>
        <v/>
      </c>
      <c r="G103" s="0" t="str">
        <f aca="false">IF(C103="","",IF(COUNTIFS('MASTER BAHAN'!$A$5:$A$504,C103)=0,"BELUM ADA",INDEX('MASTER BAHAN'!$D$5:$D$504,MATCH(C103,'MASTER BAHAN'!$A$5:$A$504,0))))</f>
        <v/>
      </c>
      <c r="M103" s="0" t="str">
        <f aca="false">IF(A103="","",IF(E103&lt;&gt;"Waste",0,IF(NOT(ISNUMBER(L103)),"ISI BIAYA WASTE",IF(K103="Disetujui",ROUND(F103*L103,0),0))))</f>
        <v/>
      </c>
    </row>
    <row r="104" customFormat="false" ht="15" hidden="false" customHeight="false" outlineLevel="0" collapsed="false">
      <c r="D104" s="0" t="str">
        <f aca="false">IF(C104="","",IF(COUNTIFS('MASTER BAHAN'!$A$5:$A$504,C104)=0,"BELUM ADA",INDEX('MASTER BAHAN'!$B$5:$B$504,MATCH(C104,'MASTER BAHAN'!$A$5:$A$504,0))))</f>
        <v/>
      </c>
      <c r="G104" s="0" t="str">
        <f aca="false">IF(C104="","",IF(COUNTIFS('MASTER BAHAN'!$A$5:$A$504,C104)=0,"BELUM ADA",INDEX('MASTER BAHAN'!$D$5:$D$504,MATCH(C104,'MASTER BAHAN'!$A$5:$A$504,0))))</f>
        <v/>
      </c>
      <c r="M104" s="0" t="str">
        <f aca="false">IF(A104="","",IF(E104&lt;&gt;"Waste",0,IF(NOT(ISNUMBER(L104)),"ISI BIAYA WASTE",IF(K104="Disetujui",ROUND(F104*L104,0),0))))</f>
        <v/>
      </c>
    </row>
    <row r="105" customFormat="false" ht="15" hidden="false" customHeight="false" outlineLevel="0" collapsed="false">
      <c r="D105" s="0" t="str">
        <f aca="false">IF(C105="","",IF(COUNTIFS('MASTER BAHAN'!$A$5:$A$504,C105)=0,"BELUM ADA",INDEX('MASTER BAHAN'!$B$5:$B$504,MATCH(C105,'MASTER BAHAN'!$A$5:$A$504,0))))</f>
        <v/>
      </c>
      <c r="G105" s="0" t="str">
        <f aca="false">IF(C105="","",IF(COUNTIFS('MASTER BAHAN'!$A$5:$A$504,C105)=0,"BELUM ADA",INDEX('MASTER BAHAN'!$D$5:$D$504,MATCH(C105,'MASTER BAHAN'!$A$5:$A$504,0))))</f>
        <v/>
      </c>
      <c r="M105" s="0" t="str">
        <f aca="false">IF(A105="","",IF(E105&lt;&gt;"Waste",0,IF(NOT(ISNUMBER(L105)),"ISI BIAYA WASTE",IF(K105="Disetujui",ROUND(F105*L105,0),0))))</f>
        <v/>
      </c>
    </row>
    <row r="106" customFormat="false" ht="15" hidden="false" customHeight="false" outlineLevel="0" collapsed="false">
      <c r="D106" s="0" t="str">
        <f aca="false">IF(C106="","",IF(COUNTIFS('MASTER BAHAN'!$A$5:$A$504,C106)=0,"BELUM ADA",INDEX('MASTER BAHAN'!$B$5:$B$504,MATCH(C106,'MASTER BAHAN'!$A$5:$A$504,0))))</f>
        <v/>
      </c>
      <c r="G106" s="0" t="str">
        <f aca="false">IF(C106="","",IF(COUNTIFS('MASTER BAHAN'!$A$5:$A$504,C106)=0,"BELUM ADA",INDEX('MASTER BAHAN'!$D$5:$D$504,MATCH(C106,'MASTER BAHAN'!$A$5:$A$504,0))))</f>
        <v/>
      </c>
      <c r="M106" s="0" t="str">
        <f aca="false">IF(A106="","",IF(E106&lt;&gt;"Waste",0,IF(NOT(ISNUMBER(L106)),"ISI BIAYA WASTE",IF(K106="Disetujui",ROUND(F106*L106,0),0))))</f>
        <v/>
      </c>
    </row>
    <row r="107" customFormat="false" ht="15" hidden="false" customHeight="false" outlineLevel="0" collapsed="false">
      <c r="D107" s="0" t="str">
        <f aca="false">IF(C107="","",IF(COUNTIFS('MASTER BAHAN'!$A$5:$A$504,C107)=0,"BELUM ADA",INDEX('MASTER BAHAN'!$B$5:$B$504,MATCH(C107,'MASTER BAHAN'!$A$5:$A$504,0))))</f>
        <v/>
      </c>
      <c r="G107" s="0" t="str">
        <f aca="false">IF(C107="","",IF(COUNTIFS('MASTER BAHAN'!$A$5:$A$504,C107)=0,"BELUM ADA",INDEX('MASTER BAHAN'!$D$5:$D$504,MATCH(C107,'MASTER BAHAN'!$A$5:$A$504,0))))</f>
        <v/>
      </c>
      <c r="M107" s="0" t="str">
        <f aca="false">IF(A107="","",IF(E107&lt;&gt;"Waste",0,IF(NOT(ISNUMBER(L107)),"ISI BIAYA WASTE",IF(K107="Disetujui",ROUND(F107*L107,0),0))))</f>
        <v/>
      </c>
    </row>
    <row r="108" customFormat="false" ht="15" hidden="false" customHeight="false" outlineLevel="0" collapsed="false">
      <c r="D108" s="0" t="str">
        <f aca="false">IF(C108="","",IF(COUNTIFS('MASTER BAHAN'!$A$5:$A$504,C108)=0,"BELUM ADA",INDEX('MASTER BAHAN'!$B$5:$B$504,MATCH(C108,'MASTER BAHAN'!$A$5:$A$504,0))))</f>
        <v/>
      </c>
      <c r="G108" s="0" t="str">
        <f aca="false">IF(C108="","",IF(COUNTIFS('MASTER BAHAN'!$A$5:$A$504,C108)=0,"BELUM ADA",INDEX('MASTER BAHAN'!$D$5:$D$504,MATCH(C108,'MASTER BAHAN'!$A$5:$A$504,0))))</f>
        <v/>
      </c>
      <c r="M108" s="0" t="str">
        <f aca="false">IF(A108="","",IF(E108&lt;&gt;"Waste",0,IF(NOT(ISNUMBER(L108)),"ISI BIAYA WASTE",IF(K108="Disetujui",ROUND(F108*L108,0),0))))</f>
        <v/>
      </c>
    </row>
    <row r="109" customFormat="false" ht="15" hidden="false" customHeight="false" outlineLevel="0" collapsed="false">
      <c r="D109" s="0" t="str">
        <f aca="false">IF(C109="","",IF(COUNTIFS('MASTER BAHAN'!$A$5:$A$504,C109)=0,"BELUM ADA",INDEX('MASTER BAHAN'!$B$5:$B$504,MATCH(C109,'MASTER BAHAN'!$A$5:$A$504,0))))</f>
        <v/>
      </c>
      <c r="G109" s="0" t="str">
        <f aca="false">IF(C109="","",IF(COUNTIFS('MASTER BAHAN'!$A$5:$A$504,C109)=0,"BELUM ADA",INDEX('MASTER BAHAN'!$D$5:$D$504,MATCH(C109,'MASTER BAHAN'!$A$5:$A$504,0))))</f>
        <v/>
      </c>
      <c r="M109" s="0" t="str">
        <f aca="false">IF(A109="","",IF(E109&lt;&gt;"Waste",0,IF(NOT(ISNUMBER(L109)),"ISI BIAYA WASTE",IF(K109="Disetujui",ROUND(F109*L109,0),0))))</f>
        <v/>
      </c>
    </row>
    <row r="110" customFormat="false" ht="15" hidden="false" customHeight="false" outlineLevel="0" collapsed="false">
      <c r="D110" s="0" t="str">
        <f aca="false">IF(C110="","",IF(COUNTIFS('MASTER BAHAN'!$A$5:$A$504,C110)=0,"BELUM ADA",INDEX('MASTER BAHAN'!$B$5:$B$504,MATCH(C110,'MASTER BAHAN'!$A$5:$A$504,0))))</f>
        <v/>
      </c>
      <c r="G110" s="0" t="str">
        <f aca="false">IF(C110="","",IF(COUNTIFS('MASTER BAHAN'!$A$5:$A$504,C110)=0,"BELUM ADA",INDEX('MASTER BAHAN'!$D$5:$D$504,MATCH(C110,'MASTER BAHAN'!$A$5:$A$504,0))))</f>
        <v/>
      </c>
      <c r="M110" s="0" t="str">
        <f aca="false">IF(A110="","",IF(E110&lt;&gt;"Waste",0,IF(NOT(ISNUMBER(L110)),"ISI BIAYA WASTE",IF(K110="Disetujui",ROUND(F110*L110,0),0))))</f>
        <v/>
      </c>
    </row>
    <row r="111" customFormat="false" ht="15" hidden="false" customHeight="false" outlineLevel="0" collapsed="false">
      <c r="D111" s="0" t="str">
        <f aca="false">IF(C111="","",IF(COUNTIFS('MASTER BAHAN'!$A$5:$A$504,C111)=0,"BELUM ADA",INDEX('MASTER BAHAN'!$B$5:$B$504,MATCH(C111,'MASTER BAHAN'!$A$5:$A$504,0))))</f>
        <v/>
      </c>
      <c r="G111" s="0" t="str">
        <f aca="false">IF(C111="","",IF(COUNTIFS('MASTER BAHAN'!$A$5:$A$504,C111)=0,"BELUM ADA",INDEX('MASTER BAHAN'!$D$5:$D$504,MATCH(C111,'MASTER BAHAN'!$A$5:$A$504,0))))</f>
        <v/>
      </c>
      <c r="M111" s="0" t="str">
        <f aca="false">IF(A111="","",IF(E111&lt;&gt;"Waste",0,IF(NOT(ISNUMBER(L111)),"ISI BIAYA WASTE",IF(K111="Disetujui",ROUND(F111*L111,0),0))))</f>
        <v/>
      </c>
    </row>
    <row r="112" customFormat="false" ht="15" hidden="false" customHeight="false" outlineLevel="0" collapsed="false">
      <c r="D112" s="0" t="str">
        <f aca="false">IF(C112="","",IF(COUNTIFS('MASTER BAHAN'!$A$5:$A$504,C112)=0,"BELUM ADA",INDEX('MASTER BAHAN'!$B$5:$B$504,MATCH(C112,'MASTER BAHAN'!$A$5:$A$504,0))))</f>
        <v/>
      </c>
      <c r="G112" s="0" t="str">
        <f aca="false">IF(C112="","",IF(COUNTIFS('MASTER BAHAN'!$A$5:$A$504,C112)=0,"BELUM ADA",INDEX('MASTER BAHAN'!$D$5:$D$504,MATCH(C112,'MASTER BAHAN'!$A$5:$A$504,0))))</f>
        <v/>
      </c>
      <c r="M112" s="0" t="str">
        <f aca="false">IF(A112="","",IF(E112&lt;&gt;"Waste",0,IF(NOT(ISNUMBER(L112)),"ISI BIAYA WASTE",IF(K112="Disetujui",ROUND(F112*L112,0),0))))</f>
        <v/>
      </c>
    </row>
    <row r="113" customFormat="false" ht="15" hidden="false" customHeight="false" outlineLevel="0" collapsed="false">
      <c r="D113" s="0" t="str">
        <f aca="false">IF(C113="","",IF(COUNTIFS('MASTER BAHAN'!$A$5:$A$504,C113)=0,"BELUM ADA",INDEX('MASTER BAHAN'!$B$5:$B$504,MATCH(C113,'MASTER BAHAN'!$A$5:$A$504,0))))</f>
        <v/>
      </c>
      <c r="G113" s="0" t="str">
        <f aca="false">IF(C113="","",IF(COUNTIFS('MASTER BAHAN'!$A$5:$A$504,C113)=0,"BELUM ADA",INDEX('MASTER BAHAN'!$D$5:$D$504,MATCH(C113,'MASTER BAHAN'!$A$5:$A$504,0))))</f>
        <v/>
      </c>
      <c r="M113" s="0" t="str">
        <f aca="false">IF(A113="","",IF(E113&lt;&gt;"Waste",0,IF(NOT(ISNUMBER(L113)),"ISI BIAYA WASTE",IF(K113="Disetujui",ROUND(F113*L113,0),0))))</f>
        <v/>
      </c>
    </row>
    <row r="114" customFormat="false" ht="15" hidden="false" customHeight="false" outlineLevel="0" collapsed="false">
      <c r="D114" s="0" t="str">
        <f aca="false">IF(C114="","",IF(COUNTIFS('MASTER BAHAN'!$A$5:$A$504,C114)=0,"BELUM ADA",INDEX('MASTER BAHAN'!$B$5:$B$504,MATCH(C114,'MASTER BAHAN'!$A$5:$A$504,0))))</f>
        <v/>
      </c>
      <c r="G114" s="0" t="str">
        <f aca="false">IF(C114="","",IF(COUNTIFS('MASTER BAHAN'!$A$5:$A$504,C114)=0,"BELUM ADA",INDEX('MASTER BAHAN'!$D$5:$D$504,MATCH(C114,'MASTER BAHAN'!$A$5:$A$504,0))))</f>
        <v/>
      </c>
      <c r="M114" s="0" t="str">
        <f aca="false">IF(A114="","",IF(E114&lt;&gt;"Waste",0,IF(NOT(ISNUMBER(L114)),"ISI BIAYA WASTE",IF(K114="Disetujui",ROUND(F114*L114,0),0))))</f>
        <v/>
      </c>
    </row>
    <row r="115" customFormat="false" ht="15" hidden="false" customHeight="false" outlineLevel="0" collapsed="false">
      <c r="D115" s="0" t="str">
        <f aca="false">IF(C115="","",IF(COUNTIFS('MASTER BAHAN'!$A$5:$A$504,C115)=0,"BELUM ADA",INDEX('MASTER BAHAN'!$B$5:$B$504,MATCH(C115,'MASTER BAHAN'!$A$5:$A$504,0))))</f>
        <v/>
      </c>
      <c r="G115" s="0" t="str">
        <f aca="false">IF(C115="","",IF(COUNTIFS('MASTER BAHAN'!$A$5:$A$504,C115)=0,"BELUM ADA",INDEX('MASTER BAHAN'!$D$5:$D$504,MATCH(C115,'MASTER BAHAN'!$A$5:$A$504,0))))</f>
        <v/>
      </c>
      <c r="M115" s="0" t="str">
        <f aca="false">IF(A115="","",IF(E115&lt;&gt;"Waste",0,IF(NOT(ISNUMBER(L115)),"ISI BIAYA WASTE",IF(K115="Disetujui",ROUND(F115*L115,0),0))))</f>
        <v/>
      </c>
    </row>
    <row r="116" customFormat="false" ht="15" hidden="false" customHeight="false" outlineLevel="0" collapsed="false">
      <c r="D116" s="0" t="str">
        <f aca="false">IF(C116="","",IF(COUNTIFS('MASTER BAHAN'!$A$5:$A$504,C116)=0,"BELUM ADA",INDEX('MASTER BAHAN'!$B$5:$B$504,MATCH(C116,'MASTER BAHAN'!$A$5:$A$504,0))))</f>
        <v/>
      </c>
      <c r="G116" s="0" t="str">
        <f aca="false">IF(C116="","",IF(COUNTIFS('MASTER BAHAN'!$A$5:$A$504,C116)=0,"BELUM ADA",INDEX('MASTER BAHAN'!$D$5:$D$504,MATCH(C116,'MASTER BAHAN'!$A$5:$A$504,0))))</f>
        <v/>
      </c>
      <c r="M116" s="0" t="str">
        <f aca="false">IF(A116="","",IF(E116&lt;&gt;"Waste",0,IF(NOT(ISNUMBER(L116)),"ISI BIAYA WASTE",IF(K116="Disetujui",ROUND(F116*L116,0),0))))</f>
        <v/>
      </c>
    </row>
    <row r="117" customFormat="false" ht="15" hidden="false" customHeight="false" outlineLevel="0" collapsed="false">
      <c r="D117" s="0" t="str">
        <f aca="false">IF(C117="","",IF(COUNTIFS('MASTER BAHAN'!$A$5:$A$504,C117)=0,"BELUM ADA",INDEX('MASTER BAHAN'!$B$5:$B$504,MATCH(C117,'MASTER BAHAN'!$A$5:$A$504,0))))</f>
        <v/>
      </c>
      <c r="G117" s="0" t="str">
        <f aca="false">IF(C117="","",IF(COUNTIFS('MASTER BAHAN'!$A$5:$A$504,C117)=0,"BELUM ADA",INDEX('MASTER BAHAN'!$D$5:$D$504,MATCH(C117,'MASTER BAHAN'!$A$5:$A$504,0))))</f>
        <v/>
      </c>
      <c r="M117" s="0" t="str">
        <f aca="false">IF(A117="","",IF(E117&lt;&gt;"Waste",0,IF(NOT(ISNUMBER(L117)),"ISI BIAYA WASTE",IF(K117="Disetujui",ROUND(F117*L117,0),0))))</f>
        <v/>
      </c>
    </row>
    <row r="118" customFormat="false" ht="15" hidden="false" customHeight="false" outlineLevel="0" collapsed="false">
      <c r="D118" s="0" t="str">
        <f aca="false">IF(C118="","",IF(COUNTIFS('MASTER BAHAN'!$A$5:$A$504,C118)=0,"BELUM ADA",INDEX('MASTER BAHAN'!$B$5:$B$504,MATCH(C118,'MASTER BAHAN'!$A$5:$A$504,0))))</f>
        <v/>
      </c>
      <c r="G118" s="0" t="str">
        <f aca="false">IF(C118="","",IF(COUNTIFS('MASTER BAHAN'!$A$5:$A$504,C118)=0,"BELUM ADA",INDEX('MASTER BAHAN'!$D$5:$D$504,MATCH(C118,'MASTER BAHAN'!$A$5:$A$504,0))))</f>
        <v/>
      </c>
      <c r="M118" s="0" t="str">
        <f aca="false">IF(A118="","",IF(E118&lt;&gt;"Waste",0,IF(NOT(ISNUMBER(L118)),"ISI BIAYA WASTE",IF(K118="Disetujui",ROUND(F118*L118,0),0))))</f>
        <v/>
      </c>
    </row>
    <row r="119" customFormat="false" ht="15" hidden="false" customHeight="false" outlineLevel="0" collapsed="false">
      <c r="D119" s="0" t="str">
        <f aca="false">IF(C119="","",IF(COUNTIFS('MASTER BAHAN'!$A$5:$A$504,C119)=0,"BELUM ADA",INDEX('MASTER BAHAN'!$B$5:$B$504,MATCH(C119,'MASTER BAHAN'!$A$5:$A$504,0))))</f>
        <v/>
      </c>
      <c r="G119" s="0" t="str">
        <f aca="false">IF(C119="","",IF(COUNTIFS('MASTER BAHAN'!$A$5:$A$504,C119)=0,"BELUM ADA",INDEX('MASTER BAHAN'!$D$5:$D$504,MATCH(C119,'MASTER BAHAN'!$A$5:$A$504,0))))</f>
        <v/>
      </c>
      <c r="M119" s="0" t="str">
        <f aca="false">IF(A119="","",IF(E119&lt;&gt;"Waste",0,IF(NOT(ISNUMBER(L119)),"ISI BIAYA WASTE",IF(K119="Disetujui",ROUND(F119*L119,0),0))))</f>
        <v/>
      </c>
    </row>
    <row r="120" customFormat="false" ht="15" hidden="false" customHeight="false" outlineLevel="0" collapsed="false">
      <c r="D120" s="0" t="str">
        <f aca="false">IF(C120="","",IF(COUNTIFS('MASTER BAHAN'!$A$5:$A$504,C120)=0,"BELUM ADA",INDEX('MASTER BAHAN'!$B$5:$B$504,MATCH(C120,'MASTER BAHAN'!$A$5:$A$504,0))))</f>
        <v/>
      </c>
      <c r="G120" s="0" t="str">
        <f aca="false">IF(C120="","",IF(COUNTIFS('MASTER BAHAN'!$A$5:$A$504,C120)=0,"BELUM ADA",INDEX('MASTER BAHAN'!$D$5:$D$504,MATCH(C120,'MASTER BAHAN'!$A$5:$A$504,0))))</f>
        <v/>
      </c>
      <c r="M120" s="0" t="str">
        <f aca="false">IF(A120="","",IF(E120&lt;&gt;"Waste",0,IF(NOT(ISNUMBER(L120)),"ISI BIAYA WASTE",IF(K120="Disetujui",ROUND(F120*L120,0),0))))</f>
        <v/>
      </c>
    </row>
    <row r="121" customFormat="false" ht="15" hidden="false" customHeight="false" outlineLevel="0" collapsed="false">
      <c r="D121" s="0" t="str">
        <f aca="false">IF(C121="","",IF(COUNTIFS('MASTER BAHAN'!$A$5:$A$504,C121)=0,"BELUM ADA",INDEX('MASTER BAHAN'!$B$5:$B$504,MATCH(C121,'MASTER BAHAN'!$A$5:$A$504,0))))</f>
        <v/>
      </c>
      <c r="G121" s="0" t="str">
        <f aca="false">IF(C121="","",IF(COUNTIFS('MASTER BAHAN'!$A$5:$A$504,C121)=0,"BELUM ADA",INDEX('MASTER BAHAN'!$D$5:$D$504,MATCH(C121,'MASTER BAHAN'!$A$5:$A$504,0))))</f>
        <v/>
      </c>
      <c r="M121" s="0" t="str">
        <f aca="false">IF(A121="","",IF(E121&lt;&gt;"Waste",0,IF(NOT(ISNUMBER(L121)),"ISI BIAYA WASTE",IF(K121="Disetujui",ROUND(F121*L121,0),0))))</f>
        <v/>
      </c>
    </row>
    <row r="122" customFormat="false" ht="15" hidden="false" customHeight="false" outlineLevel="0" collapsed="false">
      <c r="D122" s="0" t="str">
        <f aca="false">IF(C122="","",IF(COUNTIFS('MASTER BAHAN'!$A$5:$A$504,C122)=0,"BELUM ADA",INDEX('MASTER BAHAN'!$B$5:$B$504,MATCH(C122,'MASTER BAHAN'!$A$5:$A$504,0))))</f>
        <v/>
      </c>
      <c r="G122" s="0" t="str">
        <f aca="false">IF(C122="","",IF(COUNTIFS('MASTER BAHAN'!$A$5:$A$504,C122)=0,"BELUM ADA",INDEX('MASTER BAHAN'!$D$5:$D$504,MATCH(C122,'MASTER BAHAN'!$A$5:$A$504,0))))</f>
        <v/>
      </c>
      <c r="M122" s="0" t="str">
        <f aca="false">IF(A122="","",IF(E122&lt;&gt;"Waste",0,IF(NOT(ISNUMBER(L122)),"ISI BIAYA WASTE",IF(K122="Disetujui",ROUND(F122*L122,0),0))))</f>
        <v/>
      </c>
    </row>
    <row r="123" customFormat="false" ht="15" hidden="false" customHeight="false" outlineLevel="0" collapsed="false">
      <c r="D123" s="0" t="str">
        <f aca="false">IF(C123="","",IF(COUNTIFS('MASTER BAHAN'!$A$5:$A$504,C123)=0,"BELUM ADA",INDEX('MASTER BAHAN'!$B$5:$B$504,MATCH(C123,'MASTER BAHAN'!$A$5:$A$504,0))))</f>
        <v/>
      </c>
      <c r="G123" s="0" t="str">
        <f aca="false">IF(C123="","",IF(COUNTIFS('MASTER BAHAN'!$A$5:$A$504,C123)=0,"BELUM ADA",INDEX('MASTER BAHAN'!$D$5:$D$504,MATCH(C123,'MASTER BAHAN'!$A$5:$A$504,0))))</f>
        <v/>
      </c>
      <c r="M123" s="0" t="str">
        <f aca="false">IF(A123="","",IF(E123&lt;&gt;"Waste",0,IF(NOT(ISNUMBER(L123)),"ISI BIAYA WASTE",IF(K123="Disetujui",ROUND(F123*L123,0),0))))</f>
        <v/>
      </c>
    </row>
    <row r="124" customFormat="false" ht="15" hidden="false" customHeight="false" outlineLevel="0" collapsed="false">
      <c r="D124" s="0" t="str">
        <f aca="false">IF(C124="","",IF(COUNTIFS('MASTER BAHAN'!$A$5:$A$504,C124)=0,"BELUM ADA",INDEX('MASTER BAHAN'!$B$5:$B$504,MATCH(C124,'MASTER BAHAN'!$A$5:$A$504,0))))</f>
        <v/>
      </c>
      <c r="G124" s="0" t="str">
        <f aca="false">IF(C124="","",IF(COUNTIFS('MASTER BAHAN'!$A$5:$A$504,C124)=0,"BELUM ADA",INDEX('MASTER BAHAN'!$D$5:$D$504,MATCH(C124,'MASTER BAHAN'!$A$5:$A$504,0))))</f>
        <v/>
      </c>
      <c r="M124" s="0" t="str">
        <f aca="false">IF(A124="","",IF(E124&lt;&gt;"Waste",0,IF(NOT(ISNUMBER(L124)),"ISI BIAYA WASTE",IF(K124="Disetujui",ROUND(F124*L124,0),0))))</f>
        <v/>
      </c>
    </row>
    <row r="125" customFormat="false" ht="15" hidden="false" customHeight="false" outlineLevel="0" collapsed="false">
      <c r="D125" s="0" t="str">
        <f aca="false">IF(C125="","",IF(COUNTIFS('MASTER BAHAN'!$A$5:$A$504,C125)=0,"BELUM ADA",INDEX('MASTER BAHAN'!$B$5:$B$504,MATCH(C125,'MASTER BAHAN'!$A$5:$A$504,0))))</f>
        <v/>
      </c>
      <c r="G125" s="0" t="str">
        <f aca="false">IF(C125="","",IF(COUNTIFS('MASTER BAHAN'!$A$5:$A$504,C125)=0,"BELUM ADA",INDEX('MASTER BAHAN'!$D$5:$D$504,MATCH(C125,'MASTER BAHAN'!$A$5:$A$504,0))))</f>
        <v/>
      </c>
      <c r="M125" s="0" t="str">
        <f aca="false">IF(A125="","",IF(E125&lt;&gt;"Waste",0,IF(NOT(ISNUMBER(L125)),"ISI BIAYA WASTE",IF(K125="Disetujui",ROUND(F125*L125,0),0))))</f>
        <v/>
      </c>
    </row>
    <row r="126" customFormat="false" ht="15" hidden="false" customHeight="false" outlineLevel="0" collapsed="false">
      <c r="D126" s="0" t="str">
        <f aca="false">IF(C126="","",IF(COUNTIFS('MASTER BAHAN'!$A$5:$A$504,C126)=0,"BELUM ADA",INDEX('MASTER BAHAN'!$B$5:$B$504,MATCH(C126,'MASTER BAHAN'!$A$5:$A$504,0))))</f>
        <v/>
      </c>
      <c r="G126" s="0" t="str">
        <f aca="false">IF(C126="","",IF(COUNTIFS('MASTER BAHAN'!$A$5:$A$504,C126)=0,"BELUM ADA",INDEX('MASTER BAHAN'!$D$5:$D$504,MATCH(C126,'MASTER BAHAN'!$A$5:$A$504,0))))</f>
        <v/>
      </c>
      <c r="M126" s="0" t="str">
        <f aca="false">IF(A126="","",IF(E126&lt;&gt;"Waste",0,IF(NOT(ISNUMBER(L126)),"ISI BIAYA WASTE",IF(K126="Disetujui",ROUND(F126*L126,0),0))))</f>
        <v/>
      </c>
    </row>
    <row r="127" customFormat="false" ht="15" hidden="false" customHeight="false" outlineLevel="0" collapsed="false">
      <c r="D127" s="0" t="str">
        <f aca="false">IF(C127="","",IF(COUNTIFS('MASTER BAHAN'!$A$5:$A$504,C127)=0,"BELUM ADA",INDEX('MASTER BAHAN'!$B$5:$B$504,MATCH(C127,'MASTER BAHAN'!$A$5:$A$504,0))))</f>
        <v/>
      </c>
      <c r="G127" s="0" t="str">
        <f aca="false">IF(C127="","",IF(COUNTIFS('MASTER BAHAN'!$A$5:$A$504,C127)=0,"BELUM ADA",INDEX('MASTER BAHAN'!$D$5:$D$504,MATCH(C127,'MASTER BAHAN'!$A$5:$A$504,0))))</f>
        <v/>
      </c>
      <c r="M127" s="0" t="str">
        <f aca="false">IF(A127="","",IF(E127&lt;&gt;"Waste",0,IF(NOT(ISNUMBER(L127)),"ISI BIAYA WASTE",IF(K127="Disetujui",ROUND(F127*L127,0),0))))</f>
        <v/>
      </c>
    </row>
    <row r="128" customFormat="false" ht="15" hidden="false" customHeight="false" outlineLevel="0" collapsed="false">
      <c r="D128" s="0" t="str">
        <f aca="false">IF(C128="","",IF(COUNTIFS('MASTER BAHAN'!$A$5:$A$504,C128)=0,"BELUM ADA",INDEX('MASTER BAHAN'!$B$5:$B$504,MATCH(C128,'MASTER BAHAN'!$A$5:$A$504,0))))</f>
        <v/>
      </c>
      <c r="G128" s="0" t="str">
        <f aca="false">IF(C128="","",IF(COUNTIFS('MASTER BAHAN'!$A$5:$A$504,C128)=0,"BELUM ADA",INDEX('MASTER BAHAN'!$D$5:$D$504,MATCH(C128,'MASTER BAHAN'!$A$5:$A$504,0))))</f>
        <v/>
      </c>
      <c r="M128" s="0" t="str">
        <f aca="false">IF(A128="","",IF(E128&lt;&gt;"Waste",0,IF(NOT(ISNUMBER(L128)),"ISI BIAYA WASTE",IF(K128="Disetujui",ROUND(F128*L128,0),0))))</f>
        <v/>
      </c>
    </row>
    <row r="129" customFormat="false" ht="15" hidden="false" customHeight="false" outlineLevel="0" collapsed="false">
      <c r="D129" s="0" t="str">
        <f aca="false">IF(C129="","",IF(COUNTIFS('MASTER BAHAN'!$A$5:$A$504,C129)=0,"BELUM ADA",INDEX('MASTER BAHAN'!$B$5:$B$504,MATCH(C129,'MASTER BAHAN'!$A$5:$A$504,0))))</f>
        <v/>
      </c>
      <c r="G129" s="0" t="str">
        <f aca="false">IF(C129="","",IF(COUNTIFS('MASTER BAHAN'!$A$5:$A$504,C129)=0,"BELUM ADA",INDEX('MASTER BAHAN'!$D$5:$D$504,MATCH(C129,'MASTER BAHAN'!$A$5:$A$504,0))))</f>
        <v/>
      </c>
      <c r="M129" s="0" t="str">
        <f aca="false">IF(A129="","",IF(E129&lt;&gt;"Waste",0,IF(NOT(ISNUMBER(L129)),"ISI BIAYA WASTE",IF(K129="Disetujui",ROUND(F129*L129,0),0))))</f>
        <v/>
      </c>
    </row>
    <row r="130" customFormat="false" ht="15" hidden="false" customHeight="false" outlineLevel="0" collapsed="false">
      <c r="D130" s="0" t="str">
        <f aca="false">IF(C130="","",IF(COUNTIFS('MASTER BAHAN'!$A$5:$A$504,C130)=0,"BELUM ADA",INDEX('MASTER BAHAN'!$B$5:$B$504,MATCH(C130,'MASTER BAHAN'!$A$5:$A$504,0))))</f>
        <v/>
      </c>
      <c r="G130" s="0" t="str">
        <f aca="false">IF(C130="","",IF(COUNTIFS('MASTER BAHAN'!$A$5:$A$504,C130)=0,"BELUM ADA",INDEX('MASTER BAHAN'!$D$5:$D$504,MATCH(C130,'MASTER BAHAN'!$A$5:$A$504,0))))</f>
        <v/>
      </c>
      <c r="M130" s="0" t="str">
        <f aca="false">IF(A130="","",IF(E130&lt;&gt;"Waste",0,IF(NOT(ISNUMBER(L130)),"ISI BIAYA WASTE",IF(K130="Disetujui",ROUND(F130*L130,0),0))))</f>
        <v/>
      </c>
    </row>
    <row r="131" customFormat="false" ht="15" hidden="false" customHeight="false" outlineLevel="0" collapsed="false">
      <c r="D131" s="0" t="str">
        <f aca="false">IF(C131="","",IF(COUNTIFS('MASTER BAHAN'!$A$5:$A$504,C131)=0,"BELUM ADA",INDEX('MASTER BAHAN'!$B$5:$B$504,MATCH(C131,'MASTER BAHAN'!$A$5:$A$504,0))))</f>
        <v/>
      </c>
      <c r="G131" s="0" t="str">
        <f aca="false">IF(C131="","",IF(COUNTIFS('MASTER BAHAN'!$A$5:$A$504,C131)=0,"BELUM ADA",INDEX('MASTER BAHAN'!$D$5:$D$504,MATCH(C131,'MASTER BAHAN'!$A$5:$A$504,0))))</f>
        <v/>
      </c>
      <c r="M131" s="0" t="str">
        <f aca="false">IF(A131="","",IF(E131&lt;&gt;"Waste",0,IF(NOT(ISNUMBER(L131)),"ISI BIAYA WASTE",IF(K131="Disetujui",ROUND(F131*L131,0),0))))</f>
        <v/>
      </c>
    </row>
    <row r="132" customFormat="false" ht="15" hidden="false" customHeight="false" outlineLevel="0" collapsed="false">
      <c r="D132" s="0" t="str">
        <f aca="false">IF(C132="","",IF(COUNTIFS('MASTER BAHAN'!$A$5:$A$504,C132)=0,"BELUM ADA",INDEX('MASTER BAHAN'!$B$5:$B$504,MATCH(C132,'MASTER BAHAN'!$A$5:$A$504,0))))</f>
        <v/>
      </c>
      <c r="G132" s="0" t="str">
        <f aca="false">IF(C132="","",IF(COUNTIFS('MASTER BAHAN'!$A$5:$A$504,C132)=0,"BELUM ADA",INDEX('MASTER BAHAN'!$D$5:$D$504,MATCH(C132,'MASTER BAHAN'!$A$5:$A$504,0))))</f>
        <v/>
      </c>
      <c r="M132" s="0" t="str">
        <f aca="false">IF(A132="","",IF(E132&lt;&gt;"Waste",0,IF(NOT(ISNUMBER(L132)),"ISI BIAYA WASTE",IF(K132="Disetujui",ROUND(F132*L132,0),0))))</f>
        <v/>
      </c>
    </row>
    <row r="133" customFormat="false" ht="15" hidden="false" customHeight="false" outlineLevel="0" collapsed="false">
      <c r="D133" s="0" t="str">
        <f aca="false">IF(C133="","",IF(COUNTIFS('MASTER BAHAN'!$A$5:$A$504,C133)=0,"BELUM ADA",INDEX('MASTER BAHAN'!$B$5:$B$504,MATCH(C133,'MASTER BAHAN'!$A$5:$A$504,0))))</f>
        <v/>
      </c>
      <c r="G133" s="0" t="str">
        <f aca="false">IF(C133="","",IF(COUNTIFS('MASTER BAHAN'!$A$5:$A$504,C133)=0,"BELUM ADA",INDEX('MASTER BAHAN'!$D$5:$D$504,MATCH(C133,'MASTER BAHAN'!$A$5:$A$504,0))))</f>
        <v/>
      </c>
      <c r="M133" s="0" t="str">
        <f aca="false">IF(A133="","",IF(E133&lt;&gt;"Waste",0,IF(NOT(ISNUMBER(L133)),"ISI BIAYA WASTE",IF(K133="Disetujui",ROUND(F133*L133,0),0))))</f>
        <v/>
      </c>
    </row>
    <row r="134" customFormat="false" ht="15" hidden="false" customHeight="false" outlineLevel="0" collapsed="false">
      <c r="D134" s="0" t="str">
        <f aca="false">IF(C134="","",IF(COUNTIFS('MASTER BAHAN'!$A$5:$A$504,C134)=0,"BELUM ADA",INDEX('MASTER BAHAN'!$B$5:$B$504,MATCH(C134,'MASTER BAHAN'!$A$5:$A$504,0))))</f>
        <v/>
      </c>
      <c r="G134" s="0" t="str">
        <f aca="false">IF(C134="","",IF(COUNTIFS('MASTER BAHAN'!$A$5:$A$504,C134)=0,"BELUM ADA",INDEX('MASTER BAHAN'!$D$5:$D$504,MATCH(C134,'MASTER BAHAN'!$A$5:$A$504,0))))</f>
        <v/>
      </c>
      <c r="M134" s="0" t="str">
        <f aca="false">IF(A134="","",IF(E134&lt;&gt;"Waste",0,IF(NOT(ISNUMBER(L134)),"ISI BIAYA WASTE",IF(K134="Disetujui",ROUND(F134*L134,0),0))))</f>
        <v/>
      </c>
    </row>
    <row r="135" customFormat="false" ht="15" hidden="false" customHeight="false" outlineLevel="0" collapsed="false">
      <c r="D135" s="0" t="str">
        <f aca="false">IF(C135="","",IF(COUNTIFS('MASTER BAHAN'!$A$5:$A$504,C135)=0,"BELUM ADA",INDEX('MASTER BAHAN'!$B$5:$B$504,MATCH(C135,'MASTER BAHAN'!$A$5:$A$504,0))))</f>
        <v/>
      </c>
      <c r="G135" s="0" t="str">
        <f aca="false">IF(C135="","",IF(COUNTIFS('MASTER BAHAN'!$A$5:$A$504,C135)=0,"BELUM ADA",INDEX('MASTER BAHAN'!$D$5:$D$504,MATCH(C135,'MASTER BAHAN'!$A$5:$A$504,0))))</f>
        <v/>
      </c>
      <c r="M135" s="0" t="str">
        <f aca="false">IF(A135="","",IF(E135&lt;&gt;"Waste",0,IF(NOT(ISNUMBER(L135)),"ISI BIAYA WASTE",IF(K135="Disetujui",ROUND(F135*L135,0),0))))</f>
        <v/>
      </c>
    </row>
    <row r="136" customFormat="false" ht="15" hidden="false" customHeight="false" outlineLevel="0" collapsed="false">
      <c r="D136" s="0" t="str">
        <f aca="false">IF(C136="","",IF(COUNTIFS('MASTER BAHAN'!$A$5:$A$504,C136)=0,"BELUM ADA",INDEX('MASTER BAHAN'!$B$5:$B$504,MATCH(C136,'MASTER BAHAN'!$A$5:$A$504,0))))</f>
        <v/>
      </c>
      <c r="G136" s="0" t="str">
        <f aca="false">IF(C136="","",IF(COUNTIFS('MASTER BAHAN'!$A$5:$A$504,C136)=0,"BELUM ADA",INDEX('MASTER BAHAN'!$D$5:$D$504,MATCH(C136,'MASTER BAHAN'!$A$5:$A$504,0))))</f>
        <v/>
      </c>
      <c r="M136" s="0" t="str">
        <f aca="false">IF(A136="","",IF(E136&lt;&gt;"Waste",0,IF(NOT(ISNUMBER(L136)),"ISI BIAYA WASTE",IF(K136="Disetujui",ROUND(F136*L136,0),0))))</f>
        <v/>
      </c>
    </row>
    <row r="137" customFormat="false" ht="15" hidden="false" customHeight="false" outlineLevel="0" collapsed="false">
      <c r="D137" s="0" t="str">
        <f aca="false">IF(C137="","",IF(COUNTIFS('MASTER BAHAN'!$A$5:$A$504,C137)=0,"BELUM ADA",INDEX('MASTER BAHAN'!$B$5:$B$504,MATCH(C137,'MASTER BAHAN'!$A$5:$A$504,0))))</f>
        <v/>
      </c>
      <c r="G137" s="0" t="str">
        <f aca="false">IF(C137="","",IF(COUNTIFS('MASTER BAHAN'!$A$5:$A$504,C137)=0,"BELUM ADA",INDEX('MASTER BAHAN'!$D$5:$D$504,MATCH(C137,'MASTER BAHAN'!$A$5:$A$504,0))))</f>
        <v/>
      </c>
      <c r="M137" s="0" t="str">
        <f aca="false">IF(A137="","",IF(E137&lt;&gt;"Waste",0,IF(NOT(ISNUMBER(L137)),"ISI BIAYA WASTE",IF(K137="Disetujui",ROUND(F137*L137,0),0))))</f>
        <v/>
      </c>
    </row>
    <row r="138" customFormat="false" ht="15" hidden="false" customHeight="false" outlineLevel="0" collapsed="false">
      <c r="D138" s="0" t="str">
        <f aca="false">IF(C138="","",IF(COUNTIFS('MASTER BAHAN'!$A$5:$A$504,C138)=0,"BELUM ADA",INDEX('MASTER BAHAN'!$B$5:$B$504,MATCH(C138,'MASTER BAHAN'!$A$5:$A$504,0))))</f>
        <v/>
      </c>
      <c r="G138" s="0" t="str">
        <f aca="false">IF(C138="","",IF(COUNTIFS('MASTER BAHAN'!$A$5:$A$504,C138)=0,"BELUM ADA",INDEX('MASTER BAHAN'!$D$5:$D$504,MATCH(C138,'MASTER BAHAN'!$A$5:$A$504,0))))</f>
        <v/>
      </c>
      <c r="M138" s="0" t="str">
        <f aca="false">IF(A138="","",IF(E138&lt;&gt;"Waste",0,IF(NOT(ISNUMBER(L138)),"ISI BIAYA WASTE",IF(K138="Disetujui",ROUND(F138*L138,0),0))))</f>
        <v/>
      </c>
    </row>
    <row r="139" customFormat="false" ht="15" hidden="false" customHeight="false" outlineLevel="0" collapsed="false">
      <c r="D139" s="0" t="str">
        <f aca="false">IF(C139="","",IF(COUNTIFS('MASTER BAHAN'!$A$5:$A$504,C139)=0,"BELUM ADA",INDEX('MASTER BAHAN'!$B$5:$B$504,MATCH(C139,'MASTER BAHAN'!$A$5:$A$504,0))))</f>
        <v/>
      </c>
      <c r="G139" s="0" t="str">
        <f aca="false">IF(C139="","",IF(COUNTIFS('MASTER BAHAN'!$A$5:$A$504,C139)=0,"BELUM ADA",INDEX('MASTER BAHAN'!$D$5:$D$504,MATCH(C139,'MASTER BAHAN'!$A$5:$A$504,0))))</f>
        <v/>
      </c>
      <c r="M139" s="0" t="str">
        <f aca="false">IF(A139="","",IF(E139&lt;&gt;"Waste",0,IF(NOT(ISNUMBER(L139)),"ISI BIAYA WASTE",IF(K139="Disetujui",ROUND(F139*L139,0),0))))</f>
        <v/>
      </c>
    </row>
    <row r="140" customFormat="false" ht="15" hidden="false" customHeight="false" outlineLevel="0" collapsed="false">
      <c r="D140" s="0" t="str">
        <f aca="false">IF(C140="","",IF(COUNTIFS('MASTER BAHAN'!$A$5:$A$504,C140)=0,"BELUM ADA",INDEX('MASTER BAHAN'!$B$5:$B$504,MATCH(C140,'MASTER BAHAN'!$A$5:$A$504,0))))</f>
        <v/>
      </c>
      <c r="G140" s="0" t="str">
        <f aca="false">IF(C140="","",IF(COUNTIFS('MASTER BAHAN'!$A$5:$A$504,C140)=0,"BELUM ADA",INDEX('MASTER BAHAN'!$D$5:$D$504,MATCH(C140,'MASTER BAHAN'!$A$5:$A$504,0))))</f>
        <v/>
      </c>
      <c r="M140" s="0" t="str">
        <f aca="false">IF(A140="","",IF(E140&lt;&gt;"Waste",0,IF(NOT(ISNUMBER(L140)),"ISI BIAYA WASTE",IF(K140="Disetujui",ROUND(F140*L140,0),0))))</f>
        <v/>
      </c>
    </row>
    <row r="141" customFormat="false" ht="15" hidden="false" customHeight="false" outlineLevel="0" collapsed="false">
      <c r="D141" s="0" t="str">
        <f aca="false">IF(C141="","",IF(COUNTIFS('MASTER BAHAN'!$A$5:$A$504,C141)=0,"BELUM ADA",INDEX('MASTER BAHAN'!$B$5:$B$504,MATCH(C141,'MASTER BAHAN'!$A$5:$A$504,0))))</f>
        <v/>
      </c>
      <c r="G141" s="0" t="str">
        <f aca="false">IF(C141="","",IF(COUNTIFS('MASTER BAHAN'!$A$5:$A$504,C141)=0,"BELUM ADA",INDEX('MASTER BAHAN'!$D$5:$D$504,MATCH(C141,'MASTER BAHAN'!$A$5:$A$504,0))))</f>
        <v/>
      </c>
      <c r="M141" s="0" t="str">
        <f aca="false">IF(A141="","",IF(E141&lt;&gt;"Waste",0,IF(NOT(ISNUMBER(L141)),"ISI BIAYA WASTE",IF(K141="Disetujui",ROUND(F141*L141,0),0))))</f>
        <v/>
      </c>
    </row>
    <row r="142" customFormat="false" ht="15" hidden="false" customHeight="false" outlineLevel="0" collapsed="false">
      <c r="D142" s="0" t="str">
        <f aca="false">IF(C142="","",IF(COUNTIFS('MASTER BAHAN'!$A$5:$A$504,C142)=0,"BELUM ADA",INDEX('MASTER BAHAN'!$B$5:$B$504,MATCH(C142,'MASTER BAHAN'!$A$5:$A$504,0))))</f>
        <v/>
      </c>
      <c r="G142" s="0" t="str">
        <f aca="false">IF(C142="","",IF(COUNTIFS('MASTER BAHAN'!$A$5:$A$504,C142)=0,"BELUM ADA",INDEX('MASTER BAHAN'!$D$5:$D$504,MATCH(C142,'MASTER BAHAN'!$A$5:$A$504,0))))</f>
        <v/>
      </c>
      <c r="M142" s="0" t="str">
        <f aca="false">IF(A142="","",IF(E142&lt;&gt;"Waste",0,IF(NOT(ISNUMBER(L142)),"ISI BIAYA WASTE",IF(K142="Disetujui",ROUND(F142*L142,0),0))))</f>
        <v/>
      </c>
    </row>
    <row r="143" customFormat="false" ht="15" hidden="false" customHeight="false" outlineLevel="0" collapsed="false">
      <c r="D143" s="0" t="str">
        <f aca="false">IF(C143="","",IF(COUNTIFS('MASTER BAHAN'!$A$5:$A$504,C143)=0,"BELUM ADA",INDEX('MASTER BAHAN'!$B$5:$B$504,MATCH(C143,'MASTER BAHAN'!$A$5:$A$504,0))))</f>
        <v/>
      </c>
      <c r="G143" s="0" t="str">
        <f aca="false">IF(C143="","",IF(COUNTIFS('MASTER BAHAN'!$A$5:$A$504,C143)=0,"BELUM ADA",INDEX('MASTER BAHAN'!$D$5:$D$504,MATCH(C143,'MASTER BAHAN'!$A$5:$A$504,0))))</f>
        <v/>
      </c>
      <c r="M143" s="0" t="str">
        <f aca="false">IF(A143="","",IF(E143&lt;&gt;"Waste",0,IF(NOT(ISNUMBER(L143)),"ISI BIAYA WASTE",IF(K143="Disetujui",ROUND(F143*L143,0),0))))</f>
        <v/>
      </c>
    </row>
    <row r="144" customFormat="false" ht="15" hidden="false" customHeight="false" outlineLevel="0" collapsed="false">
      <c r="D144" s="0" t="str">
        <f aca="false">IF(C144="","",IF(COUNTIFS('MASTER BAHAN'!$A$5:$A$504,C144)=0,"BELUM ADA",INDEX('MASTER BAHAN'!$B$5:$B$504,MATCH(C144,'MASTER BAHAN'!$A$5:$A$504,0))))</f>
        <v/>
      </c>
      <c r="G144" s="0" t="str">
        <f aca="false">IF(C144="","",IF(COUNTIFS('MASTER BAHAN'!$A$5:$A$504,C144)=0,"BELUM ADA",INDEX('MASTER BAHAN'!$D$5:$D$504,MATCH(C144,'MASTER BAHAN'!$A$5:$A$504,0))))</f>
        <v/>
      </c>
      <c r="M144" s="0" t="str">
        <f aca="false">IF(A144="","",IF(E144&lt;&gt;"Waste",0,IF(NOT(ISNUMBER(L144)),"ISI BIAYA WASTE",IF(K144="Disetujui",ROUND(F144*L144,0),0))))</f>
        <v/>
      </c>
    </row>
    <row r="145" customFormat="false" ht="15" hidden="false" customHeight="false" outlineLevel="0" collapsed="false">
      <c r="D145" s="0" t="str">
        <f aca="false">IF(C145="","",IF(COUNTIFS('MASTER BAHAN'!$A$5:$A$504,C145)=0,"BELUM ADA",INDEX('MASTER BAHAN'!$B$5:$B$504,MATCH(C145,'MASTER BAHAN'!$A$5:$A$504,0))))</f>
        <v/>
      </c>
      <c r="G145" s="0" t="str">
        <f aca="false">IF(C145="","",IF(COUNTIFS('MASTER BAHAN'!$A$5:$A$504,C145)=0,"BELUM ADA",INDEX('MASTER BAHAN'!$D$5:$D$504,MATCH(C145,'MASTER BAHAN'!$A$5:$A$504,0))))</f>
        <v/>
      </c>
      <c r="M145" s="0" t="str">
        <f aca="false">IF(A145="","",IF(E145&lt;&gt;"Waste",0,IF(NOT(ISNUMBER(L145)),"ISI BIAYA WASTE",IF(K145="Disetujui",ROUND(F145*L145,0),0))))</f>
        <v/>
      </c>
    </row>
    <row r="146" customFormat="false" ht="15" hidden="false" customHeight="false" outlineLevel="0" collapsed="false">
      <c r="D146" s="0" t="str">
        <f aca="false">IF(C146="","",IF(COUNTIFS('MASTER BAHAN'!$A$5:$A$504,C146)=0,"BELUM ADA",INDEX('MASTER BAHAN'!$B$5:$B$504,MATCH(C146,'MASTER BAHAN'!$A$5:$A$504,0))))</f>
        <v/>
      </c>
      <c r="G146" s="0" t="str">
        <f aca="false">IF(C146="","",IF(COUNTIFS('MASTER BAHAN'!$A$5:$A$504,C146)=0,"BELUM ADA",INDEX('MASTER BAHAN'!$D$5:$D$504,MATCH(C146,'MASTER BAHAN'!$A$5:$A$504,0))))</f>
        <v/>
      </c>
      <c r="M146" s="0" t="str">
        <f aca="false">IF(A146="","",IF(E146&lt;&gt;"Waste",0,IF(NOT(ISNUMBER(L146)),"ISI BIAYA WASTE",IF(K146="Disetujui",ROUND(F146*L146,0),0))))</f>
        <v/>
      </c>
    </row>
    <row r="147" customFormat="false" ht="15" hidden="false" customHeight="false" outlineLevel="0" collapsed="false">
      <c r="D147" s="0" t="str">
        <f aca="false">IF(C147="","",IF(COUNTIFS('MASTER BAHAN'!$A$5:$A$504,C147)=0,"BELUM ADA",INDEX('MASTER BAHAN'!$B$5:$B$504,MATCH(C147,'MASTER BAHAN'!$A$5:$A$504,0))))</f>
        <v/>
      </c>
      <c r="G147" s="0" t="str">
        <f aca="false">IF(C147="","",IF(COUNTIFS('MASTER BAHAN'!$A$5:$A$504,C147)=0,"BELUM ADA",INDEX('MASTER BAHAN'!$D$5:$D$504,MATCH(C147,'MASTER BAHAN'!$A$5:$A$504,0))))</f>
        <v/>
      </c>
      <c r="M147" s="0" t="str">
        <f aca="false">IF(A147="","",IF(E147&lt;&gt;"Waste",0,IF(NOT(ISNUMBER(L147)),"ISI BIAYA WASTE",IF(K147="Disetujui",ROUND(F147*L147,0),0))))</f>
        <v/>
      </c>
    </row>
    <row r="148" customFormat="false" ht="15" hidden="false" customHeight="false" outlineLevel="0" collapsed="false">
      <c r="D148" s="0" t="str">
        <f aca="false">IF(C148="","",IF(COUNTIFS('MASTER BAHAN'!$A$5:$A$504,C148)=0,"BELUM ADA",INDEX('MASTER BAHAN'!$B$5:$B$504,MATCH(C148,'MASTER BAHAN'!$A$5:$A$504,0))))</f>
        <v/>
      </c>
      <c r="G148" s="0" t="str">
        <f aca="false">IF(C148="","",IF(COUNTIFS('MASTER BAHAN'!$A$5:$A$504,C148)=0,"BELUM ADA",INDEX('MASTER BAHAN'!$D$5:$D$504,MATCH(C148,'MASTER BAHAN'!$A$5:$A$504,0))))</f>
        <v/>
      </c>
      <c r="M148" s="0" t="str">
        <f aca="false">IF(A148="","",IF(E148&lt;&gt;"Waste",0,IF(NOT(ISNUMBER(L148)),"ISI BIAYA WASTE",IF(K148="Disetujui",ROUND(F148*L148,0),0))))</f>
        <v/>
      </c>
    </row>
    <row r="149" customFormat="false" ht="15" hidden="false" customHeight="false" outlineLevel="0" collapsed="false">
      <c r="D149" s="0" t="str">
        <f aca="false">IF(C149="","",IF(COUNTIFS('MASTER BAHAN'!$A$5:$A$504,C149)=0,"BELUM ADA",INDEX('MASTER BAHAN'!$B$5:$B$504,MATCH(C149,'MASTER BAHAN'!$A$5:$A$504,0))))</f>
        <v/>
      </c>
      <c r="G149" s="0" t="str">
        <f aca="false">IF(C149="","",IF(COUNTIFS('MASTER BAHAN'!$A$5:$A$504,C149)=0,"BELUM ADA",INDEX('MASTER BAHAN'!$D$5:$D$504,MATCH(C149,'MASTER BAHAN'!$A$5:$A$504,0))))</f>
        <v/>
      </c>
      <c r="M149" s="0" t="str">
        <f aca="false">IF(A149="","",IF(E149&lt;&gt;"Waste",0,IF(NOT(ISNUMBER(L149)),"ISI BIAYA WASTE",IF(K149="Disetujui",ROUND(F149*L149,0),0))))</f>
        <v/>
      </c>
    </row>
    <row r="150" customFormat="false" ht="15" hidden="false" customHeight="false" outlineLevel="0" collapsed="false">
      <c r="D150" s="0" t="str">
        <f aca="false">IF(C150="","",IF(COUNTIFS('MASTER BAHAN'!$A$5:$A$504,C150)=0,"BELUM ADA",INDEX('MASTER BAHAN'!$B$5:$B$504,MATCH(C150,'MASTER BAHAN'!$A$5:$A$504,0))))</f>
        <v/>
      </c>
      <c r="G150" s="0" t="str">
        <f aca="false">IF(C150="","",IF(COUNTIFS('MASTER BAHAN'!$A$5:$A$504,C150)=0,"BELUM ADA",INDEX('MASTER BAHAN'!$D$5:$D$504,MATCH(C150,'MASTER BAHAN'!$A$5:$A$504,0))))</f>
        <v/>
      </c>
      <c r="M150" s="0" t="str">
        <f aca="false">IF(A150="","",IF(E150&lt;&gt;"Waste",0,IF(NOT(ISNUMBER(L150)),"ISI BIAYA WASTE",IF(K150="Disetujui",ROUND(F150*L150,0),0))))</f>
        <v/>
      </c>
    </row>
    <row r="151" customFormat="false" ht="15" hidden="false" customHeight="false" outlineLevel="0" collapsed="false">
      <c r="D151" s="0" t="str">
        <f aca="false">IF(C151="","",IF(COUNTIFS('MASTER BAHAN'!$A$5:$A$504,C151)=0,"BELUM ADA",INDEX('MASTER BAHAN'!$B$5:$B$504,MATCH(C151,'MASTER BAHAN'!$A$5:$A$504,0))))</f>
        <v/>
      </c>
      <c r="G151" s="0" t="str">
        <f aca="false">IF(C151="","",IF(COUNTIFS('MASTER BAHAN'!$A$5:$A$504,C151)=0,"BELUM ADA",INDEX('MASTER BAHAN'!$D$5:$D$504,MATCH(C151,'MASTER BAHAN'!$A$5:$A$504,0))))</f>
        <v/>
      </c>
      <c r="M151" s="0" t="str">
        <f aca="false">IF(A151="","",IF(E151&lt;&gt;"Waste",0,IF(NOT(ISNUMBER(L151)),"ISI BIAYA WASTE",IF(K151="Disetujui",ROUND(F151*L151,0),0))))</f>
        <v/>
      </c>
    </row>
    <row r="152" customFormat="false" ht="15" hidden="false" customHeight="false" outlineLevel="0" collapsed="false">
      <c r="D152" s="0" t="str">
        <f aca="false">IF(C152="","",IF(COUNTIFS('MASTER BAHAN'!$A$5:$A$504,C152)=0,"BELUM ADA",INDEX('MASTER BAHAN'!$B$5:$B$504,MATCH(C152,'MASTER BAHAN'!$A$5:$A$504,0))))</f>
        <v/>
      </c>
      <c r="G152" s="0" t="str">
        <f aca="false">IF(C152="","",IF(COUNTIFS('MASTER BAHAN'!$A$5:$A$504,C152)=0,"BELUM ADA",INDEX('MASTER BAHAN'!$D$5:$D$504,MATCH(C152,'MASTER BAHAN'!$A$5:$A$504,0))))</f>
        <v/>
      </c>
      <c r="M152" s="0" t="str">
        <f aca="false">IF(A152="","",IF(E152&lt;&gt;"Waste",0,IF(NOT(ISNUMBER(L152)),"ISI BIAYA WASTE",IF(K152="Disetujui",ROUND(F152*L152,0),0))))</f>
        <v/>
      </c>
    </row>
    <row r="153" customFormat="false" ht="15" hidden="false" customHeight="false" outlineLevel="0" collapsed="false">
      <c r="D153" s="0" t="str">
        <f aca="false">IF(C153="","",IF(COUNTIFS('MASTER BAHAN'!$A$5:$A$504,C153)=0,"BELUM ADA",INDEX('MASTER BAHAN'!$B$5:$B$504,MATCH(C153,'MASTER BAHAN'!$A$5:$A$504,0))))</f>
        <v/>
      </c>
      <c r="G153" s="0" t="str">
        <f aca="false">IF(C153="","",IF(COUNTIFS('MASTER BAHAN'!$A$5:$A$504,C153)=0,"BELUM ADA",INDEX('MASTER BAHAN'!$D$5:$D$504,MATCH(C153,'MASTER BAHAN'!$A$5:$A$504,0))))</f>
        <v/>
      </c>
      <c r="M153" s="0" t="str">
        <f aca="false">IF(A153="","",IF(E153&lt;&gt;"Waste",0,IF(NOT(ISNUMBER(L153)),"ISI BIAYA WASTE",IF(K153="Disetujui",ROUND(F153*L153,0),0))))</f>
        <v/>
      </c>
    </row>
    <row r="154" customFormat="false" ht="15" hidden="false" customHeight="false" outlineLevel="0" collapsed="false">
      <c r="D154" s="0" t="str">
        <f aca="false">IF(C154="","",IF(COUNTIFS('MASTER BAHAN'!$A$5:$A$504,C154)=0,"BELUM ADA",INDEX('MASTER BAHAN'!$B$5:$B$504,MATCH(C154,'MASTER BAHAN'!$A$5:$A$504,0))))</f>
        <v/>
      </c>
      <c r="G154" s="0" t="str">
        <f aca="false">IF(C154="","",IF(COUNTIFS('MASTER BAHAN'!$A$5:$A$504,C154)=0,"BELUM ADA",INDEX('MASTER BAHAN'!$D$5:$D$504,MATCH(C154,'MASTER BAHAN'!$A$5:$A$504,0))))</f>
        <v/>
      </c>
      <c r="M154" s="0" t="str">
        <f aca="false">IF(A154="","",IF(E154&lt;&gt;"Waste",0,IF(NOT(ISNUMBER(L154)),"ISI BIAYA WASTE",IF(K154="Disetujui",ROUND(F154*L154,0),0))))</f>
        <v/>
      </c>
    </row>
    <row r="155" customFormat="false" ht="15" hidden="false" customHeight="false" outlineLevel="0" collapsed="false">
      <c r="D155" s="0" t="str">
        <f aca="false">IF(C155="","",IF(COUNTIFS('MASTER BAHAN'!$A$5:$A$504,C155)=0,"BELUM ADA",INDEX('MASTER BAHAN'!$B$5:$B$504,MATCH(C155,'MASTER BAHAN'!$A$5:$A$504,0))))</f>
        <v/>
      </c>
      <c r="G155" s="0" t="str">
        <f aca="false">IF(C155="","",IF(COUNTIFS('MASTER BAHAN'!$A$5:$A$504,C155)=0,"BELUM ADA",INDEX('MASTER BAHAN'!$D$5:$D$504,MATCH(C155,'MASTER BAHAN'!$A$5:$A$504,0))))</f>
        <v/>
      </c>
      <c r="M155" s="0" t="str">
        <f aca="false">IF(A155="","",IF(E155&lt;&gt;"Waste",0,IF(NOT(ISNUMBER(L155)),"ISI BIAYA WASTE",IF(K155="Disetujui",ROUND(F155*L155,0),0))))</f>
        <v/>
      </c>
    </row>
    <row r="156" customFormat="false" ht="15" hidden="false" customHeight="false" outlineLevel="0" collapsed="false">
      <c r="D156" s="0" t="str">
        <f aca="false">IF(C156="","",IF(COUNTIFS('MASTER BAHAN'!$A$5:$A$504,C156)=0,"BELUM ADA",INDEX('MASTER BAHAN'!$B$5:$B$504,MATCH(C156,'MASTER BAHAN'!$A$5:$A$504,0))))</f>
        <v/>
      </c>
      <c r="G156" s="0" t="str">
        <f aca="false">IF(C156="","",IF(COUNTIFS('MASTER BAHAN'!$A$5:$A$504,C156)=0,"BELUM ADA",INDEX('MASTER BAHAN'!$D$5:$D$504,MATCH(C156,'MASTER BAHAN'!$A$5:$A$504,0))))</f>
        <v/>
      </c>
      <c r="M156" s="0" t="str">
        <f aca="false">IF(A156="","",IF(E156&lt;&gt;"Waste",0,IF(NOT(ISNUMBER(L156)),"ISI BIAYA WASTE",IF(K156="Disetujui",ROUND(F156*L156,0),0))))</f>
        <v/>
      </c>
    </row>
    <row r="157" customFormat="false" ht="15" hidden="false" customHeight="false" outlineLevel="0" collapsed="false">
      <c r="D157" s="0" t="str">
        <f aca="false">IF(C157="","",IF(COUNTIFS('MASTER BAHAN'!$A$5:$A$504,C157)=0,"BELUM ADA",INDEX('MASTER BAHAN'!$B$5:$B$504,MATCH(C157,'MASTER BAHAN'!$A$5:$A$504,0))))</f>
        <v/>
      </c>
      <c r="G157" s="0" t="str">
        <f aca="false">IF(C157="","",IF(COUNTIFS('MASTER BAHAN'!$A$5:$A$504,C157)=0,"BELUM ADA",INDEX('MASTER BAHAN'!$D$5:$D$504,MATCH(C157,'MASTER BAHAN'!$A$5:$A$504,0))))</f>
        <v/>
      </c>
      <c r="M157" s="0" t="str">
        <f aca="false">IF(A157="","",IF(E157&lt;&gt;"Waste",0,IF(NOT(ISNUMBER(L157)),"ISI BIAYA WASTE",IF(K157="Disetujui",ROUND(F157*L157,0),0))))</f>
        <v/>
      </c>
    </row>
    <row r="158" customFormat="false" ht="15" hidden="false" customHeight="false" outlineLevel="0" collapsed="false">
      <c r="D158" s="0" t="str">
        <f aca="false">IF(C158="","",IF(COUNTIFS('MASTER BAHAN'!$A$5:$A$504,C158)=0,"BELUM ADA",INDEX('MASTER BAHAN'!$B$5:$B$504,MATCH(C158,'MASTER BAHAN'!$A$5:$A$504,0))))</f>
        <v/>
      </c>
      <c r="G158" s="0" t="str">
        <f aca="false">IF(C158="","",IF(COUNTIFS('MASTER BAHAN'!$A$5:$A$504,C158)=0,"BELUM ADA",INDEX('MASTER BAHAN'!$D$5:$D$504,MATCH(C158,'MASTER BAHAN'!$A$5:$A$504,0))))</f>
        <v/>
      </c>
      <c r="M158" s="0" t="str">
        <f aca="false">IF(A158="","",IF(E158&lt;&gt;"Waste",0,IF(NOT(ISNUMBER(L158)),"ISI BIAYA WASTE",IF(K158="Disetujui",ROUND(F158*L158,0),0))))</f>
        <v/>
      </c>
    </row>
    <row r="159" customFormat="false" ht="15" hidden="false" customHeight="false" outlineLevel="0" collapsed="false">
      <c r="D159" s="0" t="str">
        <f aca="false">IF(C159="","",IF(COUNTIFS('MASTER BAHAN'!$A$5:$A$504,C159)=0,"BELUM ADA",INDEX('MASTER BAHAN'!$B$5:$B$504,MATCH(C159,'MASTER BAHAN'!$A$5:$A$504,0))))</f>
        <v/>
      </c>
      <c r="G159" s="0" t="str">
        <f aca="false">IF(C159="","",IF(COUNTIFS('MASTER BAHAN'!$A$5:$A$504,C159)=0,"BELUM ADA",INDEX('MASTER BAHAN'!$D$5:$D$504,MATCH(C159,'MASTER BAHAN'!$A$5:$A$504,0))))</f>
        <v/>
      </c>
      <c r="M159" s="0" t="str">
        <f aca="false">IF(A159="","",IF(E159&lt;&gt;"Waste",0,IF(NOT(ISNUMBER(L159)),"ISI BIAYA WASTE",IF(K159="Disetujui",ROUND(F159*L159,0),0))))</f>
        <v/>
      </c>
    </row>
    <row r="160" customFormat="false" ht="15" hidden="false" customHeight="false" outlineLevel="0" collapsed="false">
      <c r="D160" s="0" t="str">
        <f aca="false">IF(C160="","",IF(COUNTIFS('MASTER BAHAN'!$A$5:$A$504,C160)=0,"BELUM ADA",INDEX('MASTER BAHAN'!$B$5:$B$504,MATCH(C160,'MASTER BAHAN'!$A$5:$A$504,0))))</f>
        <v/>
      </c>
      <c r="G160" s="0" t="str">
        <f aca="false">IF(C160="","",IF(COUNTIFS('MASTER BAHAN'!$A$5:$A$504,C160)=0,"BELUM ADA",INDEX('MASTER BAHAN'!$D$5:$D$504,MATCH(C160,'MASTER BAHAN'!$A$5:$A$504,0))))</f>
        <v/>
      </c>
      <c r="M160" s="0" t="str">
        <f aca="false">IF(A160="","",IF(E160&lt;&gt;"Waste",0,IF(NOT(ISNUMBER(L160)),"ISI BIAYA WASTE",IF(K160="Disetujui",ROUND(F160*L160,0),0))))</f>
        <v/>
      </c>
    </row>
    <row r="161" customFormat="false" ht="15" hidden="false" customHeight="false" outlineLevel="0" collapsed="false">
      <c r="D161" s="0" t="str">
        <f aca="false">IF(C161="","",IF(COUNTIFS('MASTER BAHAN'!$A$5:$A$504,C161)=0,"BELUM ADA",INDEX('MASTER BAHAN'!$B$5:$B$504,MATCH(C161,'MASTER BAHAN'!$A$5:$A$504,0))))</f>
        <v/>
      </c>
      <c r="G161" s="0" t="str">
        <f aca="false">IF(C161="","",IF(COUNTIFS('MASTER BAHAN'!$A$5:$A$504,C161)=0,"BELUM ADA",INDEX('MASTER BAHAN'!$D$5:$D$504,MATCH(C161,'MASTER BAHAN'!$A$5:$A$504,0))))</f>
        <v/>
      </c>
      <c r="M161" s="0" t="str">
        <f aca="false">IF(A161="","",IF(E161&lt;&gt;"Waste",0,IF(NOT(ISNUMBER(L161)),"ISI BIAYA WASTE",IF(K161="Disetujui",ROUND(F161*L161,0),0))))</f>
        <v/>
      </c>
    </row>
    <row r="162" customFormat="false" ht="15" hidden="false" customHeight="false" outlineLevel="0" collapsed="false">
      <c r="D162" s="0" t="str">
        <f aca="false">IF(C162="","",IF(COUNTIFS('MASTER BAHAN'!$A$5:$A$504,C162)=0,"BELUM ADA",INDEX('MASTER BAHAN'!$B$5:$B$504,MATCH(C162,'MASTER BAHAN'!$A$5:$A$504,0))))</f>
        <v/>
      </c>
      <c r="G162" s="0" t="str">
        <f aca="false">IF(C162="","",IF(COUNTIFS('MASTER BAHAN'!$A$5:$A$504,C162)=0,"BELUM ADA",INDEX('MASTER BAHAN'!$D$5:$D$504,MATCH(C162,'MASTER BAHAN'!$A$5:$A$504,0))))</f>
        <v/>
      </c>
      <c r="M162" s="0" t="str">
        <f aca="false">IF(A162="","",IF(E162&lt;&gt;"Waste",0,IF(NOT(ISNUMBER(L162)),"ISI BIAYA WASTE",IF(K162="Disetujui",ROUND(F162*L162,0),0))))</f>
        <v/>
      </c>
    </row>
    <row r="163" customFormat="false" ht="15" hidden="false" customHeight="false" outlineLevel="0" collapsed="false">
      <c r="D163" s="0" t="str">
        <f aca="false">IF(C163="","",IF(COUNTIFS('MASTER BAHAN'!$A$5:$A$504,C163)=0,"BELUM ADA",INDEX('MASTER BAHAN'!$B$5:$B$504,MATCH(C163,'MASTER BAHAN'!$A$5:$A$504,0))))</f>
        <v/>
      </c>
      <c r="G163" s="0" t="str">
        <f aca="false">IF(C163="","",IF(COUNTIFS('MASTER BAHAN'!$A$5:$A$504,C163)=0,"BELUM ADA",INDEX('MASTER BAHAN'!$D$5:$D$504,MATCH(C163,'MASTER BAHAN'!$A$5:$A$504,0))))</f>
        <v/>
      </c>
      <c r="M163" s="0" t="str">
        <f aca="false">IF(A163="","",IF(E163&lt;&gt;"Waste",0,IF(NOT(ISNUMBER(L163)),"ISI BIAYA WASTE",IF(K163="Disetujui",ROUND(F163*L163,0),0))))</f>
        <v/>
      </c>
    </row>
    <row r="164" customFormat="false" ht="15" hidden="false" customHeight="false" outlineLevel="0" collapsed="false">
      <c r="D164" s="0" t="str">
        <f aca="false">IF(C164="","",IF(COUNTIFS('MASTER BAHAN'!$A$5:$A$504,C164)=0,"BELUM ADA",INDEX('MASTER BAHAN'!$B$5:$B$504,MATCH(C164,'MASTER BAHAN'!$A$5:$A$504,0))))</f>
        <v/>
      </c>
      <c r="G164" s="0" t="str">
        <f aca="false">IF(C164="","",IF(COUNTIFS('MASTER BAHAN'!$A$5:$A$504,C164)=0,"BELUM ADA",INDEX('MASTER BAHAN'!$D$5:$D$504,MATCH(C164,'MASTER BAHAN'!$A$5:$A$504,0))))</f>
        <v/>
      </c>
      <c r="M164" s="0" t="str">
        <f aca="false">IF(A164="","",IF(E164&lt;&gt;"Waste",0,IF(NOT(ISNUMBER(L164)),"ISI BIAYA WASTE",IF(K164="Disetujui",ROUND(F164*L164,0),0))))</f>
        <v/>
      </c>
    </row>
    <row r="165" customFormat="false" ht="15" hidden="false" customHeight="false" outlineLevel="0" collapsed="false">
      <c r="D165" s="0" t="str">
        <f aca="false">IF(C165="","",IF(COUNTIFS('MASTER BAHAN'!$A$5:$A$504,C165)=0,"BELUM ADA",INDEX('MASTER BAHAN'!$B$5:$B$504,MATCH(C165,'MASTER BAHAN'!$A$5:$A$504,0))))</f>
        <v/>
      </c>
      <c r="G165" s="0" t="str">
        <f aca="false">IF(C165="","",IF(COUNTIFS('MASTER BAHAN'!$A$5:$A$504,C165)=0,"BELUM ADA",INDEX('MASTER BAHAN'!$D$5:$D$504,MATCH(C165,'MASTER BAHAN'!$A$5:$A$504,0))))</f>
        <v/>
      </c>
      <c r="M165" s="0" t="str">
        <f aca="false">IF(A165="","",IF(E165&lt;&gt;"Waste",0,IF(NOT(ISNUMBER(L165)),"ISI BIAYA WASTE",IF(K165="Disetujui",ROUND(F165*L165,0),0))))</f>
        <v/>
      </c>
    </row>
    <row r="166" customFormat="false" ht="15" hidden="false" customHeight="false" outlineLevel="0" collapsed="false">
      <c r="D166" s="0" t="str">
        <f aca="false">IF(C166="","",IF(COUNTIFS('MASTER BAHAN'!$A$5:$A$504,C166)=0,"BELUM ADA",INDEX('MASTER BAHAN'!$B$5:$B$504,MATCH(C166,'MASTER BAHAN'!$A$5:$A$504,0))))</f>
        <v/>
      </c>
      <c r="G166" s="0" t="str">
        <f aca="false">IF(C166="","",IF(COUNTIFS('MASTER BAHAN'!$A$5:$A$504,C166)=0,"BELUM ADA",INDEX('MASTER BAHAN'!$D$5:$D$504,MATCH(C166,'MASTER BAHAN'!$A$5:$A$504,0))))</f>
        <v/>
      </c>
      <c r="M166" s="0" t="str">
        <f aca="false">IF(A166="","",IF(E166&lt;&gt;"Waste",0,IF(NOT(ISNUMBER(L166)),"ISI BIAYA WASTE",IF(K166="Disetujui",ROUND(F166*L166,0),0))))</f>
        <v/>
      </c>
    </row>
    <row r="167" customFormat="false" ht="15" hidden="false" customHeight="false" outlineLevel="0" collapsed="false">
      <c r="D167" s="0" t="str">
        <f aca="false">IF(C167="","",IF(COUNTIFS('MASTER BAHAN'!$A$5:$A$504,C167)=0,"BELUM ADA",INDEX('MASTER BAHAN'!$B$5:$B$504,MATCH(C167,'MASTER BAHAN'!$A$5:$A$504,0))))</f>
        <v/>
      </c>
      <c r="G167" s="0" t="str">
        <f aca="false">IF(C167="","",IF(COUNTIFS('MASTER BAHAN'!$A$5:$A$504,C167)=0,"BELUM ADA",INDEX('MASTER BAHAN'!$D$5:$D$504,MATCH(C167,'MASTER BAHAN'!$A$5:$A$504,0))))</f>
        <v/>
      </c>
      <c r="M167" s="0" t="str">
        <f aca="false">IF(A167="","",IF(E167&lt;&gt;"Waste",0,IF(NOT(ISNUMBER(L167)),"ISI BIAYA WASTE",IF(K167="Disetujui",ROUND(F167*L167,0),0))))</f>
        <v/>
      </c>
    </row>
    <row r="168" customFormat="false" ht="15" hidden="false" customHeight="false" outlineLevel="0" collapsed="false">
      <c r="D168" s="0" t="str">
        <f aca="false">IF(C168="","",IF(COUNTIFS('MASTER BAHAN'!$A$5:$A$504,C168)=0,"BELUM ADA",INDEX('MASTER BAHAN'!$B$5:$B$504,MATCH(C168,'MASTER BAHAN'!$A$5:$A$504,0))))</f>
        <v/>
      </c>
      <c r="G168" s="0" t="str">
        <f aca="false">IF(C168="","",IF(COUNTIFS('MASTER BAHAN'!$A$5:$A$504,C168)=0,"BELUM ADA",INDEX('MASTER BAHAN'!$D$5:$D$504,MATCH(C168,'MASTER BAHAN'!$A$5:$A$504,0))))</f>
        <v/>
      </c>
      <c r="M168" s="0" t="str">
        <f aca="false">IF(A168="","",IF(E168&lt;&gt;"Waste",0,IF(NOT(ISNUMBER(L168)),"ISI BIAYA WASTE",IF(K168="Disetujui",ROUND(F168*L168,0),0))))</f>
        <v/>
      </c>
    </row>
    <row r="169" customFormat="false" ht="15" hidden="false" customHeight="false" outlineLevel="0" collapsed="false">
      <c r="D169" s="0" t="str">
        <f aca="false">IF(C169="","",IF(COUNTIFS('MASTER BAHAN'!$A$5:$A$504,C169)=0,"BELUM ADA",INDEX('MASTER BAHAN'!$B$5:$B$504,MATCH(C169,'MASTER BAHAN'!$A$5:$A$504,0))))</f>
        <v/>
      </c>
      <c r="G169" s="0" t="str">
        <f aca="false">IF(C169="","",IF(COUNTIFS('MASTER BAHAN'!$A$5:$A$504,C169)=0,"BELUM ADA",INDEX('MASTER BAHAN'!$D$5:$D$504,MATCH(C169,'MASTER BAHAN'!$A$5:$A$504,0))))</f>
        <v/>
      </c>
      <c r="M169" s="0" t="str">
        <f aca="false">IF(A169="","",IF(E169&lt;&gt;"Waste",0,IF(NOT(ISNUMBER(L169)),"ISI BIAYA WASTE",IF(K169="Disetujui",ROUND(F169*L169,0),0))))</f>
        <v/>
      </c>
    </row>
    <row r="170" customFormat="false" ht="15" hidden="false" customHeight="false" outlineLevel="0" collapsed="false">
      <c r="D170" s="0" t="str">
        <f aca="false">IF(C170="","",IF(COUNTIFS('MASTER BAHAN'!$A$5:$A$504,C170)=0,"BELUM ADA",INDEX('MASTER BAHAN'!$B$5:$B$504,MATCH(C170,'MASTER BAHAN'!$A$5:$A$504,0))))</f>
        <v/>
      </c>
      <c r="G170" s="0" t="str">
        <f aca="false">IF(C170="","",IF(COUNTIFS('MASTER BAHAN'!$A$5:$A$504,C170)=0,"BELUM ADA",INDEX('MASTER BAHAN'!$D$5:$D$504,MATCH(C170,'MASTER BAHAN'!$A$5:$A$504,0))))</f>
        <v/>
      </c>
      <c r="M170" s="0" t="str">
        <f aca="false">IF(A170="","",IF(E170&lt;&gt;"Waste",0,IF(NOT(ISNUMBER(L170)),"ISI BIAYA WASTE",IF(K170="Disetujui",ROUND(F170*L170,0),0))))</f>
        <v/>
      </c>
    </row>
    <row r="171" customFormat="false" ht="15" hidden="false" customHeight="false" outlineLevel="0" collapsed="false">
      <c r="D171" s="0" t="str">
        <f aca="false">IF(C171="","",IF(COUNTIFS('MASTER BAHAN'!$A$5:$A$504,C171)=0,"BELUM ADA",INDEX('MASTER BAHAN'!$B$5:$B$504,MATCH(C171,'MASTER BAHAN'!$A$5:$A$504,0))))</f>
        <v/>
      </c>
      <c r="G171" s="0" t="str">
        <f aca="false">IF(C171="","",IF(COUNTIFS('MASTER BAHAN'!$A$5:$A$504,C171)=0,"BELUM ADA",INDEX('MASTER BAHAN'!$D$5:$D$504,MATCH(C171,'MASTER BAHAN'!$A$5:$A$504,0))))</f>
        <v/>
      </c>
      <c r="M171" s="0" t="str">
        <f aca="false">IF(A171="","",IF(E171&lt;&gt;"Waste",0,IF(NOT(ISNUMBER(L171)),"ISI BIAYA WASTE",IF(K171="Disetujui",ROUND(F171*L171,0),0))))</f>
        <v/>
      </c>
    </row>
    <row r="172" customFormat="false" ht="15" hidden="false" customHeight="false" outlineLevel="0" collapsed="false">
      <c r="D172" s="0" t="str">
        <f aca="false">IF(C172="","",IF(COUNTIFS('MASTER BAHAN'!$A$5:$A$504,C172)=0,"BELUM ADA",INDEX('MASTER BAHAN'!$B$5:$B$504,MATCH(C172,'MASTER BAHAN'!$A$5:$A$504,0))))</f>
        <v/>
      </c>
      <c r="G172" s="0" t="str">
        <f aca="false">IF(C172="","",IF(COUNTIFS('MASTER BAHAN'!$A$5:$A$504,C172)=0,"BELUM ADA",INDEX('MASTER BAHAN'!$D$5:$D$504,MATCH(C172,'MASTER BAHAN'!$A$5:$A$504,0))))</f>
        <v/>
      </c>
      <c r="M172" s="0" t="str">
        <f aca="false">IF(A172="","",IF(E172&lt;&gt;"Waste",0,IF(NOT(ISNUMBER(L172)),"ISI BIAYA WASTE",IF(K172="Disetujui",ROUND(F172*L172,0),0))))</f>
        <v/>
      </c>
    </row>
    <row r="173" customFormat="false" ht="15" hidden="false" customHeight="false" outlineLevel="0" collapsed="false">
      <c r="D173" s="0" t="str">
        <f aca="false">IF(C173="","",IF(COUNTIFS('MASTER BAHAN'!$A$5:$A$504,C173)=0,"BELUM ADA",INDEX('MASTER BAHAN'!$B$5:$B$504,MATCH(C173,'MASTER BAHAN'!$A$5:$A$504,0))))</f>
        <v/>
      </c>
      <c r="G173" s="0" t="str">
        <f aca="false">IF(C173="","",IF(COUNTIFS('MASTER BAHAN'!$A$5:$A$504,C173)=0,"BELUM ADA",INDEX('MASTER BAHAN'!$D$5:$D$504,MATCH(C173,'MASTER BAHAN'!$A$5:$A$504,0))))</f>
        <v/>
      </c>
      <c r="M173" s="0" t="str">
        <f aca="false">IF(A173="","",IF(E173&lt;&gt;"Waste",0,IF(NOT(ISNUMBER(L173)),"ISI BIAYA WASTE",IF(K173="Disetujui",ROUND(F173*L173,0),0))))</f>
        <v/>
      </c>
    </row>
    <row r="174" customFormat="false" ht="15" hidden="false" customHeight="false" outlineLevel="0" collapsed="false">
      <c r="D174" s="0" t="str">
        <f aca="false">IF(C174="","",IF(COUNTIFS('MASTER BAHAN'!$A$5:$A$504,C174)=0,"BELUM ADA",INDEX('MASTER BAHAN'!$B$5:$B$504,MATCH(C174,'MASTER BAHAN'!$A$5:$A$504,0))))</f>
        <v/>
      </c>
      <c r="G174" s="0" t="str">
        <f aca="false">IF(C174="","",IF(COUNTIFS('MASTER BAHAN'!$A$5:$A$504,C174)=0,"BELUM ADA",INDEX('MASTER BAHAN'!$D$5:$D$504,MATCH(C174,'MASTER BAHAN'!$A$5:$A$504,0))))</f>
        <v/>
      </c>
      <c r="M174" s="0" t="str">
        <f aca="false">IF(A174="","",IF(E174&lt;&gt;"Waste",0,IF(NOT(ISNUMBER(L174)),"ISI BIAYA WASTE",IF(K174="Disetujui",ROUND(F174*L174,0),0))))</f>
        <v/>
      </c>
    </row>
    <row r="175" customFormat="false" ht="15" hidden="false" customHeight="false" outlineLevel="0" collapsed="false">
      <c r="D175" s="0" t="str">
        <f aca="false">IF(C175="","",IF(COUNTIFS('MASTER BAHAN'!$A$5:$A$504,C175)=0,"BELUM ADA",INDEX('MASTER BAHAN'!$B$5:$B$504,MATCH(C175,'MASTER BAHAN'!$A$5:$A$504,0))))</f>
        <v/>
      </c>
      <c r="G175" s="0" t="str">
        <f aca="false">IF(C175="","",IF(COUNTIFS('MASTER BAHAN'!$A$5:$A$504,C175)=0,"BELUM ADA",INDEX('MASTER BAHAN'!$D$5:$D$504,MATCH(C175,'MASTER BAHAN'!$A$5:$A$504,0))))</f>
        <v/>
      </c>
      <c r="M175" s="0" t="str">
        <f aca="false">IF(A175="","",IF(E175&lt;&gt;"Waste",0,IF(NOT(ISNUMBER(L175)),"ISI BIAYA WASTE",IF(K175="Disetujui",ROUND(F175*L175,0),0))))</f>
        <v/>
      </c>
    </row>
    <row r="176" customFormat="false" ht="15" hidden="false" customHeight="false" outlineLevel="0" collapsed="false">
      <c r="D176" s="0" t="str">
        <f aca="false">IF(C176="","",IF(COUNTIFS('MASTER BAHAN'!$A$5:$A$504,C176)=0,"BELUM ADA",INDEX('MASTER BAHAN'!$B$5:$B$504,MATCH(C176,'MASTER BAHAN'!$A$5:$A$504,0))))</f>
        <v/>
      </c>
      <c r="G176" s="0" t="str">
        <f aca="false">IF(C176="","",IF(COUNTIFS('MASTER BAHAN'!$A$5:$A$504,C176)=0,"BELUM ADA",INDEX('MASTER BAHAN'!$D$5:$D$504,MATCH(C176,'MASTER BAHAN'!$A$5:$A$504,0))))</f>
        <v/>
      </c>
      <c r="M176" s="0" t="str">
        <f aca="false">IF(A176="","",IF(E176&lt;&gt;"Waste",0,IF(NOT(ISNUMBER(L176)),"ISI BIAYA WASTE",IF(K176="Disetujui",ROUND(F176*L176,0),0))))</f>
        <v/>
      </c>
    </row>
    <row r="177" customFormat="false" ht="15" hidden="false" customHeight="false" outlineLevel="0" collapsed="false">
      <c r="D177" s="0" t="str">
        <f aca="false">IF(C177="","",IF(COUNTIFS('MASTER BAHAN'!$A$5:$A$504,C177)=0,"BELUM ADA",INDEX('MASTER BAHAN'!$B$5:$B$504,MATCH(C177,'MASTER BAHAN'!$A$5:$A$504,0))))</f>
        <v/>
      </c>
      <c r="G177" s="0" t="str">
        <f aca="false">IF(C177="","",IF(COUNTIFS('MASTER BAHAN'!$A$5:$A$504,C177)=0,"BELUM ADA",INDEX('MASTER BAHAN'!$D$5:$D$504,MATCH(C177,'MASTER BAHAN'!$A$5:$A$504,0))))</f>
        <v/>
      </c>
      <c r="M177" s="0" t="str">
        <f aca="false">IF(A177="","",IF(E177&lt;&gt;"Waste",0,IF(NOT(ISNUMBER(L177)),"ISI BIAYA WASTE",IF(K177="Disetujui",ROUND(F177*L177,0),0))))</f>
        <v/>
      </c>
    </row>
    <row r="178" customFormat="false" ht="15" hidden="false" customHeight="false" outlineLevel="0" collapsed="false">
      <c r="D178" s="0" t="str">
        <f aca="false">IF(C178="","",IF(COUNTIFS('MASTER BAHAN'!$A$5:$A$504,C178)=0,"BELUM ADA",INDEX('MASTER BAHAN'!$B$5:$B$504,MATCH(C178,'MASTER BAHAN'!$A$5:$A$504,0))))</f>
        <v/>
      </c>
      <c r="G178" s="0" t="str">
        <f aca="false">IF(C178="","",IF(COUNTIFS('MASTER BAHAN'!$A$5:$A$504,C178)=0,"BELUM ADA",INDEX('MASTER BAHAN'!$D$5:$D$504,MATCH(C178,'MASTER BAHAN'!$A$5:$A$504,0))))</f>
        <v/>
      </c>
      <c r="M178" s="0" t="str">
        <f aca="false">IF(A178="","",IF(E178&lt;&gt;"Waste",0,IF(NOT(ISNUMBER(L178)),"ISI BIAYA WASTE",IF(K178="Disetujui",ROUND(F178*L178,0),0))))</f>
        <v/>
      </c>
    </row>
    <row r="179" customFormat="false" ht="15" hidden="false" customHeight="false" outlineLevel="0" collapsed="false">
      <c r="D179" s="0" t="str">
        <f aca="false">IF(C179="","",IF(COUNTIFS('MASTER BAHAN'!$A$5:$A$504,C179)=0,"BELUM ADA",INDEX('MASTER BAHAN'!$B$5:$B$504,MATCH(C179,'MASTER BAHAN'!$A$5:$A$504,0))))</f>
        <v/>
      </c>
      <c r="G179" s="0" t="str">
        <f aca="false">IF(C179="","",IF(COUNTIFS('MASTER BAHAN'!$A$5:$A$504,C179)=0,"BELUM ADA",INDEX('MASTER BAHAN'!$D$5:$D$504,MATCH(C179,'MASTER BAHAN'!$A$5:$A$504,0))))</f>
        <v/>
      </c>
      <c r="M179" s="0" t="str">
        <f aca="false">IF(A179="","",IF(E179&lt;&gt;"Waste",0,IF(NOT(ISNUMBER(L179)),"ISI BIAYA WASTE",IF(K179="Disetujui",ROUND(F179*L179,0),0))))</f>
        <v/>
      </c>
    </row>
    <row r="180" customFormat="false" ht="15" hidden="false" customHeight="false" outlineLevel="0" collapsed="false">
      <c r="D180" s="0" t="str">
        <f aca="false">IF(C180="","",IF(COUNTIFS('MASTER BAHAN'!$A$5:$A$504,C180)=0,"BELUM ADA",INDEX('MASTER BAHAN'!$B$5:$B$504,MATCH(C180,'MASTER BAHAN'!$A$5:$A$504,0))))</f>
        <v/>
      </c>
      <c r="G180" s="0" t="str">
        <f aca="false">IF(C180="","",IF(COUNTIFS('MASTER BAHAN'!$A$5:$A$504,C180)=0,"BELUM ADA",INDEX('MASTER BAHAN'!$D$5:$D$504,MATCH(C180,'MASTER BAHAN'!$A$5:$A$504,0))))</f>
        <v/>
      </c>
      <c r="M180" s="0" t="str">
        <f aca="false">IF(A180="","",IF(E180&lt;&gt;"Waste",0,IF(NOT(ISNUMBER(L180)),"ISI BIAYA WASTE",IF(K180="Disetujui",ROUND(F180*L180,0),0))))</f>
        <v/>
      </c>
    </row>
    <row r="181" customFormat="false" ht="15" hidden="false" customHeight="false" outlineLevel="0" collapsed="false">
      <c r="D181" s="0" t="str">
        <f aca="false">IF(C181="","",IF(COUNTIFS('MASTER BAHAN'!$A$5:$A$504,C181)=0,"BELUM ADA",INDEX('MASTER BAHAN'!$B$5:$B$504,MATCH(C181,'MASTER BAHAN'!$A$5:$A$504,0))))</f>
        <v/>
      </c>
      <c r="G181" s="0" t="str">
        <f aca="false">IF(C181="","",IF(COUNTIFS('MASTER BAHAN'!$A$5:$A$504,C181)=0,"BELUM ADA",INDEX('MASTER BAHAN'!$D$5:$D$504,MATCH(C181,'MASTER BAHAN'!$A$5:$A$504,0))))</f>
        <v/>
      </c>
      <c r="M181" s="0" t="str">
        <f aca="false">IF(A181="","",IF(E181&lt;&gt;"Waste",0,IF(NOT(ISNUMBER(L181)),"ISI BIAYA WASTE",IF(K181="Disetujui",ROUND(F181*L181,0),0))))</f>
        <v/>
      </c>
    </row>
    <row r="182" customFormat="false" ht="15" hidden="false" customHeight="false" outlineLevel="0" collapsed="false">
      <c r="D182" s="0" t="str">
        <f aca="false">IF(C182="","",IF(COUNTIFS('MASTER BAHAN'!$A$5:$A$504,C182)=0,"BELUM ADA",INDEX('MASTER BAHAN'!$B$5:$B$504,MATCH(C182,'MASTER BAHAN'!$A$5:$A$504,0))))</f>
        <v/>
      </c>
      <c r="G182" s="0" t="str">
        <f aca="false">IF(C182="","",IF(COUNTIFS('MASTER BAHAN'!$A$5:$A$504,C182)=0,"BELUM ADA",INDEX('MASTER BAHAN'!$D$5:$D$504,MATCH(C182,'MASTER BAHAN'!$A$5:$A$504,0))))</f>
        <v/>
      </c>
      <c r="M182" s="0" t="str">
        <f aca="false">IF(A182="","",IF(E182&lt;&gt;"Waste",0,IF(NOT(ISNUMBER(L182)),"ISI BIAYA WASTE",IF(K182="Disetujui",ROUND(F182*L182,0),0))))</f>
        <v/>
      </c>
    </row>
    <row r="183" customFormat="false" ht="15" hidden="false" customHeight="false" outlineLevel="0" collapsed="false">
      <c r="D183" s="0" t="str">
        <f aca="false">IF(C183="","",IF(COUNTIFS('MASTER BAHAN'!$A$5:$A$504,C183)=0,"BELUM ADA",INDEX('MASTER BAHAN'!$B$5:$B$504,MATCH(C183,'MASTER BAHAN'!$A$5:$A$504,0))))</f>
        <v/>
      </c>
      <c r="G183" s="0" t="str">
        <f aca="false">IF(C183="","",IF(COUNTIFS('MASTER BAHAN'!$A$5:$A$504,C183)=0,"BELUM ADA",INDEX('MASTER BAHAN'!$D$5:$D$504,MATCH(C183,'MASTER BAHAN'!$A$5:$A$504,0))))</f>
        <v/>
      </c>
      <c r="M183" s="0" t="str">
        <f aca="false">IF(A183="","",IF(E183&lt;&gt;"Waste",0,IF(NOT(ISNUMBER(L183)),"ISI BIAYA WASTE",IF(K183="Disetujui",ROUND(F183*L183,0),0))))</f>
        <v/>
      </c>
    </row>
    <row r="184" customFormat="false" ht="15" hidden="false" customHeight="false" outlineLevel="0" collapsed="false">
      <c r="D184" s="0" t="str">
        <f aca="false">IF(C184="","",IF(COUNTIFS('MASTER BAHAN'!$A$5:$A$504,C184)=0,"BELUM ADA",INDEX('MASTER BAHAN'!$B$5:$B$504,MATCH(C184,'MASTER BAHAN'!$A$5:$A$504,0))))</f>
        <v/>
      </c>
      <c r="G184" s="0" t="str">
        <f aca="false">IF(C184="","",IF(COUNTIFS('MASTER BAHAN'!$A$5:$A$504,C184)=0,"BELUM ADA",INDEX('MASTER BAHAN'!$D$5:$D$504,MATCH(C184,'MASTER BAHAN'!$A$5:$A$504,0))))</f>
        <v/>
      </c>
      <c r="M184" s="0" t="str">
        <f aca="false">IF(A184="","",IF(E184&lt;&gt;"Waste",0,IF(NOT(ISNUMBER(L184)),"ISI BIAYA WASTE",IF(K184="Disetujui",ROUND(F184*L184,0),0))))</f>
        <v/>
      </c>
    </row>
    <row r="185" customFormat="false" ht="15" hidden="false" customHeight="false" outlineLevel="0" collapsed="false">
      <c r="D185" s="0" t="str">
        <f aca="false">IF(C185="","",IF(COUNTIFS('MASTER BAHAN'!$A$5:$A$504,C185)=0,"BELUM ADA",INDEX('MASTER BAHAN'!$B$5:$B$504,MATCH(C185,'MASTER BAHAN'!$A$5:$A$504,0))))</f>
        <v/>
      </c>
      <c r="G185" s="0" t="str">
        <f aca="false">IF(C185="","",IF(COUNTIFS('MASTER BAHAN'!$A$5:$A$504,C185)=0,"BELUM ADA",INDEX('MASTER BAHAN'!$D$5:$D$504,MATCH(C185,'MASTER BAHAN'!$A$5:$A$504,0))))</f>
        <v/>
      </c>
      <c r="M185" s="0" t="str">
        <f aca="false">IF(A185="","",IF(E185&lt;&gt;"Waste",0,IF(NOT(ISNUMBER(L185)),"ISI BIAYA WASTE",IF(K185="Disetujui",ROUND(F185*L185,0),0))))</f>
        <v/>
      </c>
    </row>
    <row r="186" customFormat="false" ht="15" hidden="false" customHeight="false" outlineLevel="0" collapsed="false">
      <c r="D186" s="0" t="str">
        <f aca="false">IF(C186="","",IF(COUNTIFS('MASTER BAHAN'!$A$5:$A$504,C186)=0,"BELUM ADA",INDEX('MASTER BAHAN'!$B$5:$B$504,MATCH(C186,'MASTER BAHAN'!$A$5:$A$504,0))))</f>
        <v/>
      </c>
      <c r="G186" s="0" t="str">
        <f aca="false">IF(C186="","",IF(COUNTIFS('MASTER BAHAN'!$A$5:$A$504,C186)=0,"BELUM ADA",INDEX('MASTER BAHAN'!$D$5:$D$504,MATCH(C186,'MASTER BAHAN'!$A$5:$A$504,0))))</f>
        <v/>
      </c>
      <c r="M186" s="0" t="str">
        <f aca="false">IF(A186="","",IF(E186&lt;&gt;"Waste",0,IF(NOT(ISNUMBER(L186)),"ISI BIAYA WASTE",IF(K186="Disetujui",ROUND(F186*L186,0),0))))</f>
        <v/>
      </c>
    </row>
    <row r="187" customFormat="false" ht="15" hidden="false" customHeight="false" outlineLevel="0" collapsed="false">
      <c r="D187" s="0" t="str">
        <f aca="false">IF(C187="","",IF(COUNTIFS('MASTER BAHAN'!$A$5:$A$504,C187)=0,"BELUM ADA",INDEX('MASTER BAHAN'!$B$5:$B$504,MATCH(C187,'MASTER BAHAN'!$A$5:$A$504,0))))</f>
        <v/>
      </c>
      <c r="G187" s="0" t="str">
        <f aca="false">IF(C187="","",IF(COUNTIFS('MASTER BAHAN'!$A$5:$A$504,C187)=0,"BELUM ADA",INDEX('MASTER BAHAN'!$D$5:$D$504,MATCH(C187,'MASTER BAHAN'!$A$5:$A$504,0))))</f>
        <v/>
      </c>
      <c r="M187" s="0" t="str">
        <f aca="false">IF(A187="","",IF(E187&lt;&gt;"Waste",0,IF(NOT(ISNUMBER(L187)),"ISI BIAYA WASTE",IF(K187="Disetujui",ROUND(F187*L187,0),0))))</f>
        <v/>
      </c>
    </row>
    <row r="188" customFormat="false" ht="15" hidden="false" customHeight="false" outlineLevel="0" collapsed="false">
      <c r="D188" s="0" t="str">
        <f aca="false">IF(C188="","",IF(COUNTIFS('MASTER BAHAN'!$A$5:$A$504,C188)=0,"BELUM ADA",INDEX('MASTER BAHAN'!$B$5:$B$504,MATCH(C188,'MASTER BAHAN'!$A$5:$A$504,0))))</f>
        <v/>
      </c>
      <c r="G188" s="0" t="str">
        <f aca="false">IF(C188="","",IF(COUNTIFS('MASTER BAHAN'!$A$5:$A$504,C188)=0,"BELUM ADA",INDEX('MASTER BAHAN'!$D$5:$D$504,MATCH(C188,'MASTER BAHAN'!$A$5:$A$504,0))))</f>
        <v/>
      </c>
      <c r="M188" s="0" t="str">
        <f aca="false">IF(A188="","",IF(E188&lt;&gt;"Waste",0,IF(NOT(ISNUMBER(L188)),"ISI BIAYA WASTE",IF(K188="Disetujui",ROUND(F188*L188,0),0))))</f>
        <v/>
      </c>
    </row>
    <row r="189" customFormat="false" ht="15" hidden="false" customHeight="false" outlineLevel="0" collapsed="false">
      <c r="D189" s="0" t="str">
        <f aca="false">IF(C189="","",IF(COUNTIFS('MASTER BAHAN'!$A$5:$A$504,C189)=0,"BELUM ADA",INDEX('MASTER BAHAN'!$B$5:$B$504,MATCH(C189,'MASTER BAHAN'!$A$5:$A$504,0))))</f>
        <v/>
      </c>
      <c r="G189" s="0" t="str">
        <f aca="false">IF(C189="","",IF(COUNTIFS('MASTER BAHAN'!$A$5:$A$504,C189)=0,"BELUM ADA",INDEX('MASTER BAHAN'!$D$5:$D$504,MATCH(C189,'MASTER BAHAN'!$A$5:$A$504,0))))</f>
        <v/>
      </c>
      <c r="M189" s="0" t="str">
        <f aca="false">IF(A189="","",IF(E189&lt;&gt;"Waste",0,IF(NOT(ISNUMBER(L189)),"ISI BIAYA WASTE",IF(K189="Disetujui",ROUND(F189*L189,0),0))))</f>
        <v/>
      </c>
    </row>
    <row r="190" customFormat="false" ht="15" hidden="false" customHeight="false" outlineLevel="0" collapsed="false">
      <c r="D190" s="0" t="str">
        <f aca="false">IF(C190="","",IF(COUNTIFS('MASTER BAHAN'!$A$5:$A$504,C190)=0,"BELUM ADA",INDEX('MASTER BAHAN'!$B$5:$B$504,MATCH(C190,'MASTER BAHAN'!$A$5:$A$504,0))))</f>
        <v/>
      </c>
      <c r="G190" s="0" t="str">
        <f aca="false">IF(C190="","",IF(COUNTIFS('MASTER BAHAN'!$A$5:$A$504,C190)=0,"BELUM ADA",INDEX('MASTER BAHAN'!$D$5:$D$504,MATCH(C190,'MASTER BAHAN'!$A$5:$A$504,0))))</f>
        <v/>
      </c>
      <c r="M190" s="0" t="str">
        <f aca="false">IF(A190="","",IF(E190&lt;&gt;"Waste",0,IF(NOT(ISNUMBER(L190)),"ISI BIAYA WASTE",IF(K190="Disetujui",ROUND(F190*L190,0),0))))</f>
        <v/>
      </c>
    </row>
    <row r="191" customFormat="false" ht="15" hidden="false" customHeight="false" outlineLevel="0" collapsed="false">
      <c r="D191" s="0" t="str">
        <f aca="false">IF(C191="","",IF(COUNTIFS('MASTER BAHAN'!$A$5:$A$504,C191)=0,"BELUM ADA",INDEX('MASTER BAHAN'!$B$5:$B$504,MATCH(C191,'MASTER BAHAN'!$A$5:$A$504,0))))</f>
        <v/>
      </c>
      <c r="G191" s="0" t="str">
        <f aca="false">IF(C191="","",IF(COUNTIFS('MASTER BAHAN'!$A$5:$A$504,C191)=0,"BELUM ADA",INDEX('MASTER BAHAN'!$D$5:$D$504,MATCH(C191,'MASTER BAHAN'!$A$5:$A$504,0))))</f>
        <v/>
      </c>
      <c r="M191" s="0" t="str">
        <f aca="false">IF(A191="","",IF(E191&lt;&gt;"Waste",0,IF(NOT(ISNUMBER(L191)),"ISI BIAYA WASTE",IF(K191="Disetujui",ROUND(F191*L191,0),0))))</f>
        <v/>
      </c>
    </row>
    <row r="192" customFormat="false" ht="15" hidden="false" customHeight="false" outlineLevel="0" collapsed="false">
      <c r="D192" s="0" t="str">
        <f aca="false">IF(C192="","",IF(COUNTIFS('MASTER BAHAN'!$A$5:$A$504,C192)=0,"BELUM ADA",INDEX('MASTER BAHAN'!$B$5:$B$504,MATCH(C192,'MASTER BAHAN'!$A$5:$A$504,0))))</f>
        <v/>
      </c>
      <c r="G192" s="0" t="str">
        <f aca="false">IF(C192="","",IF(COUNTIFS('MASTER BAHAN'!$A$5:$A$504,C192)=0,"BELUM ADA",INDEX('MASTER BAHAN'!$D$5:$D$504,MATCH(C192,'MASTER BAHAN'!$A$5:$A$504,0))))</f>
        <v/>
      </c>
      <c r="M192" s="0" t="str">
        <f aca="false">IF(A192="","",IF(E192&lt;&gt;"Waste",0,IF(NOT(ISNUMBER(L192)),"ISI BIAYA WASTE",IF(K192="Disetujui",ROUND(F192*L192,0),0))))</f>
        <v/>
      </c>
    </row>
    <row r="193" customFormat="false" ht="15" hidden="false" customHeight="false" outlineLevel="0" collapsed="false">
      <c r="D193" s="0" t="str">
        <f aca="false">IF(C193="","",IF(COUNTIFS('MASTER BAHAN'!$A$5:$A$504,C193)=0,"BELUM ADA",INDEX('MASTER BAHAN'!$B$5:$B$504,MATCH(C193,'MASTER BAHAN'!$A$5:$A$504,0))))</f>
        <v/>
      </c>
      <c r="G193" s="0" t="str">
        <f aca="false">IF(C193="","",IF(COUNTIFS('MASTER BAHAN'!$A$5:$A$504,C193)=0,"BELUM ADA",INDEX('MASTER BAHAN'!$D$5:$D$504,MATCH(C193,'MASTER BAHAN'!$A$5:$A$504,0))))</f>
        <v/>
      </c>
      <c r="M193" s="0" t="str">
        <f aca="false">IF(A193="","",IF(E193&lt;&gt;"Waste",0,IF(NOT(ISNUMBER(L193)),"ISI BIAYA WASTE",IF(K193="Disetujui",ROUND(F193*L193,0),0))))</f>
        <v/>
      </c>
    </row>
    <row r="194" customFormat="false" ht="15" hidden="false" customHeight="false" outlineLevel="0" collapsed="false">
      <c r="D194" s="0" t="str">
        <f aca="false">IF(C194="","",IF(COUNTIFS('MASTER BAHAN'!$A$5:$A$504,C194)=0,"BELUM ADA",INDEX('MASTER BAHAN'!$B$5:$B$504,MATCH(C194,'MASTER BAHAN'!$A$5:$A$504,0))))</f>
        <v/>
      </c>
      <c r="G194" s="0" t="str">
        <f aca="false">IF(C194="","",IF(COUNTIFS('MASTER BAHAN'!$A$5:$A$504,C194)=0,"BELUM ADA",INDEX('MASTER BAHAN'!$D$5:$D$504,MATCH(C194,'MASTER BAHAN'!$A$5:$A$504,0))))</f>
        <v/>
      </c>
      <c r="M194" s="0" t="str">
        <f aca="false">IF(A194="","",IF(E194&lt;&gt;"Waste",0,IF(NOT(ISNUMBER(L194)),"ISI BIAYA WASTE",IF(K194="Disetujui",ROUND(F194*L194,0),0))))</f>
        <v/>
      </c>
    </row>
    <row r="195" customFormat="false" ht="15" hidden="false" customHeight="false" outlineLevel="0" collapsed="false">
      <c r="D195" s="0" t="str">
        <f aca="false">IF(C195="","",IF(COUNTIFS('MASTER BAHAN'!$A$5:$A$504,C195)=0,"BELUM ADA",INDEX('MASTER BAHAN'!$B$5:$B$504,MATCH(C195,'MASTER BAHAN'!$A$5:$A$504,0))))</f>
        <v/>
      </c>
      <c r="G195" s="0" t="str">
        <f aca="false">IF(C195="","",IF(COUNTIFS('MASTER BAHAN'!$A$5:$A$504,C195)=0,"BELUM ADA",INDEX('MASTER BAHAN'!$D$5:$D$504,MATCH(C195,'MASTER BAHAN'!$A$5:$A$504,0))))</f>
        <v/>
      </c>
      <c r="M195" s="0" t="str">
        <f aca="false">IF(A195="","",IF(E195&lt;&gt;"Waste",0,IF(NOT(ISNUMBER(L195)),"ISI BIAYA WASTE",IF(K195="Disetujui",ROUND(F195*L195,0),0))))</f>
        <v/>
      </c>
    </row>
    <row r="196" customFormat="false" ht="15" hidden="false" customHeight="false" outlineLevel="0" collapsed="false">
      <c r="D196" s="0" t="str">
        <f aca="false">IF(C196="","",IF(COUNTIFS('MASTER BAHAN'!$A$5:$A$504,C196)=0,"BELUM ADA",INDEX('MASTER BAHAN'!$B$5:$B$504,MATCH(C196,'MASTER BAHAN'!$A$5:$A$504,0))))</f>
        <v/>
      </c>
      <c r="G196" s="0" t="str">
        <f aca="false">IF(C196="","",IF(COUNTIFS('MASTER BAHAN'!$A$5:$A$504,C196)=0,"BELUM ADA",INDEX('MASTER BAHAN'!$D$5:$D$504,MATCH(C196,'MASTER BAHAN'!$A$5:$A$504,0))))</f>
        <v/>
      </c>
      <c r="M196" s="0" t="str">
        <f aca="false">IF(A196="","",IF(E196&lt;&gt;"Waste",0,IF(NOT(ISNUMBER(L196)),"ISI BIAYA WASTE",IF(K196="Disetujui",ROUND(F196*L196,0),0))))</f>
        <v/>
      </c>
    </row>
    <row r="197" customFormat="false" ht="15" hidden="false" customHeight="false" outlineLevel="0" collapsed="false">
      <c r="D197" s="0" t="str">
        <f aca="false">IF(C197="","",IF(COUNTIFS('MASTER BAHAN'!$A$5:$A$504,C197)=0,"BELUM ADA",INDEX('MASTER BAHAN'!$B$5:$B$504,MATCH(C197,'MASTER BAHAN'!$A$5:$A$504,0))))</f>
        <v/>
      </c>
      <c r="G197" s="0" t="str">
        <f aca="false">IF(C197="","",IF(COUNTIFS('MASTER BAHAN'!$A$5:$A$504,C197)=0,"BELUM ADA",INDEX('MASTER BAHAN'!$D$5:$D$504,MATCH(C197,'MASTER BAHAN'!$A$5:$A$504,0))))</f>
        <v/>
      </c>
      <c r="M197" s="0" t="str">
        <f aca="false">IF(A197="","",IF(E197&lt;&gt;"Waste",0,IF(NOT(ISNUMBER(L197)),"ISI BIAYA WASTE",IF(K197="Disetujui",ROUND(F197*L197,0),0))))</f>
        <v/>
      </c>
    </row>
    <row r="198" customFormat="false" ht="15" hidden="false" customHeight="false" outlineLevel="0" collapsed="false">
      <c r="D198" s="0" t="str">
        <f aca="false">IF(C198="","",IF(COUNTIFS('MASTER BAHAN'!$A$5:$A$504,C198)=0,"BELUM ADA",INDEX('MASTER BAHAN'!$B$5:$B$504,MATCH(C198,'MASTER BAHAN'!$A$5:$A$504,0))))</f>
        <v/>
      </c>
      <c r="G198" s="0" t="str">
        <f aca="false">IF(C198="","",IF(COUNTIFS('MASTER BAHAN'!$A$5:$A$504,C198)=0,"BELUM ADA",INDEX('MASTER BAHAN'!$D$5:$D$504,MATCH(C198,'MASTER BAHAN'!$A$5:$A$504,0))))</f>
        <v/>
      </c>
      <c r="M198" s="0" t="str">
        <f aca="false">IF(A198="","",IF(E198&lt;&gt;"Waste",0,IF(NOT(ISNUMBER(L198)),"ISI BIAYA WASTE",IF(K198="Disetujui",ROUND(F198*L198,0),0))))</f>
        <v/>
      </c>
    </row>
    <row r="199" customFormat="false" ht="15" hidden="false" customHeight="false" outlineLevel="0" collapsed="false">
      <c r="D199" s="0" t="str">
        <f aca="false">IF(C199="","",IF(COUNTIFS('MASTER BAHAN'!$A$5:$A$504,C199)=0,"BELUM ADA",INDEX('MASTER BAHAN'!$B$5:$B$504,MATCH(C199,'MASTER BAHAN'!$A$5:$A$504,0))))</f>
        <v/>
      </c>
      <c r="G199" s="0" t="str">
        <f aca="false">IF(C199="","",IF(COUNTIFS('MASTER BAHAN'!$A$5:$A$504,C199)=0,"BELUM ADA",INDEX('MASTER BAHAN'!$D$5:$D$504,MATCH(C199,'MASTER BAHAN'!$A$5:$A$504,0))))</f>
        <v/>
      </c>
      <c r="M199" s="0" t="str">
        <f aca="false">IF(A199="","",IF(E199&lt;&gt;"Waste",0,IF(NOT(ISNUMBER(L199)),"ISI BIAYA WASTE",IF(K199="Disetujui",ROUND(F199*L199,0),0))))</f>
        <v/>
      </c>
    </row>
    <row r="200" customFormat="false" ht="15" hidden="false" customHeight="false" outlineLevel="0" collapsed="false">
      <c r="D200" s="0" t="str">
        <f aca="false">IF(C200="","",IF(COUNTIFS('MASTER BAHAN'!$A$5:$A$504,C200)=0,"BELUM ADA",INDEX('MASTER BAHAN'!$B$5:$B$504,MATCH(C200,'MASTER BAHAN'!$A$5:$A$504,0))))</f>
        <v/>
      </c>
      <c r="G200" s="0" t="str">
        <f aca="false">IF(C200="","",IF(COUNTIFS('MASTER BAHAN'!$A$5:$A$504,C200)=0,"BELUM ADA",INDEX('MASTER BAHAN'!$D$5:$D$504,MATCH(C200,'MASTER BAHAN'!$A$5:$A$504,0))))</f>
        <v/>
      </c>
      <c r="M200" s="0" t="str">
        <f aca="false">IF(A200="","",IF(E200&lt;&gt;"Waste",0,IF(NOT(ISNUMBER(L200)),"ISI BIAYA WASTE",IF(K200="Disetujui",ROUND(F200*L200,0),0))))</f>
        <v/>
      </c>
    </row>
    <row r="201" customFormat="false" ht="15" hidden="false" customHeight="false" outlineLevel="0" collapsed="false">
      <c r="D201" s="0" t="str">
        <f aca="false">IF(C201="","",IF(COUNTIFS('MASTER BAHAN'!$A$5:$A$504,C201)=0,"BELUM ADA",INDEX('MASTER BAHAN'!$B$5:$B$504,MATCH(C201,'MASTER BAHAN'!$A$5:$A$504,0))))</f>
        <v/>
      </c>
      <c r="G201" s="0" t="str">
        <f aca="false">IF(C201="","",IF(COUNTIFS('MASTER BAHAN'!$A$5:$A$504,C201)=0,"BELUM ADA",INDEX('MASTER BAHAN'!$D$5:$D$504,MATCH(C201,'MASTER BAHAN'!$A$5:$A$504,0))))</f>
        <v/>
      </c>
      <c r="M201" s="0" t="str">
        <f aca="false">IF(A201="","",IF(E201&lt;&gt;"Waste",0,IF(NOT(ISNUMBER(L201)),"ISI BIAYA WASTE",IF(K201="Disetujui",ROUND(F201*L201,0),0))))</f>
        <v/>
      </c>
    </row>
    <row r="202" customFormat="false" ht="15" hidden="false" customHeight="false" outlineLevel="0" collapsed="false">
      <c r="D202" s="0" t="str">
        <f aca="false">IF(C202="","",IF(COUNTIFS('MASTER BAHAN'!$A$5:$A$504,C202)=0,"BELUM ADA",INDEX('MASTER BAHAN'!$B$5:$B$504,MATCH(C202,'MASTER BAHAN'!$A$5:$A$504,0))))</f>
        <v/>
      </c>
      <c r="G202" s="0" t="str">
        <f aca="false">IF(C202="","",IF(COUNTIFS('MASTER BAHAN'!$A$5:$A$504,C202)=0,"BELUM ADA",INDEX('MASTER BAHAN'!$D$5:$D$504,MATCH(C202,'MASTER BAHAN'!$A$5:$A$504,0))))</f>
        <v/>
      </c>
      <c r="M202" s="0" t="str">
        <f aca="false">IF(A202="","",IF(E202&lt;&gt;"Waste",0,IF(NOT(ISNUMBER(L202)),"ISI BIAYA WASTE",IF(K202="Disetujui",ROUND(F202*L202,0),0))))</f>
        <v/>
      </c>
    </row>
    <row r="203" customFormat="false" ht="15" hidden="false" customHeight="false" outlineLevel="0" collapsed="false">
      <c r="D203" s="0" t="str">
        <f aca="false">IF(C203="","",IF(COUNTIFS('MASTER BAHAN'!$A$5:$A$504,C203)=0,"BELUM ADA",INDEX('MASTER BAHAN'!$B$5:$B$504,MATCH(C203,'MASTER BAHAN'!$A$5:$A$504,0))))</f>
        <v/>
      </c>
      <c r="G203" s="0" t="str">
        <f aca="false">IF(C203="","",IF(COUNTIFS('MASTER BAHAN'!$A$5:$A$504,C203)=0,"BELUM ADA",INDEX('MASTER BAHAN'!$D$5:$D$504,MATCH(C203,'MASTER BAHAN'!$A$5:$A$504,0))))</f>
        <v/>
      </c>
      <c r="M203" s="0" t="str">
        <f aca="false">IF(A203="","",IF(E203&lt;&gt;"Waste",0,IF(NOT(ISNUMBER(L203)),"ISI BIAYA WASTE",IF(K203="Disetujui",ROUND(F203*L203,0),0))))</f>
        <v/>
      </c>
    </row>
    <row r="204" customFormat="false" ht="15" hidden="false" customHeight="false" outlineLevel="0" collapsed="false">
      <c r="D204" s="0" t="str">
        <f aca="false">IF(C204="","",IF(COUNTIFS('MASTER BAHAN'!$A$5:$A$504,C204)=0,"BELUM ADA",INDEX('MASTER BAHAN'!$B$5:$B$504,MATCH(C204,'MASTER BAHAN'!$A$5:$A$504,0))))</f>
        <v/>
      </c>
      <c r="G204" s="0" t="str">
        <f aca="false">IF(C204="","",IF(COUNTIFS('MASTER BAHAN'!$A$5:$A$504,C204)=0,"BELUM ADA",INDEX('MASTER BAHAN'!$D$5:$D$504,MATCH(C204,'MASTER BAHAN'!$A$5:$A$504,0))))</f>
        <v/>
      </c>
      <c r="M204" s="0" t="str">
        <f aca="false">IF(A204="","",IF(E204&lt;&gt;"Waste",0,IF(NOT(ISNUMBER(L204)),"ISI BIAYA WASTE",IF(K204="Disetujui",ROUND(F204*L204,0),0))))</f>
        <v/>
      </c>
    </row>
    <row r="205" customFormat="false" ht="15" hidden="false" customHeight="false" outlineLevel="0" collapsed="false">
      <c r="D205" s="0" t="str">
        <f aca="false">IF(C205="","",IF(COUNTIFS('MASTER BAHAN'!$A$5:$A$504,C205)=0,"BELUM ADA",INDEX('MASTER BAHAN'!$B$5:$B$504,MATCH(C205,'MASTER BAHAN'!$A$5:$A$504,0))))</f>
        <v/>
      </c>
      <c r="G205" s="0" t="str">
        <f aca="false">IF(C205="","",IF(COUNTIFS('MASTER BAHAN'!$A$5:$A$504,C205)=0,"BELUM ADA",INDEX('MASTER BAHAN'!$D$5:$D$504,MATCH(C205,'MASTER BAHAN'!$A$5:$A$504,0))))</f>
        <v/>
      </c>
      <c r="M205" s="0" t="str">
        <f aca="false">IF(A205="","",IF(E205&lt;&gt;"Waste",0,IF(NOT(ISNUMBER(L205)),"ISI BIAYA WASTE",IF(K205="Disetujui",ROUND(F205*L205,0),0))))</f>
        <v/>
      </c>
    </row>
    <row r="206" customFormat="false" ht="15" hidden="false" customHeight="false" outlineLevel="0" collapsed="false">
      <c r="D206" s="0" t="str">
        <f aca="false">IF(C206="","",IF(COUNTIFS('MASTER BAHAN'!$A$5:$A$504,C206)=0,"BELUM ADA",INDEX('MASTER BAHAN'!$B$5:$B$504,MATCH(C206,'MASTER BAHAN'!$A$5:$A$504,0))))</f>
        <v/>
      </c>
      <c r="G206" s="0" t="str">
        <f aca="false">IF(C206="","",IF(COUNTIFS('MASTER BAHAN'!$A$5:$A$504,C206)=0,"BELUM ADA",INDEX('MASTER BAHAN'!$D$5:$D$504,MATCH(C206,'MASTER BAHAN'!$A$5:$A$504,0))))</f>
        <v/>
      </c>
      <c r="M206" s="0" t="str">
        <f aca="false">IF(A206="","",IF(E206&lt;&gt;"Waste",0,IF(NOT(ISNUMBER(L206)),"ISI BIAYA WASTE",IF(K206="Disetujui",ROUND(F206*L206,0),0))))</f>
        <v/>
      </c>
    </row>
    <row r="207" customFormat="false" ht="15" hidden="false" customHeight="false" outlineLevel="0" collapsed="false">
      <c r="D207" s="0" t="str">
        <f aca="false">IF(C207="","",IF(COUNTIFS('MASTER BAHAN'!$A$5:$A$504,C207)=0,"BELUM ADA",INDEX('MASTER BAHAN'!$B$5:$B$504,MATCH(C207,'MASTER BAHAN'!$A$5:$A$504,0))))</f>
        <v/>
      </c>
      <c r="G207" s="0" t="str">
        <f aca="false">IF(C207="","",IF(COUNTIFS('MASTER BAHAN'!$A$5:$A$504,C207)=0,"BELUM ADA",INDEX('MASTER BAHAN'!$D$5:$D$504,MATCH(C207,'MASTER BAHAN'!$A$5:$A$504,0))))</f>
        <v/>
      </c>
      <c r="M207" s="0" t="str">
        <f aca="false">IF(A207="","",IF(E207&lt;&gt;"Waste",0,IF(NOT(ISNUMBER(L207)),"ISI BIAYA WASTE",IF(K207="Disetujui",ROUND(F207*L207,0),0))))</f>
        <v/>
      </c>
    </row>
    <row r="208" customFormat="false" ht="15" hidden="false" customHeight="false" outlineLevel="0" collapsed="false">
      <c r="D208" s="0" t="str">
        <f aca="false">IF(C208="","",IF(COUNTIFS('MASTER BAHAN'!$A$5:$A$504,C208)=0,"BELUM ADA",INDEX('MASTER BAHAN'!$B$5:$B$504,MATCH(C208,'MASTER BAHAN'!$A$5:$A$504,0))))</f>
        <v/>
      </c>
      <c r="G208" s="0" t="str">
        <f aca="false">IF(C208="","",IF(COUNTIFS('MASTER BAHAN'!$A$5:$A$504,C208)=0,"BELUM ADA",INDEX('MASTER BAHAN'!$D$5:$D$504,MATCH(C208,'MASTER BAHAN'!$A$5:$A$504,0))))</f>
        <v/>
      </c>
      <c r="M208" s="0" t="str">
        <f aca="false">IF(A208="","",IF(E208&lt;&gt;"Waste",0,IF(NOT(ISNUMBER(L208)),"ISI BIAYA WASTE",IF(K208="Disetujui",ROUND(F208*L208,0),0))))</f>
        <v/>
      </c>
    </row>
    <row r="209" customFormat="false" ht="15" hidden="false" customHeight="false" outlineLevel="0" collapsed="false">
      <c r="D209" s="0" t="str">
        <f aca="false">IF(C209="","",IF(COUNTIFS('MASTER BAHAN'!$A$5:$A$504,C209)=0,"BELUM ADA",INDEX('MASTER BAHAN'!$B$5:$B$504,MATCH(C209,'MASTER BAHAN'!$A$5:$A$504,0))))</f>
        <v/>
      </c>
      <c r="G209" s="0" t="str">
        <f aca="false">IF(C209="","",IF(COUNTIFS('MASTER BAHAN'!$A$5:$A$504,C209)=0,"BELUM ADA",INDEX('MASTER BAHAN'!$D$5:$D$504,MATCH(C209,'MASTER BAHAN'!$A$5:$A$504,0))))</f>
        <v/>
      </c>
      <c r="M209" s="0" t="str">
        <f aca="false">IF(A209="","",IF(E209&lt;&gt;"Waste",0,IF(NOT(ISNUMBER(L209)),"ISI BIAYA WASTE",IF(K209="Disetujui",ROUND(F209*L209,0),0))))</f>
        <v/>
      </c>
    </row>
    <row r="210" customFormat="false" ht="15" hidden="false" customHeight="false" outlineLevel="0" collapsed="false">
      <c r="D210" s="0" t="str">
        <f aca="false">IF(C210="","",IF(COUNTIFS('MASTER BAHAN'!$A$5:$A$504,C210)=0,"BELUM ADA",INDEX('MASTER BAHAN'!$B$5:$B$504,MATCH(C210,'MASTER BAHAN'!$A$5:$A$504,0))))</f>
        <v/>
      </c>
      <c r="G210" s="0" t="str">
        <f aca="false">IF(C210="","",IF(COUNTIFS('MASTER BAHAN'!$A$5:$A$504,C210)=0,"BELUM ADA",INDEX('MASTER BAHAN'!$D$5:$D$504,MATCH(C210,'MASTER BAHAN'!$A$5:$A$504,0))))</f>
        <v/>
      </c>
      <c r="M210" s="0" t="str">
        <f aca="false">IF(A210="","",IF(E210&lt;&gt;"Waste",0,IF(NOT(ISNUMBER(L210)),"ISI BIAYA WASTE",IF(K210="Disetujui",ROUND(F210*L210,0),0))))</f>
        <v/>
      </c>
    </row>
    <row r="211" customFormat="false" ht="15" hidden="false" customHeight="false" outlineLevel="0" collapsed="false">
      <c r="D211" s="0" t="str">
        <f aca="false">IF(C211="","",IF(COUNTIFS('MASTER BAHAN'!$A$5:$A$504,C211)=0,"BELUM ADA",INDEX('MASTER BAHAN'!$B$5:$B$504,MATCH(C211,'MASTER BAHAN'!$A$5:$A$504,0))))</f>
        <v/>
      </c>
      <c r="G211" s="0" t="str">
        <f aca="false">IF(C211="","",IF(COUNTIFS('MASTER BAHAN'!$A$5:$A$504,C211)=0,"BELUM ADA",INDEX('MASTER BAHAN'!$D$5:$D$504,MATCH(C211,'MASTER BAHAN'!$A$5:$A$504,0))))</f>
        <v/>
      </c>
      <c r="M211" s="0" t="str">
        <f aca="false">IF(A211="","",IF(E211&lt;&gt;"Waste",0,IF(NOT(ISNUMBER(L211)),"ISI BIAYA WASTE",IF(K211="Disetujui",ROUND(F211*L211,0),0))))</f>
        <v/>
      </c>
    </row>
    <row r="212" customFormat="false" ht="15" hidden="false" customHeight="false" outlineLevel="0" collapsed="false">
      <c r="D212" s="0" t="str">
        <f aca="false">IF(C212="","",IF(COUNTIFS('MASTER BAHAN'!$A$5:$A$504,C212)=0,"BELUM ADA",INDEX('MASTER BAHAN'!$B$5:$B$504,MATCH(C212,'MASTER BAHAN'!$A$5:$A$504,0))))</f>
        <v/>
      </c>
      <c r="G212" s="0" t="str">
        <f aca="false">IF(C212="","",IF(COUNTIFS('MASTER BAHAN'!$A$5:$A$504,C212)=0,"BELUM ADA",INDEX('MASTER BAHAN'!$D$5:$D$504,MATCH(C212,'MASTER BAHAN'!$A$5:$A$504,0))))</f>
        <v/>
      </c>
      <c r="M212" s="0" t="str">
        <f aca="false">IF(A212="","",IF(E212&lt;&gt;"Waste",0,IF(NOT(ISNUMBER(L212)),"ISI BIAYA WASTE",IF(K212="Disetujui",ROUND(F212*L212,0),0))))</f>
        <v/>
      </c>
    </row>
    <row r="213" customFormat="false" ht="15" hidden="false" customHeight="false" outlineLevel="0" collapsed="false">
      <c r="D213" s="0" t="str">
        <f aca="false">IF(C213="","",IF(COUNTIFS('MASTER BAHAN'!$A$5:$A$504,C213)=0,"BELUM ADA",INDEX('MASTER BAHAN'!$B$5:$B$504,MATCH(C213,'MASTER BAHAN'!$A$5:$A$504,0))))</f>
        <v/>
      </c>
      <c r="G213" s="0" t="str">
        <f aca="false">IF(C213="","",IF(COUNTIFS('MASTER BAHAN'!$A$5:$A$504,C213)=0,"BELUM ADA",INDEX('MASTER BAHAN'!$D$5:$D$504,MATCH(C213,'MASTER BAHAN'!$A$5:$A$504,0))))</f>
        <v/>
      </c>
      <c r="M213" s="0" t="str">
        <f aca="false">IF(A213="","",IF(E213&lt;&gt;"Waste",0,IF(NOT(ISNUMBER(L213)),"ISI BIAYA WASTE",IF(K213="Disetujui",ROUND(F213*L213,0),0))))</f>
        <v/>
      </c>
    </row>
    <row r="214" customFormat="false" ht="15" hidden="false" customHeight="false" outlineLevel="0" collapsed="false">
      <c r="D214" s="0" t="str">
        <f aca="false">IF(C214="","",IF(COUNTIFS('MASTER BAHAN'!$A$5:$A$504,C214)=0,"BELUM ADA",INDEX('MASTER BAHAN'!$B$5:$B$504,MATCH(C214,'MASTER BAHAN'!$A$5:$A$504,0))))</f>
        <v/>
      </c>
      <c r="G214" s="0" t="str">
        <f aca="false">IF(C214="","",IF(COUNTIFS('MASTER BAHAN'!$A$5:$A$504,C214)=0,"BELUM ADA",INDEX('MASTER BAHAN'!$D$5:$D$504,MATCH(C214,'MASTER BAHAN'!$A$5:$A$504,0))))</f>
        <v/>
      </c>
      <c r="M214" s="0" t="str">
        <f aca="false">IF(A214="","",IF(E214&lt;&gt;"Waste",0,IF(NOT(ISNUMBER(L214)),"ISI BIAYA WASTE",IF(K214="Disetujui",ROUND(F214*L214,0),0))))</f>
        <v/>
      </c>
    </row>
    <row r="215" customFormat="false" ht="15" hidden="false" customHeight="false" outlineLevel="0" collapsed="false">
      <c r="D215" s="0" t="str">
        <f aca="false">IF(C215="","",IF(COUNTIFS('MASTER BAHAN'!$A$5:$A$504,C215)=0,"BELUM ADA",INDEX('MASTER BAHAN'!$B$5:$B$504,MATCH(C215,'MASTER BAHAN'!$A$5:$A$504,0))))</f>
        <v/>
      </c>
      <c r="G215" s="0" t="str">
        <f aca="false">IF(C215="","",IF(COUNTIFS('MASTER BAHAN'!$A$5:$A$504,C215)=0,"BELUM ADA",INDEX('MASTER BAHAN'!$D$5:$D$504,MATCH(C215,'MASTER BAHAN'!$A$5:$A$504,0))))</f>
        <v/>
      </c>
      <c r="M215" s="0" t="str">
        <f aca="false">IF(A215="","",IF(E215&lt;&gt;"Waste",0,IF(NOT(ISNUMBER(L215)),"ISI BIAYA WASTE",IF(K215="Disetujui",ROUND(F215*L215,0),0))))</f>
        <v/>
      </c>
    </row>
    <row r="216" customFormat="false" ht="15" hidden="false" customHeight="false" outlineLevel="0" collapsed="false">
      <c r="D216" s="0" t="str">
        <f aca="false">IF(C216="","",IF(COUNTIFS('MASTER BAHAN'!$A$5:$A$504,C216)=0,"BELUM ADA",INDEX('MASTER BAHAN'!$B$5:$B$504,MATCH(C216,'MASTER BAHAN'!$A$5:$A$504,0))))</f>
        <v/>
      </c>
      <c r="G216" s="0" t="str">
        <f aca="false">IF(C216="","",IF(COUNTIFS('MASTER BAHAN'!$A$5:$A$504,C216)=0,"BELUM ADA",INDEX('MASTER BAHAN'!$D$5:$D$504,MATCH(C216,'MASTER BAHAN'!$A$5:$A$504,0))))</f>
        <v/>
      </c>
      <c r="M216" s="0" t="str">
        <f aca="false">IF(A216="","",IF(E216&lt;&gt;"Waste",0,IF(NOT(ISNUMBER(L216)),"ISI BIAYA WASTE",IF(K216="Disetujui",ROUND(F216*L216,0),0))))</f>
        <v/>
      </c>
    </row>
    <row r="217" customFormat="false" ht="15" hidden="false" customHeight="false" outlineLevel="0" collapsed="false">
      <c r="D217" s="0" t="str">
        <f aca="false">IF(C217="","",IF(COUNTIFS('MASTER BAHAN'!$A$5:$A$504,C217)=0,"BELUM ADA",INDEX('MASTER BAHAN'!$B$5:$B$504,MATCH(C217,'MASTER BAHAN'!$A$5:$A$504,0))))</f>
        <v/>
      </c>
      <c r="G217" s="0" t="str">
        <f aca="false">IF(C217="","",IF(COUNTIFS('MASTER BAHAN'!$A$5:$A$504,C217)=0,"BELUM ADA",INDEX('MASTER BAHAN'!$D$5:$D$504,MATCH(C217,'MASTER BAHAN'!$A$5:$A$504,0))))</f>
        <v/>
      </c>
      <c r="M217" s="0" t="str">
        <f aca="false">IF(A217="","",IF(E217&lt;&gt;"Waste",0,IF(NOT(ISNUMBER(L217)),"ISI BIAYA WASTE",IF(K217="Disetujui",ROUND(F217*L217,0),0))))</f>
        <v/>
      </c>
    </row>
    <row r="218" customFormat="false" ht="15" hidden="false" customHeight="false" outlineLevel="0" collapsed="false">
      <c r="D218" s="0" t="str">
        <f aca="false">IF(C218="","",IF(COUNTIFS('MASTER BAHAN'!$A$5:$A$504,C218)=0,"BELUM ADA",INDEX('MASTER BAHAN'!$B$5:$B$504,MATCH(C218,'MASTER BAHAN'!$A$5:$A$504,0))))</f>
        <v/>
      </c>
      <c r="G218" s="0" t="str">
        <f aca="false">IF(C218="","",IF(COUNTIFS('MASTER BAHAN'!$A$5:$A$504,C218)=0,"BELUM ADA",INDEX('MASTER BAHAN'!$D$5:$D$504,MATCH(C218,'MASTER BAHAN'!$A$5:$A$504,0))))</f>
        <v/>
      </c>
      <c r="M218" s="0" t="str">
        <f aca="false">IF(A218="","",IF(E218&lt;&gt;"Waste",0,IF(NOT(ISNUMBER(L218)),"ISI BIAYA WASTE",IF(K218="Disetujui",ROUND(F218*L218,0),0))))</f>
        <v/>
      </c>
    </row>
    <row r="219" customFormat="false" ht="15" hidden="false" customHeight="false" outlineLevel="0" collapsed="false">
      <c r="D219" s="0" t="str">
        <f aca="false">IF(C219="","",IF(COUNTIFS('MASTER BAHAN'!$A$5:$A$504,C219)=0,"BELUM ADA",INDEX('MASTER BAHAN'!$B$5:$B$504,MATCH(C219,'MASTER BAHAN'!$A$5:$A$504,0))))</f>
        <v/>
      </c>
      <c r="G219" s="0" t="str">
        <f aca="false">IF(C219="","",IF(COUNTIFS('MASTER BAHAN'!$A$5:$A$504,C219)=0,"BELUM ADA",INDEX('MASTER BAHAN'!$D$5:$D$504,MATCH(C219,'MASTER BAHAN'!$A$5:$A$504,0))))</f>
        <v/>
      </c>
      <c r="M219" s="0" t="str">
        <f aca="false">IF(A219="","",IF(E219&lt;&gt;"Waste",0,IF(NOT(ISNUMBER(L219)),"ISI BIAYA WASTE",IF(K219="Disetujui",ROUND(F219*L219,0),0))))</f>
        <v/>
      </c>
    </row>
    <row r="220" customFormat="false" ht="15" hidden="false" customHeight="false" outlineLevel="0" collapsed="false">
      <c r="D220" s="0" t="str">
        <f aca="false">IF(C220="","",IF(COUNTIFS('MASTER BAHAN'!$A$5:$A$504,C220)=0,"BELUM ADA",INDEX('MASTER BAHAN'!$B$5:$B$504,MATCH(C220,'MASTER BAHAN'!$A$5:$A$504,0))))</f>
        <v/>
      </c>
      <c r="G220" s="0" t="str">
        <f aca="false">IF(C220="","",IF(COUNTIFS('MASTER BAHAN'!$A$5:$A$504,C220)=0,"BELUM ADA",INDEX('MASTER BAHAN'!$D$5:$D$504,MATCH(C220,'MASTER BAHAN'!$A$5:$A$504,0))))</f>
        <v/>
      </c>
      <c r="M220" s="0" t="str">
        <f aca="false">IF(A220="","",IF(E220&lt;&gt;"Waste",0,IF(NOT(ISNUMBER(L220)),"ISI BIAYA WASTE",IF(K220="Disetujui",ROUND(F220*L220,0),0))))</f>
        <v/>
      </c>
    </row>
    <row r="221" customFormat="false" ht="15" hidden="false" customHeight="false" outlineLevel="0" collapsed="false">
      <c r="D221" s="0" t="str">
        <f aca="false">IF(C221="","",IF(COUNTIFS('MASTER BAHAN'!$A$5:$A$504,C221)=0,"BELUM ADA",INDEX('MASTER BAHAN'!$B$5:$B$504,MATCH(C221,'MASTER BAHAN'!$A$5:$A$504,0))))</f>
        <v/>
      </c>
      <c r="G221" s="0" t="str">
        <f aca="false">IF(C221="","",IF(COUNTIFS('MASTER BAHAN'!$A$5:$A$504,C221)=0,"BELUM ADA",INDEX('MASTER BAHAN'!$D$5:$D$504,MATCH(C221,'MASTER BAHAN'!$A$5:$A$504,0))))</f>
        <v/>
      </c>
      <c r="M221" s="0" t="str">
        <f aca="false">IF(A221="","",IF(E221&lt;&gt;"Waste",0,IF(NOT(ISNUMBER(L221)),"ISI BIAYA WASTE",IF(K221="Disetujui",ROUND(F221*L221,0),0))))</f>
        <v/>
      </c>
    </row>
    <row r="222" customFormat="false" ht="15" hidden="false" customHeight="false" outlineLevel="0" collapsed="false">
      <c r="D222" s="0" t="str">
        <f aca="false">IF(C222="","",IF(COUNTIFS('MASTER BAHAN'!$A$5:$A$504,C222)=0,"BELUM ADA",INDEX('MASTER BAHAN'!$B$5:$B$504,MATCH(C222,'MASTER BAHAN'!$A$5:$A$504,0))))</f>
        <v/>
      </c>
      <c r="G222" s="0" t="str">
        <f aca="false">IF(C222="","",IF(COUNTIFS('MASTER BAHAN'!$A$5:$A$504,C222)=0,"BELUM ADA",INDEX('MASTER BAHAN'!$D$5:$D$504,MATCH(C222,'MASTER BAHAN'!$A$5:$A$504,0))))</f>
        <v/>
      </c>
      <c r="M222" s="0" t="str">
        <f aca="false">IF(A222="","",IF(E222&lt;&gt;"Waste",0,IF(NOT(ISNUMBER(L222)),"ISI BIAYA WASTE",IF(K222="Disetujui",ROUND(F222*L222,0),0))))</f>
        <v/>
      </c>
    </row>
    <row r="223" customFormat="false" ht="15" hidden="false" customHeight="false" outlineLevel="0" collapsed="false">
      <c r="D223" s="0" t="str">
        <f aca="false">IF(C223="","",IF(COUNTIFS('MASTER BAHAN'!$A$5:$A$504,C223)=0,"BELUM ADA",INDEX('MASTER BAHAN'!$B$5:$B$504,MATCH(C223,'MASTER BAHAN'!$A$5:$A$504,0))))</f>
        <v/>
      </c>
      <c r="G223" s="0" t="str">
        <f aca="false">IF(C223="","",IF(COUNTIFS('MASTER BAHAN'!$A$5:$A$504,C223)=0,"BELUM ADA",INDEX('MASTER BAHAN'!$D$5:$D$504,MATCH(C223,'MASTER BAHAN'!$A$5:$A$504,0))))</f>
        <v/>
      </c>
      <c r="M223" s="0" t="str">
        <f aca="false">IF(A223="","",IF(E223&lt;&gt;"Waste",0,IF(NOT(ISNUMBER(L223)),"ISI BIAYA WASTE",IF(K223="Disetujui",ROUND(F223*L223,0),0))))</f>
        <v/>
      </c>
    </row>
    <row r="224" customFormat="false" ht="15" hidden="false" customHeight="false" outlineLevel="0" collapsed="false">
      <c r="D224" s="0" t="str">
        <f aca="false">IF(C224="","",IF(COUNTIFS('MASTER BAHAN'!$A$5:$A$504,C224)=0,"BELUM ADA",INDEX('MASTER BAHAN'!$B$5:$B$504,MATCH(C224,'MASTER BAHAN'!$A$5:$A$504,0))))</f>
        <v/>
      </c>
      <c r="G224" s="0" t="str">
        <f aca="false">IF(C224="","",IF(COUNTIFS('MASTER BAHAN'!$A$5:$A$504,C224)=0,"BELUM ADA",INDEX('MASTER BAHAN'!$D$5:$D$504,MATCH(C224,'MASTER BAHAN'!$A$5:$A$504,0))))</f>
        <v/>
      </c>
      <c r="M224" s="0" t="str">
        <f aca="false">IF(A224="","",IF(E224&lt;&gt;"Waste",0,IF(NOT(ISNUMBER(L224)),"ISI BIAYA WASTE",IF(K224="Disetujui",ROUND(F224*L224,0),0))))</f>
        <v/>
      </c>
    </row>
    <row r="225" customFormat="false" ht="15" hidden="false" customHeight="false" outlineLevel="0" collapsed="false">
      <c r="D225" s="0" t="str">
        <f aca="false">IF(C225="","",IF(COUNTIFS('MASTER BAHAN'!$A$5:$A$504,C225)=0,"BELUM ADA",INDEX('MASTER BAHAN'!$B$5:$B$504,MATCH(C225,'MASTER BAHAN'!$A$5:$A$504,0))))</f>
        <v/>
      </c>
      <c r="G225" s="0" t="str">
        <f aca="false">IF(C225="","",IF(COUNTIFS('MASTER BAHAN'!$A$5:$A$504,C225)=0,"BELUM ADA",INDEX('MASTER BAHAN'!$D$5:$D$504,MATCH(C225,'MASTER BAHAN'!$A$5:$A$504,0))))</f>
        <v/>
      </c>
      <c r="M225" s="0" t="str">
        <f aca="false">IF(A225="","",IF(E225&lt;&gt;"Waste",0,IF(NOT(ISNUMBER(L225)),"ISI BIAYA WASTE",IF(K225="Disetujui",ROUND(F225*L225,0),0))))</f>
        <v/>
      </c>
    </row>
    <row r="226" customFormat="false" ht="15" hidden="false" customHeight="false" outlineLevel="0" collapsed="false">
      <c r="D226" s="0" t="str">
        <f aca="false">IF(C226="","",IF(COUNTIFS('MASTER BAHAN'!$A$5:$A$504,C226)=0,"BELUM ADA",INDEX('MASTER BAHAN'!$B$5:$B$504,MATCH(C226,'MASTER BAHAN'!$A$5:$A$504,0))))</f>
        <v/>
      </c>
      <c r="G226" s="0" t="str">
        <f aca="false">IF(C226="","",IF(COUNTIFS('MASTER BAHAN'!$A$5:$A$504,C226)=0,"BELUM ADA",INDEX('MASTER BAHAN'!$D$5:$D$504,MATCH(C226,'MASTER BAHAN'!$A$5:$A$504,0))))</f>
        <v/>
      </c>
      <c r="M226" s="0" t="str">
        <f aca="false">IF(A226="","",IF(E226&lt;&gt;"Waste",0,IF(NOT(ISNUMBER(L226)),"ISI BIAYA WASTE",IF(K226="Disetujui",ROUND(F226*L226,0),0))))</f>
        <v/>
      </c>
    </row>
    <row r="227" customFormat="false" ht="15" hidden="false" customHeight="false" outlineLevel="0" collapsed="false">
      <c r="D227" s="0" t="str">
        <f aca="false">IF(C227="","",IF(COUNTIFS('MASTER BAHAN'!$A$5:$A$504,C227)=0,"BELUM ADA",INDEX('MASTER BAHAN'!$B$5:$B$504,MATCH(C227,'MASTER BAHAN'!$A$5:$A$504,0))))</f>
        <v/>
      </c>
      <c r="G227" s="0" t="str">
        <f aca="false">IF(C227="","",IF(COUNTIFS('MASTER BAHAN'!$A$5:$A$504,C227)=0,"BELUM ADA",INDEX('MASTER BAHAN'!$D$5:$D$504,MATCH(C227,'MASTER BAHAN'!$A$5:$A$504,0))))</f>
        <v/>
      </c>
      <c r="M227" s="0" t="str">
        <f aca="false">IF(A227="","",IF(E227&lt;&gt;"Waste",0,IF(NOT(ISNUMBER(L227)),"ISI BIAYA WASTE",IF(K227="Disetujui",ROUND(F227*L227,0),0))))</f>
        <v/>
      </c>
    </row>
    <row r="228" customFormat="false" ht="15" hidden="false" customHeight="false" outlineLevel="0" collapsed="false">
      <c r="D228" s="0" t="str">
        <f aca="false">IF(C228="","",IF(COUNTIFS('MASTER BAHAN'!$A$5:$A$504,C228)=0,"BELUM ADA",INDEX('MASTER BAHAN'!$B$5:$B$504,MATCH(C228,'MASTER BAHAN'!$A$5:$A$504,0))))</f>
        <v/>
      </c>
      <c r="G228" s="0" t="str">
        <f aca="false">IF(C228="","",IF(COUNTIFS('MASTER BAHAN'!$A$5:$A$504,C228)=0,"BELUM ADA",INDEX('MASTER BAHAN'!$D$5:$D$504,MATCH(C228,'MASTER BAHAN'!$A$5:$A$504,0))))</f>
        <v/>
      </c>
      <c r="M228" s="0" t="str">
        <f aca="false">IF(A228="","",IF(E228&lt;&gt;"Waste",0,IF(NOT(ISNUMBER(L228)),"ISI BIAYA WASTE",IF(K228="Disetujui",ROUND(F228*L228,0),0))))</f>
        <v/>
      </c>
    </row>
    <row r="229" customFormat="false" ht="15" hidden="false" customHeight="false" outlineLevel="0" collapsed="false">
      <c r="D229" s="0" t="str">
        <f aca="false">IF(C229="","",IF(COUNTIFS('MASTER BAHAN'!$A$5:$A$504,C229)=0,"BELUM ADA",INDEX('MASTER BAHAN'!$B$5:$B$504,MATCH(C229,'MASTER BAHAN'!$A$5:$A$504,0))))</f>
        <v/>
      </c>
      <c r="G229" s="0" t="str">
        <f aca="false">IF(C229="","",IF(COUNTIFS('MASTER BAHAN'!$A$5:$A$504,C229)=0,"BELUM ADA",INDEX('MASTER BAHAN'!$D$5:$D$504,MATCH(C229,'MASTER BAHAN'!$A$5:$A$504,0))))</f>
        <v/>
      </c>
      <c r="M229" s="0" t="str">
        <f aca="false">IF(A229="","",IF(E229&lt;&gt;"Waste",0,IF(NOT(ISNUMBER(L229)),"ISI BIAYA WASTE",IF(K229="Disetujui",ROUND(F229*L229,0),0))))</f>
        <v/>
      </c>
    </row>
    <row r="230" customFormat="false" ht="15" hidden="false" customHeight="false" outlineLevel="0" collapsed="false">
      <c r="D230" s="0" t="str">
        <f aca="false">IF(C230="","",IF(COUNTIFS('MASTER BAHAN'!$A$5:$A$504,C230)=0,"BELUM ADA",INDEX('MASTER BAHAN'!$B$5:$B$504,MATCH(C230,'MASTER BAHAN'!$A$5:$A$504,0))))</f>
        <v/>
      </c>
      <c r="G230" s="0" t="str">
        <f aca="false">IF(C230="","",IF(COUNTIFS('MASTER BAHAN'!$A$5:$A$504,C230)=0,"BELUM ADA",INDEX('MASTER BAHAN'!$D$5:$D$504,MATCH(C230,'MASTER BAHAN'!$A$5:$A$504,0))))</f>
        <v/>
      </c>
      <c r="M230" s="0" t="str">
        <f aca="false">IF(A230="","",IF(E230&lt;&gt;"Waste",0,IF(NOT(ISNUMBER(L230)),"ISI BIAYA WASTE",IF(K230="Disetujui",ROUND(F230*L230,0),0))))</f>
        <v/>
      </c>
    </row>
    <row r="231" customFormat="false" ht="15" hidden="false" customHeight="false" outlineLevel="0" collapsed="false">
      <c r="D231" s="0" t="str">
        <f aca="false">IF(C231="","",IF(COUNTIFS('MASTER BAHAN'!$A$5:$A$504,C231)=0,"BELUM ADA",INDEX('MASTER BAHAN'!$B$5:$B$504,MATCH(C231,'MASTER BAHAN'!$A$5:$A$504,0))))</f>
        <v/>
      </c>
      <c r="G231" s="0" t="str">
        <f aca="false">IF(C231="","",IF(COUNTIFS('MASTER BAHAN'!$A$5:$A$504,C231)=0,"BELUM ADA",INDEX('MASTER BAHAN'!$D$5:$D$504,MATCH(C231,'MASTER BAHAN'!$A$5:$A$504,0))))</f>
        <v/>
      </c>
      <c r="M231" s="0" t="str">
        <f aca="false">IF(A231="","",IF(E231&lt;&gt;"Waste",0,IF(NOT(ISNUMBER(L231)),"ISI BIAYA WASTE",IF(K231="Disetujui",ROUND(F231*L231,0),0))))</f>
        <v/>
      </c>
    </row>
    <row r="232" customFormat="false" ht="15" hidden="false" customHeight="false" outlineLevel="0" collapsed="false">
      <c r="D232" s="0" t="str">
        <f aca="false">IF(C232="","",IF(COUNTIFS('MASTER BAHAN'!$A$5:$A$504,C232)=0,"BELUM ADA",INDEX('MASTER BAHAN'!$B$5:$B$504,MATCH(C232,'MASTER BAHAN'!$A$5:$A$504,0))))</f>
        <v/>
      </c>
      <c r="G232" s="0" t="str">
        <f aca="false">IF(C232="","",IF(COUNTIFS('MASTER BAHAN'!$A$5:$A$504,C232)=0,"BELUM ADA",INDEX('MASTER BAHAN'!$D$5:$D$504,MATCH(C232,'MASTER BAHAN'!$A$5:$A$504,0))))</f>
        <v/>
      </c>
      <c r="M232" s="0" t="str">
        <f aca="false">IF(A232="","",IF(E232&lt;&gt;"Waste",0,IF(NOT(ISNUMBER(L232)),"ISI BIAYA WASTE",IF(K232="Disetujui",ROUND(F232*L232,0),0))))</f>
        <v/>
      </c>
    </row>
    <row r="233" customFormat="false" ht="15" hidden="false" customHeight="false" outlineLevel="0" collapsed="false">
      <c r="D233" s="0" t="str">
        <f aca="false">IF(C233="","",IF(COUNTIFS('MASTER BAHAN'!$A$5:$A$504,C233)=0,"BELUM ADA",INDEX('MASTER BAHAN'!$B$5:$B$504,MATCH(C233,'MASTER BAHAN'!$A$5:$A$504,0))))</f>
        <v/>
      </c>
      <c r="G233" s="0" t="str">
        <f aca="false">IF(C233="","",IF(COUNTIFS('MASTER BAHAN'!$A$5:$A$504,C233)=0,"BELUM ADA",INDEX('MASTER BAHAN'!$D$5:$D$504,MATCH(C233,'MASTER BAHAN'!$A$5:$A$504,0))))</f>
        <v/>
      </c>
      <c r="M233" s="0" t="str">
        <f aca="false">IF(A233="","",IF(E233&lt;&gt;"Waste",0,IF(NOT(ISNUMBER(L233)),"ISI BIAYA WASTE",IF(K233="Disetujui",ROUND(F233*L233,0),0))))</f>
        <v/>
      </c>
    </row>
    <row r="234" customFormat="false" ht="15" hidden="false" customHeight="false" outlineLevel="0" collapsed="false">
      <c r="D234" s="0" t="str">
        <f aca="false">IF(C234="","",IF(COUNTIFS('MASTER BAHAN'!$A$5:$A$504,C234)=0,"BELUM ADA",INDEX('MASTER BAHAN'!$B$5:$B$504,MATCH(C234,'MASTER BAHAN'!$A$5:$A$504,0))))</f>
        <v/>
      </c>
      <c r="G234" s="0" t="str">
        <f aca="false">IF(C234="","",IF(COUNTIFS('MASTER BAHAN'!$A$5:$A$504,C234)=0,"BELUM ADA",INDEX('MASTER BAHAN'!$D$5:$D$504,MATCH(C234,'MASTER BAHAN'!$A$5:$A$504,0))))</f>
        <v/>
      </c>
      <c r="M234" s="0" t="str">
        <f aca="false">IF(A234="","",IF(E234&lt;&gt;"Waste",0,IF(NOT(ISNUMBER(L234)),"ISI BIAYA WASTE",IF(K234="Disetujui",ROUND(F234*L234,0),0))))</f>
        <v/>
      </c>
    </row>
    <row r="235" customFormat="false" ht="15" hidden="false" customHeight="false" outlineLevel="0" collapsed="false">
      <c r="D235" s="0" t="str">
        <f aca="false">IF(C235="","",IF(COUNTIFS('MASTER BAHAN'!$A$5:$A$504,C235)=0,"BELUM ADA",INDEX('MASTER BAHAN'!$B$5:$B$504,MATCH(C235,'MASTER BAHAN'!$A$5:$A$504,0))))</f>
        <v/>
      </c>
      <c r="G235" s="0" t="str">
        <f aca="false">IF(C235="","",IF(COUNTIFS('MASTER BAHAN'!$A$5:$A$504,C235)=0,"BELUM ADA",INDEX('MASTER BAHAN'!$D$5:$D$504,MATCH(C235,'MASTER BAHAN'!$A$5:$A$504,0))))</f>
        <v/>
      </c>
      <c r="M235" s="0" t="str">
        <f aca="false">IF(A235="","",IF(E235&lt;&gt;"Waste",0,IF(NOT(ISNUMBER(L235)),"ISI BIAYA WASTE",IF(K235="Disetujui",ROUND(F235*L235,0),0))))</f>
        <v/>
      </c>
    </row>
    <row r="236" customFormat="false" ht="15" hidden="false" customHeight="false" outlineLevel="0" collapsed="false">
      <c r="D236" s="0" t="str">
        <f aca="false">IF(C236="","",IF(COUNTIFS('MASTER BAHAN'!$A$5:$A$504,C236)=0,"BELUM ADA",INDEX('MASTER BAHAN'!$B$5:$B$504,MATCH(C236,'MASTER BAHAN'!$A$5:$A$504,0))))</f>
        <v/>
      </c>
      <c r="G236" s="0" t="str">
        <f aca="false">IF(C236="","",IF(COUNTIFS('MASTER BAHAN'!$A$5:$A$504,C236)=0,"BELUM ADA",INDEX('MASTER BAHAN'!$D$5:$D$504,MATCH(C236,'MASTER BAHAN'!$A$5:$A$504,0))))</f>
        <v/>
      </c>
      <c r="M236" s="0" t="str">
        <f aca="false">IF(A236="","",IF(E236&lt;&gt;"Waste",0,IF(NOT(ISNUMBER(L236)),"ISI BIAYA WASTE",IF(K236="Disetujui",ROUND(F236*L236,0),0))))</f>
        <v/>
      </c>
    </row>
    <row r="237" customFormat="false" ht="15" hidden="false" customHeight="false" outlineLevel="0" collapsed="false">
      <c r="D237" s="0" t="str">
        <f aca="false">IF(C237="","",IF(COUNTIFS('MASTER BAHAN'!$A$5:$A$504,C237)=0,"BELUM ADA",INDEX('MASTER BAHAN'!$B$5:$B$504,MATCH(C237,'MASTER BAHAN'!$A$5:$A$504,0))))</f>
        <v/>
      </c>
      <c r="G237" s="0" t="str">
        <f aca="false">IF(C237="","",IF(COUNTIFS('MASTER BAHAN'!$A$5:$A$504,C237)=0,"BELUM ADA",INDEX('MASTER BAHAN'!$D$5:$D$504,MATCH(C237,'MASTER BAHAN'!$A$5:$A$504,0))))</f>
        <v/>
      </c>
      <c r="M237" s="0" t="str">
        <f aca="false">IF(A237="","",IF(E237&lt;&gt;"Waste",0,IF(NOT(ISNUMBER(L237)),"ISI BIAYA WASTE",IF(K237="Disetujui",ROUND(F237*L237,0),0))))</f>
        <v/>
      </c>
    </row>
    <row r="238" customFormat="false" ht="15" hidden="false" customHeight="false" outlineLevel="0" collapsed="false">
      <c r="D238" s="0" t="str">
        <f aca="false">IF(C238="","",IF(COUNTIFS('MASTER BAHAN'!$A$5:$A$504,C238)=0,"BELUM ADA",INDEX('MASTER BAHAN'!$B$5:$B$504,MATCH(C238,'MASTER BAHAN'!$A$5:$A$504,0))))</f>
        <v/>
      </c>
      <c r="G238" s="0" t="str">
        <f aca="false">IF(C238="","",IF(COUNTIFS('MASTER BAHAN'!$A$5:$A$504,C238)=0,"BELUM ADA",INDEX('MASTER BAHAN'!$D$5:$D$504,MATCH(C238,'MASTER BAHAN'!$A$5:$A$504,0))))</f>
        <v/>
      </c>
      <c r="M238" s="0" t="str">
        <f aca="false">IF(A238="","",IF(E238&lt;&gt;"Waste",0,IF(NOT(ISNUMBER(L238)),"ISI BIAYA WASTE",IF(K238="Disetujui",ROUND(F238*L238,0),0))))</f>
        <v/>
      </c>
    </row>
    <row r="239" customFormat="false" ht="15" hidden="false" customHeight="false" outlineLevel="0" collapsed="false">
      <c r="D239" s="0" t="str">
        <f aca="false">IF(C239="","",IF(COUNTIFS('MASTER BAHAN'!$A$5:$A$504,C239)=0,"BELUM ADA",INDEX('MASTER BAHAN'!$B$5:$B$504,MATCH(C239,'MASTER BAHAN'!$A$5:$A$504,0))))</f>
        <v/>
      </c>
      <c r="G239" s="0" t="str">
        <f aca="false">IF(C239="","",IF(COUNTIFS('MASTER BAHAN'!$A$5:$A$504,C239)=0,"BELUM ADA",INDEX('MASTER BAHAN'!$D$5:$D$504,MATCH(C239,'MASTER BAHAN'!$A$5:$A$504,0))))</f>
        <v/>
      </c>
      <c r="M239" s="0" t="str">
        <f aca="false">IF(A239="","",IF(E239&lt;&gt;"Waste",0,IF(NOT(ISNUMBER(L239)),"ISI BIAYA WASTE",IF(K239="Disetujui",ROUND(F239*L239,0),0))))</f>
        <v/>
      </c>
    </row>
    <row r="240" customFormat="false" ht="15" hidden="false" customHeight="false" outlineLevel="0" collapsed="false">
      <c r="D240" s="0" t="str">
        <f aca="false">IF(C240="","",IF(COUNTIFS('MASTER BAHAN'!$A$5:$A$504,C240)=0,"BELUM ADA",INDEX('MASTER BAHAN'!$B$5:$B$504,MATCH(C240,'MASTER BAHAN'!$A$5:$A$504,0))))</f>
        <v/>
      </c>
      <c r="G240" s="0" t="str">
        <f aca="false">IF(C240="","",IF(COUNTIFS('MASTER BAHAN'!$A$5:$A$504,C240)=0,"BELUM ADA",INDEX('MASTER BAHAN'!$D$5:$D$504,MATCH(C240,'MASTER BAHAN'!$A$5:$A$504,0))))</f>
        <v/>
      </c>
      <c r="M240" s="0" t="str">
        <f aca="false">IF(A240="","",IF(E240&lt;&gt;"Waste",0,IF(NOT(ISNUMBER(L240)),"ISI BIAYA WASTE",IF(K240="Disetujui",ROUND(F240*L240,0),0))))</f>
        <v/>
      </c>
    </row>
    <row r="241" customFormat="false" ht="15" hidden="false" customHeight="false" outlineLevel="0" collapsed="false">
      <c r="D241" s="0" t="str">
        <f aca="false">IF(C241="","",IF(COUNTIFS('MASTER BAHAN'!$A$5:$A$504,C241)=0,"BELUM ADA",INDEX('MASTER BAHAN'!$B$5:$B$504,MATCH(C241,'MASTER BAHAN'!$A$5:$A$504,0))))</f>
        <v/>
      </c>
      <c r="G241" s="0" t="str">
        <f aca="false">IF(C241="","",IF(COUNTIFS('MASTER BAHAN'!$A$5:$A$504,C241)=0,"BELUM ADA",INDEX('MASTER BAHAN'!$D$5:$D$504,MATCH(C241,'MASTER BAHAN'!$A$5:$A$504,0))))</f>
        <v/>
      </c>
      <c r="M241" s="0" t="str">
        <f aca="false">IF(A241="","",IF(E241&lt;&gt;"Waste",0,IF(NOT(ISNUMBER(L241)),"ISI BIAYA WASTE",IF(K241="Disetujui",ROUND(F241*L241,0),0))))</f>
        <v/>
      </c>
    </row>
    <row r="242" customFormat="false" ht="15" hidden="false" customHeight="false" outlineLevel="0" collapsed="false">
      <c r="D242" s="0" t="str">
        <f aca="false">IF(C242="","",IF(COUNTIFS('MASTER BAHAN'!$A$5:$A$504,C242)=0,"BELUM ADA",INDEX('MASTER BAHAN'!$B$5:$B$504,MATCH(C242,'MASTER BAHAN'!$A$5:$A$504,0))))</f>
        <v/>
      </c>
      <c r="G242" s="0" t="str">
        <f aca="false">IF(C242="","",IF(COUNTIFS('MASTER BAHAN'!$A$5:$A$504,C242)=0,"BELUM ADA",INDEX('MASTER BAHAN'!$D$5:$D$504,MATCH(C242,'MASTER BAHAN'!$A$5:$A$504,0))))</f>
        <v/>
      </c>
      <c r="M242" s="0" t="str">
        <f aca="false">IF(A242="","",IF(E242&lt;&gt;"Waste",0,IF(NOT(ISNUMBER(L242)),"ISI BIAYA WASTE",IF(K242="Disetujui",ROUND(F242*L242,0),0))))</f>
        <v/>
      </c>
    </row>
    <row r="243" customFormat="false" ht="15" hidden="false" customHeight="false" outlineLevel="0" collapsed="false">
      <c r="D243" s="0" t="str">
        <f aca="false">IF(C243="","",IF(COUNTIFS('MASTER BAHAN'!$A$5:$A$504,C243)=0,"BELUM ADA",INDEX('MASTER BAHAN'!$B$5:$B$504,MATCH(C243,'MASTER BAHAN'!$A$5:$A$504,0))))</f>
        <v/>
      </c>
      <c r="G243" s="0" t="str">
        <f aca="false">IF(C243="","",IF(COUNTIFS('MASTER BAHAN'!$A$5:$A$504,C243)=0,"BELUM ADA",INDEX('MASTER BAHAN'!$D$5:$D$504,MATCH(C243,'MASTER BAHAN'!$A$5:$A$504,0))))</f>
        <v/>
      </c>
      <c r="M243" s="0" t="str">
        <f aca="false">IF(A243="","",IF(E243&lt;&gt;"Waste",0,IF(NOT(ISNUMBER(L243)),"ISI BIAYA WASTE",IF(K243="Disetujui",ROUND(F243*L243,0),0))))</f>
        <v/>
      </c>
    </row>
    <row r="244" customFormat="false" ht="15" hidden="false" customHeight="false" outlineLevel="0" collapsed="false">
      <c r="D244" s="0" t="str">
        <f aca="false">IF(C244="","",IF(COUNTIFS('MASTER BAHAN'!$A$5:$A$504,C244)=0,"BELUM ADA",INDEX('MASTER BAHAN'!$B$5:$B$504,MATCH(C244,'MASTER BAHAN'!$A$5:$A$504,0))))</f>
        <v/>
      </c>
      <c r="G244" s="0" t="str">
        <f aca="false">IF(C244="","",IF(COUNTIFS('MASTER BAHAN'!$A$5:$A$504,C244)=0,"BELUM ADA",INDEX('MASTER BAHAN'!$D$5:$D$504,MATCH(C244,'MASTER BAHAN'!$A$5:$A$504,0))))</f>
        <v/>
      </c>
      <c r="M244" s="0" t="str">
        <f aca="false">IF(A244="","",IF(E244&lt;&gt;"Waste",0,IF(NOT(ISNUMBER(L244)),"ISI BIAYA WASTE",IF(K244="Disetujui",ROUND(F244*L244,0),0))))</f>
        <v/>
      </c>
    </row>
    <row r="245" customFormat="false" ht="15" hidden="false" customHeight="false" outlineLevel="0" collapsed="false">
      <c r="D245" s="0" t="str">
        <f aca="false">IF(C245="","",IF(COUNTIFS('MASTER BAHAN'!$A$5:$A$504,C245)=0,"BELUM ADA",INDEX('MASTER BAHAN'!$B$5:$B$504,MATCH(C245,'MASTER BAHAN'!$A$5:$A$504,0))))</f>
        <v/>
      </c>
      <c r="G245" s="0" t="str">
        <f aca="false">IF(C245="","",IF(COUNTIFS('MASTER BAHAN'!$A$5:$A$504,C245)=0,"BELUM ADA",INDEX('MASTER BAHAN'!$D$5:$D$504,MATCH(C245,'MASTER BAHAN'!$A$5:$A$504,0))))</f>
        <v/>
      </c>
      <c r="M245" s="0" t="str">
        <f aca="false">IF(A245="","",IF(E245&lt;&gt;"Waste",0,IF(NOT(ISNUMBER(L245)),"ISI BIAYA WASTE",IF(K245="Disetujui",ROUND(F245*L245,0),0))))</f>
        <v/>
      </c>
    </row>
    <row r="246" customFormat="false" ht="15" hidden="false" customHeight="false" outlineLevel="0" collapsed="false">
      <c r="D246" s="0" t="str">
        <f aca="false">IF(C246="","",IF(COUNTIFS('MASTER BAHAN'!$A$5:$A$504,C246)=0,"BELUM ADA",INDEX('MASTER BAHAN'!$B$5:$B$504,MATCH(C246,'MASTER BAHAN'!$A$5:$A$504,0))))</f>
        <v/>
      </c>
      <c r="G246" s="0" t="str">
        <f aca="false">IF(C246="","",IF(COUNTIFS('MASTER BAHAN'!$A$5:$A$504,C246)=0,"BELUM ADA",INDEX('MASTER BAHAN'!$D$5:$D$504,MATCH(C246,'MASTER BAHAN'!$A$5:$A$504,0))))</f>
        <v/>
      </c>
      <c r="M246" s="0" t="str">
        <f aca="false">IF(A246="","",IF(E246&lt;&gt;"Waste",0,IF(NOT(ISNUMBER(L246)),"ISI BIAYA WASTE",IF(K246="Disetujui",ROUND(F246*L246,0),0))))</f>
        <v/>
      </c>
    </row>
    <row r="247" customFormat="false" ht="15" hidden="false" customHeight="false" outlineLevel="0" collapsed="false">
      <c r="D247" s="0" t="str">
        <f aca="false">IF(C247="","",IF(COUNTIFS('MASTER BAHAN'!$A$5:$A$504,C247)=0,"BELUM ADA",INDEX('MASTER BAHAN'!$B$5:$B$504,MATCH(C247,'MASTER BAHAN'!$A$5:$A$504,0))))</f>
        <v/>
      </c>
      <c r="G247" s="0" t="str">
        <f aca="false">IF(C247="","",IF(COUNTIFS('MASTER BAHAN'!$A$5:$A$504,C247)=0,"BELUM ADA",INDEX('MASTER BAHAN'!$D$5:$D$504,MATCH(C247,'MASTER BAHAN'!$A$5:$A$504,0))))</f>
        <v/>
      </c>
      <c r="M247" s="0" t="str">
        <f aca="false">IF(A247="","",IF(E247&lt;&gt;"Waste",0,IF(NOT(ISNUMBER(L247)),"ISI BIAYA WASTE",IF(K247="Disetujui",ROUND(F247*L247,0),0))))</f>
        <v/>
      </c>
    </row>
    <row r="248" customFormat="false" ht="15" hidden="false" customHeight="false" outlineLevel="0" collapsed="false">
      <c r="D248" s="0" t="str">
        <f aca="false">IF(C248="","",IF(COUNTIFS('MASTER BAHAN'!$A$5:$A$504,C248)=0,"BELUM ADA",INDEX('MASTER BAHAN'!$B$5:$B$504,MATCH(C248,'MASTER BAHAN'!$A$5:$A$504,0))))</f>
        <v/>
      </c>
      <c r="G248" s="0" t="str">
        <f aca="false">IF(C248="","",IF(COUNTIFS('MASTER BAHAN'!$A$5:$A$504,C248)=0,"BELUM ADA",INDEX('MASTER BAHAN'!$D$5:$D$504,MATCH(C248,'MASTER BAHAN'!$A$5:$A$504,0))))</f>
        <v/>
      </c>
      <c r="M248" s="0" t="str">
        <f aca="false">IF(A248="","",IF(E248&lt;&gt;"Waste",0,IF(NOT(ISNUMBER(L248)),"ISI BIAYA WASTE",IF(K248="Disetujui",ROUND(F248*L248,0),0))))</f>
        <v/>
      </c>
    </row>
    <row r="249" customFormat="false" ht="15" hidden="false" customHeight="false" outlineLevel="0" collapsed="false">
      <c r="D249" s="0" t="str">
        <f aca="false">IF(C249="","",IF(COUNTIFS('MASTER BAHAN'!$A$5:$A$504,C249)=0,"BELUM ADA",INDEX('MASTER BAHAN'!$B$5:$B$504,MATCH(C249,'MASTER BAHAN'!$A$5:$A$504,0))))</f>
        <v/>
      </c>
      <c r="G249" s="0" t="str">
        <f aca="false">IF(C249="","",IF(COUNTIFS('MASTER BAHAN'!$A$5:$A$504,C249)=0,"BELUM ADA",INDEX('MASTER BAHAN'!$D$5:$D$504,MATCH(C249,'MASTER BAHAN'!$A$5:$A$504,0))))</f>
        <v/>
      </c>
      <c r="M249" s="0" t="str">
        <f aca="false">IF(A249="","",IF(E249&lt;&gt;"Waste",0,IF(NOT(ISNUMBER(L249)),"ISI BIAYA WASTE",IF(K249="Disetujui",ROUND(F249*L249,0),0))))</f>
        <v/>
      </c>
    </row>
    <row r="250" customFormat="false" ht="15" hidden="false" customHeight="false" outlineLevel="0" collapsed="false">
      <c r="D250" s="0" t="str">
        <f aca="false">IF(C250="","",IF(COUNTIFS('MASTER BAHAN'!$A$5:$A$504,C250)=0,"BELUM ADA",INDEX('MASTER BAHAN'!$B$5:$B$504,MATCH(C250,'MASTER BAHAN'!$A$5:$A$504,0))))</f>
        <v/>
      </c>
      <c r="G250" s="0" t="str">
        <f aca="false">IF(C250="","",IF(COUNTIFS('MASTER BAHAN'!$A$5:$A$504,C250)=0,"BELUM ADA",INDEX('MASTER BAHAN'!$D$5:$D$504,MATCH(C250,'MASTER BAHAN'!$A$5:$A$504,0))))</f>
        <v/>
      </c>
      <c r="M250" s="0" t="str">
        <f aca="false">IF(A250="","",IF(E250&lt;&gt;"Waste",0,IF(NOT(ISNUMBER(L250)),"ISI BIAYA WASTE",IF(K250="Disetujui",ROUND(F250*L250,0),0))))</f>
        <v/>
      </c>
    </row>
    <row r="251" customFormat="false" ht="15" hidden="false" customHeight="false" outlineLevel="0" collapsed="false">
      <c r="D251" s="0" t="str">
        <f aca="false">IF(C251="","",IF(COUNTIFS('MASTER BAHAN'!$A$5:$A$504,C251)=0,"BELUM ADA",INDEX('MASTER BAHAN'!$B$5:$B$504,MATCH(C251,'MASTER BAHAN'!$A$5:$A$504,0))))</f>
        <v/>
      </c>
      <c r="G251" s="0" t="str">
        <f aca="false">IF(C251="","",IF(COUNTIFS('MASTER BAHAN'!$A$5:$A$504,C251)=0,"BELUM ADA",INDEX('MASTER BAHAN'!$D$5:$D$504,MATCH(C251,'MASTER BAHAN'!$A$5:$A$504,0))))</f>
        <v/>
      </c>
      <c r="M251" s="0" t="str">
        <f aca="false">IF(A251="","",IF(E251&lt;&gt;"Waste",0,IF(NOT(ISNUMBER(L251)),"ISI BIAYA WASTE",IF(K251="Disetujui",ROUND(F251*L251,0),0))))</f>
        <v/>
      </c>
    </row>
    <row r="252" customFormat="false" ht="15" hidden="false" customHeight="false" outlineLevel="0" collapsed="false">
      <c r="D252" s="0" t="str">
        <f aca="false">IF(C252="","",IF(COUNTIFS('MASTER BAHAN'!$A$5:$A$504,C252)=0,"BELUM ADA",INDEX('MASTER BAHAN'!$B$5:$B$504,MATCH(C252,'MASTER BAHAN'!$A$5:$A$504,0))))</f>
        <v/>
      </c>
      <c r="G252" s="0" t="str">
        <f aca="false">IF(C252="","",IF(COUNTIFS('MASTER BAHAN'!$A$5:$A$504,C252)=0,"BELUM ADA",INDEX('MASTER BAHAN'!$D$5:$D$504,MATCH(C252,'MASTER BAHAN'!$A$5:$A$504,0))))</f>
        <v/>
      </c>
      <c r="M252" s="0" t="str">
        <f aca="false">IF(A252="","",IF(E252&lt;&gt;"Waste",0,IF(NOT(ISNUMBER(L252)),"ISI BIAYA WASTE",IF(K252="Disetujui",ROUND(F252*L252,0),0))))</f>
        <v/>
      </c>
    </row>
    <row r="253" customFormat="false" ht="15" hidden="false" customHeight="false" outlineLevel="0" collapsed="false">
      <c r="D253" s="0" t="str">
        <f aca="false">IF(C253="","",IF(COUNTIFS('MASTER BAHAN'!$A$5:$A$504,C253)=0,"BELUM ADA",INDEX('MASTER BAHAN'!$B$5:$B$504,MATCH(C253,'MASTER BAHAN'!$A$5:$A$504,0))))</f>
        <v/>
      </c>
      <c r="G253" s="0" t="str">
        <f aca="false">IF(C253="","",IF(COUNTIFS('MASTER BAHAN'!$A$5:$A$504,C253)=0,"BELUM ADA",INDEX('MASTER BAHAN'!$D$5:$D$504,MATCH(C253,'MASTER BAHAN'!$A$5:$A$504,0))))</f>
        <v/>
      </c>
      <c r="M253" s="0" t="str">
        <f aca="false">IF(A253="","",IF(E253&lt;&gt;"Waste",0,IF(NOT(ISNUMBER(L253)),"ISI BIAYA WASTE",IF(K253="Disetujui",ROUND(F253*L253,0),0))))</f>
        <v/>
      </c>
    </row>
    <row r="254" customFormat="false" ht="15" hidden="false" customHeight="false" outlineLevel="0" collapsed="false">
      <c r="D254" s="0" t="str">
        <f aca="false">IF(C254="","",IF(COUNTIFS('MASTER BAHAN'!$A$5:$A$504,C254)=0,"BELUM ADA",INDEX('MASTER BAHAN'!$B$5:$B$504,MATCH(C254,'MASTER BAHAN'!$A$5:$A$504,0))))</f>
        <v/>
      </c>
      <c r="G254" s="0" t="str">
        <f aca="false">IF(C254="","",IF(COUNTIFS('MASTER BAHAN'!$A$5:$A$504,C254)=0,"BELUM ADA",INDEX('MASTER BAHAN'!$D$5:$D$504,MATCH(C254,'MASTER BAHAN'!$A$5:$A$504,0))))</f>
        <v/>
      </c>
      <c r="M254" s="0" t="str">
        <f aca="false">IF(A254="","",IF(E254&lt;&gt;"Waste",0,IF(NOT(ISNUMBER(L254)),"ISI BIAYA WASTE",IF(K254="Disetujui",ROUND(F254*L254,0),0))))</f>
        <v/>
      </c>
    </row>
    <row r="255" customFormat="false" ht="15" hidden="false" customHeight="false" outlineLevel="0" collapsed="false">
      <c r="D255" s="0" t="str">
        <f aca="false">IF(C255="","",IF(COUNTIFS('MASTER BAHAN'!$A$5:$A$504,C255)=0,"BELUM ADA",INDEX('MASTER BAHAN'!$B$5:$B$504,MATCH(C255,'MASTER BAHAN'!$A$5:$A$504,0))))</f>
        <v/>
      </c>
      <c r="G255" s="0" t="str">
        <f aca="false">IF(C255="","",IF(COUNTIFS('MASTER BAHAN'!$A$5:$A$504,C255)=0,"BELUM ADA",INDEX('MASTER BAHAN'!$D$5:$D$504,MATCH(C255,'MASTER BAHAN'!$A$5:$A$504,0))))</f>
        <v/>
      </c>
      <c r="M255" s="0" t="str">
        <f aca="false">IF(A255="","",IF(E255&lt;&gt;"Waste",0,IF(NOT(ISNUMBER(L255)),"ISI BIAYA WASTE",IF(K255="Disetujui",ROUND(F255*L255,0),0))))</f>
        <v/>
      </c>
    </row>
    <row r="256" customFormat="false" ht="15" hidden="false" customHeight="false" outlineLevel="0" collapsed="false">
      <c r="D256" s="0" t="str">
        <f aca="false">IF(C256="","",IF(COUNTIFS('MASTER BAHAN'!$A$5:$A$504,C256)=0,"BELUM ADA",INDEX('MASTER BAHAN'!$B$5:$B$504,MATCH(C256,'MASTER BAHAN'!$A$5:$A$504,0))))</f>
        <v/>
      </c>
      <c r="G256" s="0" t="str">
        <f aca="false">IF(C256="","",IF(COUNTIFS('MASTER BAHAN'!$A$5:$A$504,C256)=0,"BELUM ADA",INDEX('MASTER BAHAN'!$D$5:$D$504,MATCH(C256,'MASTER BAHAN'!$A$5:$A$504,0))))</f>
        <v/>
      </c>
      <c r="M256" s="0" t="str">
        <f aca="false">IF(A256="","",IF(E256&lt;&gt;"Waste",0,IF(NOT(ISNUMBER(L256)),"ISI BIAYA WASTE",IF(K256="Disetujui",ROUND(F256*L256,0),0))))</f>
        <v/>
      </c>
    </row>
    <row r="257" customFormat="false" ht="15" hidden="false" customHeight="false" outlineLevel="0" collapsed="false">
      <c r="D257" s="0" t="str">
        <f aca="false">IF(C257="","",IF(COUNTIFS('MASTER BAHAN'!$A$5:$A$504,C257)=0,"BELUM ADA",INDEX('MASTER BAHAN'!$B$5:$B$504,MATCH(C257,'MASTER BAHAN'!$A$5:$A$504,0))))</f>
        <v/>
      </c>
      <c r="G257" s="0" t="str">
        <f aca="false">IF(C257="","",IF(COUNTIFS('MASTER BAHAN'!$A$5:$A$504,C257)=0,"BELUM ADA",INDEX('MASTER BAHAN'!$D$5:$D$504,MATCH(C257,'MASTER BAHAN'!$A$5:$A$504,0))))</f>
        <v/>
      </c>
      <c r="M257" s="0" t="str">
        <f aca="false">IF(A257="","",IF(E257&lt;&gt;"Waste",0,IF(NOT(ISNUMBER(L257)),"ISI BIAYA WASTE",IF(K257="Disetujui",ROUND(F257*L257,0),0))))</f>
        <v/>
      </c>
    </row>
    <row r="258" customFormat="false" ht="15" hidden="false" customHeight="false" outlineLevel="0" collapsed="false">
      <c r="D258" s="0" t="str">
        <f aca="false">IF(C258="","",IF(COUNTIFS('MASTER BAHAN'!$A$5:$A$504,C258)=0,"BELUM ADA",INDEX('MASTER BAHAN'!$B$5:$B$504,MATCH(C258,'MASTER BAHAN'!$A$5:$A$504,0))))</f>
        <v/>
      </c>
      <c r="G258" s="0" t="str">
        <f aca="false">IF(C258="","",IF(COUNTIFS('MASTER BAHAN'!$A$5:$A$504,C258)=0,"BELUM ADA",INDEX('MASTER BAHAN'!$D$5:$D$504,MATCH(C258,'MASTER BAHAN'!$A$5:$A$504,0))))</f>
        <v/>
      </c>
      <c r="M258" s="0" t="str">
        <f aca="false">IF(A258="","",IF(E258&lt;&gt;"Waste",0,IF(NOT(ISNUMBER(L258)),"ISI BIAYA WASTE",IF(K258="Disetujui",ROUND(F258*L258,0),0))))</f>
        <v/>
      </c>
    </row>
    <row r="259" customFormat="false" ht="15" hidden="false" customHeight="false" outlineLevel="0" collapsed="false">
      <c r="D259" s="0" t="str">
        <f aca="false">IF(C259="","",IF(COUNTIFS('MASTER BAHAN'!$A$5:$A$504,C259)=0,"BELUM ADA",INDEX('MASTER BAHAN'!$B$5:$B$504,MATCH(C259,'MASTER BAHAN'!$A$5:$A$504,0))))</f>
        <v/>
      </c>
      <c r="G259" s="0" t="str">
        <f aca="false">IF(C259="","",IF(COUNTIFS('MASTER BAHAN'!$A$5:$A$504,C259)=0,"BELUM ADA",INDEX('MASTER BAHAN'!$D$5:$D$504,MATCH(C259,'MASTER BAHAN'!$A$5:$A$504,0))))</f>
        <v/>
      </c>
      <c r="M259" s="0" t="str">
        <f aca="false">IF(A259="","",IF(E259&lt;&gt;"Waste",0,IF(NOT(ISNUMBER(L259)),"ISI BIAYA WASTE",IF(K259="Disetujui",ROUND(F259*L259,0),0))))</f>
        <v/>
      </c>
    </row>
    <row r="260" customFormat="false" ht="15" hidden="false" customHeight="false" outlineLevel="0" collapsed="false">
      <c r="D260" s="0" t="str">
        <f aca="false">IF(C260="","",IF(COUNTIFS('MASTER BAHAN'!$A$5:$A$504,C260)=0,"BELUM ADA",INDEX('MASTER BAHAN'!$B$5:$B$504,MATCH(C260,'MASTER BAHAN'!$A$5:$A$504,0))))</f>
        <v/>
      </c>
      <c r="G260" s="0" t="str">
        <f aca="false">IF(C260="","",IF(COUNTIFS('MASTER BAHAN'!$A$5:$A$504,C260)=0,"BELUM ADA",INDEX('MASTER BAHAN'!$D$5:$D$504,MATCH(C260,'MASTER BAHAN'!$A$5:$A$504,0))))</f>
        <v/>
      </c>
      <c r="M260" s="0" t="str">
        <f aca="false">IF(A260="","",IF(E260&lt;&gt;"Waste",0,IF(NOT(ISNUMBER(L260)),"ISI BIAYA WASTE",IF(K260="Disetujui",ROUND(F260*L260,0),0))))</f>
        <v/>
      </c>
    </row>
    <row r="261" customFormat="false" ht="15" hidden="false" customHeight="false" outlineLevel="0" collapsed="false">
      <c r="D261" s="0" t="str">
        <f aca="false">IF(C261="","",IF(COUNTIFS('MASTER BAHAN'!$A$5:$A$504,C261)=0,"BELUM ADA",INDEX('MASTER BAHAN'!$B$5:$B$504,MATCH(C261,'MASTER BAHAN'!$A$5:$A$504,0))))</f>
        <v/>
      </c>
      <c r="G261" s="0" t="str">
        <f aca="false">IF(C261="","",IF(COUNTIFS('MASTER BAHAN'!$A$5:$A$504,C261)=0,"BELUM ADA",INDEX('MASTER BAHAN'!$D$5:$D$504,MATCH(C261,'MASTER BAHAN'!$A$5:$A$504,0))))</f>
        <v/>
      </c>
      <c r="M261" s="0" t="str">
        <f aca="false">IF(A261="","",IF(E261&lt;&gt;"Waste",0,IF(NOT(ISNUMBER(L261)),"ISI BIAYA WASTE",IF(K261="Disetujui",ROUND(F261*L261,0),0))))</f>
        <v/>
      </c>
    </row>
    <row r="262" customFormat="false" ht="15" hidden="false" customHeight="false" outlineLevel="0" collapsed="false">
      <c r="D262" s="0" t="str">
        <f aca="false">IF(C262="","",IF(COUNTIFS('MASTER BAHAN'!$A$5:$A$504,C262)=0,"BELUM ADA",INDEX('MASTER BAHAN'!$B$5:$B$504,MATCH(C262,'MASTER BAHAN'!$A$5:$A$504,0))))</f>
        <v/>
      </c>
      <c r="G262" s="0" t="str">
        <f aca="false">IF(C262="","",IF(COUNTIFS('MASTER BAHAN'!$A$5:$A$504,C262)=0,"BELUM ADA",INDEX('MASTER BAHAN'!$D$5:$D$504,MATCH(C262,'MASTER BAHAN'!$A$5:$A$504,0))))</f>
        <v/>
      </c>
      <c r="M262" s="0" t="str">
        <f aca="false">IF(A262="","",IF(E262&lt;&gt;"Waste",0,IF(NOT(ISNUMBER(L262)),"ISI BIAYA WASTE",IF(K262="Disetujui",ROUND(F262*L262,0),0))))</f>
        <v/>
      </c>
    </row>
    <row r="263" customFormat="false" ht="15" hidden="false" customHeight="false" outlineLevel="0" collapsed="false">
      <c r="D263" s="0" t="str">
        <f aca="false">IF(C263="","",IF(COUNTIFS('MASTER BAHAN'!$A$5:$A$504,C263)=0,"BELUM ADA",INDEX('MASTER BAHAN'!$B$5:$B$504,MATCH(C263,'MASTER BAHAN'!$A$5:$A$504,0))))</f>
        <v/>
      </c>
      <c r="G263" s="0" t="str">
        <f aca="false">IF(C263="","",IF(COUNTIFS('MASTER BAHAN'!$A$5:$A$504,C263)=0,"BELUM ADA",INDEX('MASTER BAHAN'!$D$5:$D$504,MATCH(C263,'MASTER BAHAN'!$A$5:$A$504,0))))</f>
        <v/>
      </c>
      <c r="M263" s="0" t="str">
        <f aca="false">IF(A263="","",IF(E263&lt;&gt;"Waste",0,IF(NOT(ISNUMBER(L263)),"ISI BIAYA WASTE",IF(K263="Disetujui",ROUND(F263*L263,0),0))))</f>
        <v/>
      </c>
    </row>
    <row r="264" customFormat="false" ht="15" hidden="false" customHeight="false" outlineLevel="0" collapsed="false">
      <c r="D264" s="0" t="str">
        <f aca="false">IF(C264="","",IF(COUNTIFS('MASTER BAHAN'!$A$5:$A$504,C264)=0,"BELUM ADA",INDEX('MASTER BAHAN'!$B$5:$B$504,MATCH(C264,'MASTER BAHAN'!$A$5:$A$504,0))))</f>
        <v/>
      </c>
      <c r="G264" s="0" t="str">
        <f aca="false">IF(C264="","",IF(COUNTIFS('MASTER BAHAN'!$A$5:$A$504,C264)=0,"BELUM ADA",INDEX('MASTER BAHAN'!$D$5:$D$504,MATCH(C264,'MASTER BAHAN'!$A$5:$A$504,0))))</f>
        <v/>
      </c>
      <c r="M264" s="0" t="str">
        <f aca="false">IF(A264="","",IF(E264&lt;&gt;"Waste",0,IF(NOT(ISNUMBER(L264)),"ISI BIAYA WASTE",IF(K264="Disetujui",ROUND(F264*L264,0),0))))</f>
        <v/>
      </c>
    </row>
    <row r="265" customFormat="false" ht="15" hidden="false" customHeight="false" outlineLevel="0" collapsed="false">
      <c r="D265" s="0" t="str">
        <f aca="false">IF(C265="","",IF(COUNTIFS('MASTER BAHAN'!$A$5:$A$504,C265)=0,"BELUM ADA",INDEX('MASTER BAHAN'!$B$5:$B$504,MATCH(C265,'MASTER BAHAN'!$A$5:$A$504,0))))</f>
        <v/>
      </c>
      <c r="G265" s="0" t="str">
        <f aca="false">IF(C265="","",IF(COUNTIFS('MASTER BAHAN'!$A$5:$A$504,C265)=0,"BELUM ADA",INDEX('MASTER BAHAN'!$D$5:$D$504,MATCH(C265,'MASTER BAHAN'!$A$5:$A$504,0))))</f>
        <v/>
      </c>
      <c r="M265" s="0" t="str">
        <f aca="false">IF(A265="","",IF(E265&lt;&gt;"Waste",0,IF(NOT(ISNUMBER(L265)),"ISI BIAYA WASTE",IF(K265="Disetujui",ROUND(F265*L265,0),0))))</f>
        <v/>
      </c>
    </row>
    <row r="266" customFormat="false" ht="15" hidden="false" customHeight="false" outlineLevel="0" collapsed="false">
      <c r="D266" s="0" t="str">
        <f aca="false">IF(C266="","",IF(COUNTIFS('MASTER BAHAN'!$A$5:$A$504,C266)=0,"BELUM ADA",INDEX('MASTER BAHAN'!$B$5:$B$504,MATCH(C266,'MASTER BAHAN'!$A$5:$A$504,0))))</f>
        <v/>
      </c>
      <c r="G266" s="0" t="str">
        <f aca="false">IF(C266="","",IF(COUNTIFS('MASTER BAHAN'!$A$5:$A$504,C266)=0,"BELUM ADA",INDEX('MASTER BAHAN'!$D$5:$D$504,MATCH(C266,'MASTER BAHAN'!$A$5:$A$504,0))))</f>
        <v/>
      </c>
      <c r="M266" s="0" t="str">
        <f aca="false">IF(A266="","",IF(E266&lt;&gt;"Waste",0,IF(NOT(ISNUMBER(L266)),"ISI BIAYA WASTE",IF(K266="Disetujui",ROUND(F266*L266,0),0))))</f>
        <v/>
      </c>
    </row>
    <row r="267" customFormat="false" ht="15" hidden="false" customHeight="false" outlineLevel="0" collapsed="false">
      <c r="D267" s="0" t="str">
        <f aca="false">IF(C267="","",IF(COUNTIFS('MASTER BAHAN'!$A$5:$A$504,C267)=0,"BELUM ADA",INDEX('MASTER BAHAN'!$B$5:$B$504,MATCH(C267,'MASTER BAHAN'!$A$5:$A$504,0))))</f>
        <v/>
      </c>
      <c r="G267" s="0" t="str">
        <f aca="false">IF(C267="","",IF(COUNTIFS('MASTER BAHAN'!$A$5:$A$504,C267)=0,"BELUM ADA",INDEX('MASTER BAHAN'!$D$5:$D$504,MATCH(C267,'MASTER BAHAN'!$A$5:$A$504,0))))</f>
        <v/>
      </c>
      <c r="M267" s="0" t="str">
        <f aca="false">IF(A267="","",IF(E267&lt;&gt;"Waste",0,IF(NOT(ISNUMBER(L267)),"ISI BIAYA WASTE",IF(K267="Disetujui",ROUND(F267*L267,0),0))))</f>
        <v/>
      </c>
    </row>
    <row r="268" customFormat="false" ht="15" hidden="false" customHeight="false" outlineLevel="0" collapsed="false">
      <c r="D268" s="0" t="str">
        <f aca="false">IF(C268="","",IF(COUNTIFS('MASTER BAHAN'!$A$5:$A$504,C268)=0,"BELUM ADA",INDEX('MASTER BAHAN'!$B$5:$B$504,MATCH(C268,'MASTER BAHAN'!$A$5:$A$504,0))))</f>
        <v/>
      </c>
      <c r="G268" s="0" t="str">
        <f aca="false">IF(C268="","",IF(COUNTIFS('MASTER BAHAN'!$A$5:$A$504,C268)=0,"BELUM ADA",INDEX('MASTER BAHAN'!$D$5:$D$504,MATCH(C268,'MASTER BAHAN'!$A$5:$A$504,0))))</f>
        <v/>
      </c>
      <c r="M268" s="0" t="str">
        <f aca="false">IF(A268="","",IF(E268&lt;&gt;"Waste",0,IF(NOT(ISNUMBER(L268)),"ISI BIAYA WASTE",IF(K268="Disetujui",ROUND(F268*L268,0),0))))</f>
        <v/>
      </c>
    </row>
    <row r="269" customFormat="false" ht="15" hidden="false" customHeight="false" outlineLevel="0" collapsed="false">
      <c r="D269" s="0" t="str">
        <f aca="false">IF(C269="","",IF(COUNTIFS('MASTER BAHAN'!$A$5:$A$504,C269)=0,"BELUM ADA",INDEX('MASTER BAHAN'!$B$5:$B$504,MATCH(C269,'MASTER BAHAN'!$A$5:$A$504,0))))</f>
        <v/>
      </c>
      <c r="G269" s="0" t="str">
        <f aca="false">IF(C269="","",IF(COUNTIFS('MASTER BAHAN'!$A$5:$A$504,C269)=0,"BELUM ADA",INDEX('MASTER BAHAN'!$D$5:$D$504,MATCH(C269,'MASTER BAHAN'!$A$5:$A$504,0))))</f>
        <v/>
      </c>
      <c r="M269" s="0" t="str">
        <f aca="false">IF(A269="","",IF(E269&lt;&gt;"Waste",0,IF(NOT(ISNUMBER(L269)),"ISI BIAYA WASTE",IF(K269="Disetujui",ROUND(F269*L269,0),0))))</f>
        <v/>
      </c>
    </row>
    <row r="270" customFormat="false" ht="15" hidden="false" customHeight="false" outlineLevel="0" collapsed="false">
      <c r="D270" s="0" t="str">
        <f aca="false">IF(C270="","",IF(COUNTIFS('MASTER BAHAN'!$A$5:$A$504,C270)=0,"BELUM ADA",INDEX('MASTER BAHAN'!$B$5:$B$504,MATCH(C270,'MASTER BAHAN'!$A$5:$A$504,0))))</f>
        <v/>
      </c>
      <c r="G270" s="0" t="str">
        <f aca="false">IF(C270="","",IF(COUNTIFS('MASTER BAHAN'!$A$5:$A$504,C270)=0,"BELUM ADA",INDEX('MASTER BAHAN'!$D$5:$D$504,MATCH(C270,'MASTER BAHAN'!$A$5:$A$504,0))))</f>
        <v/>
      </c>
      <c r="M270" s="0" t="str">
        <f aca="false">IF(A270="","",IF(E270&lt;&gt;"Waste",0,IF(NOT(ISNUMBER(L270)),"ISI BIAYA WASTE",IF(K270="Disetujui",ROUND(F270*L270,0),0))))</f>
        <v/>
      </c>
    </row>
    <row r="271" customFormat="false" ht="15" hidden="false" customHeight="false" outlineLevel="0" collapsed="false">
      <c r="D271" s="0" t="str">
        <f aca="false">IF(C271="","",IF(COUNTIFS('MASTER BAHAN'!$A$5:$A$504,C271)=0,"BELUM ADA",INDEX('MASTER BAHAN'!$B$5:$B$504,MATCH(C271,'MASTER BAHAN'!$A$5:$A$504,0))))</f>
        <v/>
      </c>
      <c r="G271" s="0" t="str">
        <f aca="false">IF(C271="","",IF(COUNTIFS('MASTER BAHAN'!$A$5:$A$504,C271)=0,"BELUM ADA",INDEX('MASTER BAHAN'!$D$5:$D$504,MATCH(C271,'MASTER BAHAN'!$A$5:$A$504,0))))</f>
        <v/>
      </c>
      <c r="M271" s="0" t="str">
        <f aca="false">IF(A271="","",IF(E271&lt;&gt;"Waste",0,IF(NOT(ISNUMBER(L271)),"ISI BIAYA WASTE",IF(K271="Disetujui",ROUND(F271*L271,0),0))))</f>
        <v/>
      </c>
    </row>
    <row r="272" customFormat="false" ht="15" hidden="false" customHeight="false" outlineLevel="0" collapsed="false">
      <c r="D272" s="0" t="str">
        <f aca="false">IF(C272="","",IF(COUNTIFS('MASTER BAHAN'!$A$5:$A$504,C272)=0,"BELUM ADA",INDEX('MASTER BAHAN'!$B$5:$B$504,MATCH(C272,'MASTER BAHAN'!$A$5:$A$504,0))))</f>
        <v/>
      </c>
      <c r="G272" s="0" t="str">
        <f aca="false">IF(C272="","",IF(COUNTIFS('MASTER BAHAN'!$A$5:$A$504,C272)=0,"BELUM ADA",INDEX('MASTER BAHAN'!$D$5:$D$504,MATCH(C272,'MASTER BAHAN'!$A$5:$A$504,0))))</f>
        <v/>
      </c>
      <c r="M272" s="0" t="str">
        <f aca="false">IF(A272="","",IF(E272&lt;&gt;"Waste",0,IF(NOT(ISNUMBER(L272)),"ISI BIAYA WASTE",IF(K272="Disetujui",ROUND(F272*L272,0),0))))</f>
        <v/>
      </c>
    </row>
    <row r="273" customFormat="false" ht="15" hidden="false" customHeight="false" outlineLevel="0" collapsed="false">
      <c r="D273" s="0" t="str">
        <f aca="false">IF(C273="","",IF(COUNTIFS('MASTER BAHAN'!$A$5:$A$504,C273)=0,"BELUM ADA",INDEX('MASTER BAHAN'!$B$5:$B$504,MATCH(C273,'MASTER BAHAN'!$A$5:$A$504,0))))</f>
        <v/>
      </c>
      <c r="G273" s="0" t="str">
        <f aca="false">IF(C273="","",IF(COUNTIFS('MASTER BAHAN'!$A$5:$A$504,C273)=0,"BELUM ADA",INDEX('MASTER BAHAN'!$D$5:$D$504,MATCH(C273,'MASTER BAHAN'!$A$5:$A$504,0))))</f>
        <v/>
      </c>
      <c r="M273" s="0" t="str">
        <f aca="false">IF(A273="","",IF(E273&lt;&gt;"Waste",0,IF(NOT(ISNUMBER(L273)),"ISI BIAYA WASTE",IF(K273="Disetujui",ROUND(F273*L273,0),0))))</f>
        <v/>
      </c>
    </row>
    <row r="274" customFormat="false" ht="15" hidden="false" customHeight="false" outlineLevel="0" collapsed="false">
      <c r="D274" s="0" t="str">
        <f aca="false">IF(C274="","",IF(COUNTIFS('MASTER BAHAN'!$A$5:$A$504,C274)=0,"BELUM ADA",INDEX('MASTER BAHAN'!$B$5:$B$504,MATCH(C274,'MASTER BAHAN'!$A$5:$A$504,0))))</f>
        <v/>
      </c>
      <c r="G274" s="0" t="str">
        <f aca="false">IF(C274="","",IF(COUNTIFS('MASTER BAHAN'!$A$5:$A$504,C274)=0,"BELUM ADA",INDEX('MASTER BAHAN'!$D$5:$D$504,MATCH(C274,'MASTER BAHAN'!$A$5:$A$504,0))))</f>
        <v/>
      </c>
      <c r="M274" s="0" t="str">
        <f aca="false">IF(A274="","",IF(E274&lt;&gt;"Waste",0,IF(NOT(ISNUMBER(L274)),"ISI BIAYA WASTE",IF(K274="Disetujui",ROUND(F274*L274,0),0))))</f>
        <v/>
      </c>
    </row>
    <row r="275" customFormat="false" ht="15" hidden="false" customHeight="false" outlineLevel="0" collapsed="false">
      <c r="D275" s="0" t="str">
        <f aca="false">IF(C275="","",IF(COUNTIFS('MASTER BAHAN'!$A$5:$A$504,C275)=0,"BELUM ADA",INDEX('MASTER BAHAN'!$B$5:$B$504,MATCH(C275,'MASTER BAHAN'!$A$5:$A$504,0))))</f>
        <v/>
      </c>
      <c r="G275" s="0" t="str">
        <f aca="false">IF(C275="","",IF(COUNTIFS('MASTER BAHAN'!$A$5:$A$504,C275)=0,"BELUM ADA",INDEX('MASTER BAHAN'!$D$5:$D$504,MATCH(C275,'MASTER BAHAN'!$A$5:$A$504,0))))</f>
        <v/>
      </c>
      <c r="M275" s="0" t="str">
        <f aca="false">IF(A275="","",IF(E275&lt;&gt;"Waste",0,IF(NOT(ISNUMBER(L275)),"ISI BIAYA WASTE",IF(K275="Disetujui",ROUND(F275*L275,0),0))))</f>
        <v/>
      </c>
    </row>
    <row r="276" customFormat="false" ht="15" hidden="false" customHeight="false" outlineLevel="0" collapsed="false">
      <c r="D276" s="0" t="str">
        <f aca="false">IF(C276="","",IF(COUNTIFS('MASTER BAHAN'!$A$5:$A$504,C276)=0,"BELUM ADA",INDEX('MASTER BAHAN'!$B$5:$B$504,MATCH(C276,'MASTER BAHAN'!$A$5:$A$504,0))))</f>
        <v/>
      </c>
      <c r="G276" s="0" t="str">
        <f aca="false">IF(C276="","",IF(COUNTIFS('MASTER BAHAN'!$A$5:$A$504,C276)=0,"BELUM ADA",INDEX('MASTER BAHAN'!$D$5:$D$504,MATCH(C276,'MASTER BAHAN'!$A$5:$A$504,0))))</f>
        <v/>
      </c>
      <c r="M276" s="0" t="str">
        <f aca="false">IF(A276="","",IF(E276&lt;&gt;"Waste",0,IF(NOT(ISNUMBER(L276)),"ISI BIAYA WASTE",IF(K276="Disetujui",ROUND(F276*L276,0),0))))</f>
        <v/>
      </c>
    </row>
    <row r="277" customFormat="false" ht="15" hidden="false" customHeight="false" outlineLevel="0" collapsed="false">
      <c r="D277" s="0" t="str">
        <f aca="false">IF(C277="","",IF(COUNTIFS('MASTER BAHAN'!$A$5:$A$504,C277)=0,"BELUM ADA",INDEX('MASTER BAHAN'!$B$5:$B$504,MATCH(C277,'MASTER BAHAN'!$A$5:$A$504,0))))</f>
        <v/>
      </c>
      <c r="G277" s="0" t="str">
        <f aca="false">IF(C277="","",IF(COUNTIFS('MASTER BAHAN'!$A$5:$A$504,C277)=0,"BELUM ADA",INDEX('MASTER BAHAN'!$D$5:$D$504,MATCH(C277,'MASTER BAHAN'!$A$5:$A$504,0))))</f>
        <v/>
      </c>
      <c r="M277" s="0" t="str">
        <f aca="false">IF(A277="","",IF(E277&lt;&gt;"Waste",0,IF(NOT(ISNUMBER(L277)),"ISI BIAYA WASTE",IF(K277="Disetujui",ROUND(F277*L277,0),0))))</f>
        <v/>
      </c>
    </row>
    <row r="278" customFormat="false" ht="15" hidden="false" customHeight="false" outlineLevel="0" collapsed="false">
      <c r="D278" s="0" t="str">
        <f aca="false">IF(C278="","",IF(COUNTIFS('MASTER BAHAN'!$A$5:$A$504,C278)=0,"BELUM ADA",INDEX('MASTER BAHAN'!$B$5:$B$504,MATCH(C278,'MASTER BAHAN'!$A$5:$A$504,0))))</f>
        <v/>
      </c>
      <c r="G278" s="0" t="str">
        <f aca="false">IF(C278="","",IF(COUNTIFS('MASTER BAHAN'!$A$5:$A$504,C278)=0,"BELUM ADA",INDEX('MASTER BAHAN'!$D$5:$D$504,MATCH(C278,'MASTER BAHAN'!$A$5:$A$504,0))))</f>
        <v/>
      </c>
      <c r="M278" s="0" t="str">
        <f aca="false">IF(A278="","",IF(E278&lt;&gt;"Waste",0,IF(NOT(ISNUMBER(L278)),"ISI BIAYA WASTE",IF(K278="Disetujui",ROUND(F278*L278,0),0))))</f>
        <v/>
      </c>
    </row>
    <row r="279" customFormat="false" ht="15" hidden="false" customHeight="false" outlineLevel="0" collapsed="false">
      <c r="D279" s="0" t="str">
        <f aca="false">IF(C279="","",IF(COUNTIFS('MASTER BAHAN'!$A$5:$A$504,C279)=0,"BELUM ADA",INDEX('MASTER BAHAN'!$B$5:$B$504,MATCH(C279,'MASTER BAHAN'!$A$5:$A$504,0))))</f>
        <v/>
      </c>
      <c r="G279" s="0" t="str">
        <f aca="false">IF(C279="","",IF(COUNTIFS('MASTER BAHAN'!$A$5:$A$504,C279)=0,"BELUM ADA",INDEX('MASTER BAHAN'!$D$5:$D$504,MATCH(C279,'MASTER BAHAN'!$A$5:$A$504,0))))</f>
        <v/>
      </c>
      <c r="M279" s="0" t="str">
        <f aca="false">IF(A279="","",IF(E279&lt;&gt;"Waste",0,IF(NOT(ISNUMBER(L279)),"ISI BIAYA WASTE",IF(K279="Disetujui",ROUND(F279*L279,0),0))))</f>
        <v/>
      </c>
    </row>
    <row r="280" customFormat="false" ht="15" hidden="false" customHeight="false" outlineLevel="0" collapsed="false">
      <c r="D280" s="0" t="str">
        <f aca="false">IF(C280="","",IF(COUNTIFS('MASTER BAHAN'!$A$5:$A$504,C280)=0,"BELUM ADA",INDEX('MASTER BAHAN'!$B$5:$B$504,MATCH(C280,'MASTER BAHAN'!$A$5:$A$504,0))))</f>
        <v/>
      </c>
      <c r="G280" s="0" t="str">
        <f aca="false">IF(C280="","",IF(COUNTIFS('MASTER BAHAN'!$A$5:$A$504,C280)=0,"BELUM ADA",INDEX('MASTER BAHAN'!$D$5:$D$504,MATCH(C280,'MASTER BAHAN'!$A$5:$A$504,0))))</f>
        <v/>
      </c>
      <c r="M280" s="0" t="str">
        <f aca="false">IF(A280="","",IF(E280&lt;&gt;"Waste",0,IF(NOT(ISNUMBER(L280)),"ISI BIAYA WASTE",IF(K280="Disetujui",ROUND(F280*L280,0),0))))</f>
        <v/>
      </c>
    </row>
    <row r="281" customFormat="false" ht="15" hidden="false" customHeight="false" outlineLevel="0" collapsed="false">
      <c r="D281" s="0" t="str">
        <f aca="false">IF(C281="","",IF(COUNTIFS('MASTER BAHAN'!$A$5:$A$504,C281)=0,"BELUM ADA",INDEX('MASTER BAHAN'!$B$5:$B$504,MATCH(C281,'MASTER BAHAN'!$A$5:$A$504,0))))</f>
        <v/>
      </c>
      <c r="G281" s="0" t="str">
        <f aca="false">IF(C281="","",IF(COUNTIFS('MASTER BAHAN'!$A$5:$A$504,C281)=0,"BELUM ADA",INDEX('MASTER BAHAN'!$D$5:$D$504,MATCH(C281,'MASTER BAHAN'!$A$5:$A$504,0))))</f>
        <v/>
      </c>
      <c r="M281" s="0" t="str">
        <f aca="false">IF(A281="","",IF(E281&lt;&gt;"Waste",0,IF(NOT(ISNUMBER(L281)),"ISI BIAYA WASTE",IF(K281="Disetujui",ROUND(F281*L281,0),0))))</f>
        <v/>
      </c>
    </row>
    <row r="282" customFormat="false" ht="15" hidden="false" customHeight="false" outlineLevel="0" collapsed="false">
      <c r="D282" s="0" t="str">
        <f aca="false">IF(C282="","",IF(COUNTIFS('MASTER BAHAN'!$A$5:$A$504,C282)=0,"BELUM ADA",INDEX('MASTER BAHAN'!$B$5:$B$504,MATCH(C282,'MASTER BAHAN'!$A$5:$A$504,0))))</f>
        <v/>
      </c>
      <c r="G282" s="0" t="str">
        <f aca="false">IF(C282="","",IF(COUNTIFS('MASTER BAHAN'!$A$5:$A$504,C282)=0,"BELUM ADA",INDEX('MASTER BAHAN'!$D$5:$D$504,MATCH(C282,'MASTER BAHAN'!$A$5:$A$504,0))))</f>
        <v/>
      </c>
      <c r="M282" s="0" t="str">
        <f aca="false">IF(A282="","",IF(E282&lt;&gt;"Waste",0,IF(NOT(ISNUMBER(L282)),"ISI BIAYA WASTE",IF(K282="Disetujui",ROUND(F282*L282,0),0))))</f>
        <v/>
      </c>
    </row>
    <row r="283" customFormat="false" ht="15" hidden="false" customHeight="false" outlineLevel="0" collapsed="false">
      <c r="D283" s="0" t="str">
        <f aca="false">IF(C283="","",IF(COUNTIFS('MASTER BAHAN'!$A$5:$A$504,C283)=0,"BELUM ADA",INDEX('MASTER BAHAN'!$B$5:$B$504,MATCH(C283,'MASTER BAHAN'!$A$5:$A$504,0))))</f>
        <v/>
      </c>
      <c r="G283" s="0" t="str">
        <f aca="false">IF(C283="","",IF(COUNTIFS('MASTER BAHAN'!$A$5:$A$504,C283)=0,"BELUM ADA",INDEX('MASTER BAHAN'!$D$5:$D$504,MATCH(C283,'MASTER BAHAN'!$A$5:$A$504,0))))</f>
        <v/>
      </c>
      <c r="M283" s="0" t="str">
        <f aca="false">IF(A283="","",IF(E283&lt;&gt;"Waste",0,IF(NOT(ISNUMBER(L283)),"ISI BIAYA WASTE",IF(K283="Disetujui",ROUND(F283*L283,0),0))))</f>
        <v/>
      </c>
    </row>
    <row r="284" customFormat="false" ht="15" hidden="false" customHeight="false" outlineLevel="0" collapsed="false">
      <c r="D284" s="0" t="str">
        <f aca="false">IF(C284="","",IF(COUNTIFS('MASTER BAHAN'!$A$5:$A$504,C284)=0,"BELUM ADA",INDEX('MASTER BAHAN'!$B$5:$B$504,MATCH(C284,'MASTER BAHAN'!$A$5:$A$504,0))))</f>
        <v/>
      </c>
      <c r="G284" s="0" t="str">
        <f aca="false">IF(C284="","",IF(COUNTIFS('MASTER BAHAN'!$A$5:$A$504,C284)=0,"BELUM ADA",INDEX('MASTER BAHAN'!$D$5:$D$504,MATCH(C284,'MASTER BAHAN'!$A$5:$A$504,0))))</f>
        <v/>
      </c>
      <c r="M284" s="0" t="str">
        <f aca="false">IF(A284="","",IF(E284&lt;&gt;"Waste",0,IF(NOT(ISNUMBER(L284)),"ISI BIAYA WASTE",IF(K284="Disetujui",ROUND(F284*L284,0),0))))</f>
        <v/>
      </c>
    </row>
    <row r="285" customFormat="false" ht="15" hidden="false" customHeight="false" outlineLevel="0" collapsed="false">
      <c r="D285" s="0" t="str">
        <f aca="false">IF(C285="","",IF(COUNTIFS('MASTER BAHAN'!$A$5:$A$504,C285)=0,"BELUM ADA",INDEX('MASTER BAHAN'!$B$5:$B$504,MATCH(C285,'MASTER BAHAN'!$A$5:$A$504,0))))</f>
        <v/>
      </c>
      <c r="G285" s="0" t="str">
        <f aca="false">IF(C285="","",IF(COUNTIFS('MASTER BAHAN'!$A$5:$A$504,C285)=0,"BELUM ADA",INDEX('MASTER BAHAN'!$D$5:$D$504,MATCH(C285,'MASTER BAHAN'!$A$5:$A$504,0))))</f>
        <v/>
      </c>
      <c r="M285" s="0" t="str">
        <f aca="false">IF(A285="","",IF(E285&lt;&gt;"Waste",0,IF(NOT(ISNUMBER(L285)),"ISI BIAYA WASTE",IF(K285="Disetujui",ROUND(F285*L285,0),0))))</f>
        <v/>
      </c>
    </row>
    <row r="286" customFormat="false" ht="15" hidden="false" customHeight="false" outlineLevel="0" collapsed="false">
      <c r="D286" s="0" t="str">
        <f aca="false">IF(C286="","",IF(COUNTIFS('MASTER BAHAN'!$A$5:$A$504,C286)=0,"BELUM ADA",INDEX('MASTER BAHAN'!$B$5:$B$504,MATCH(C286,'MASTER BAHAN'!$A$5:$A$504,0))))</f>
        <v/>
      </c>
      <c r="G286" s="0" t="str">
        <f aca="false">IF(C286="","",IF(COUNTIFS('MASTER BAHAN'!$A$5:$A$504,C286)=0,"BELUM ADA",INDEX('MASTER BAHAN'!$D$5:$D$504,MATCH(C286,'MASTER BAHAN'!$A$5:$A$504,0))))</f>
        <v/>
      </c>
      <c r="M286" s="0" t="str">
        <f aca="false">IF(A286="","",IF(E286&lt;&gt;"Waste",0,IF(NOT(ISNUMBER(L286)),"ISI BIAYA WASTE",IF(K286="Disetujui",ROUND(F286*L286,0),0))))</f>
        <v/>
      </c>
    </row>
    <row r="287" customFormat="false" ht="15" hidden="false" customHeight="false" outlineLevel="0" collapsed="false">
      <c r="D287" s="0" t="str">
        <f aca="false">IF(C287="","",IF(COUNTIFS('MASTER BAHAN'!$A$5:$A$504,C287)=0,"BELUM ADA",INDEX('MASTER BAHAN'!$B$5:$B$504,MATCH(C287,'MASTER BAHAN'!$A$5:$A$504,0))))</f>
        <v/>
      </c>
      <c r="G287" s="0" t="str">
        <f aca="false">IF(C287="","",IF(COUNTIFS('MASTER BAHAN'!$A$5:$A$504,C287)=0,"BELUM ADA",INDEX('MASTER BAHAN'!$D$5:$D$504,MATCH(C287,'MASTER BAHAN'!$A$5:$A$504,0))))</f>
        <v/>
      </c>
      <c r="M287" s="0" t="str">
        <f aca="false">IF(A287="","",IF(E287&lt;&gt;"Waste",0,IF(NOT(ISNUMBER(L287)),"ISI BIAYA WASTE",IF(K287="Disetujui",ROUND(F287*L287,0),0))))</f>
        <v/>
      </c>
    </row>
    <row r="288" customFormat="false" ht="15" hidden="false" customHeight="false" outlineLevel="0" collapsed="false">
      <c r="D288" s="0" t="str">
        <f aca="false">IF(C288="","",IF(COUNTIFS('MASTER BAHAN'!$A$5:$A$504,C288)=0,"BELUM ADA",INDEX('MASTER BAHAN'!$B$5:$B$504,MATCH(C288,'MASTER BAHAN'!$A$5:$A$504,0))))</f>
        <v/>
      </c>
      <c r="G288" s="0" t="str">
        <f aca="false">IF(C288="","",IF(COUNTIFS('MASTER BAHAN'!$A$5:$A$504,C288)=0,"BELUM ADA",INDEX('MASTER BAHAN'!$D$5:$D$504,MATCH(C288,'MASTER BAHAN'!$A$5:$A$504,0))))</f>
        <v/>
      </c>
      <c r="M288" s="0" t="str">
        <f aca="false">IF(A288="","",IF(E288&lt;&gt;"Waste",0,IF(NOT(ISNUMBER(L288)),"ISI BIAYA WASTE",IF(K288="Disetujui",ROUND(F288*L288,0),0))))</f>
        <v/>
      </c>
    </row>
    <row r="289" customFormat="false" ht="15" hidden="false" customHeight="false" outlineLevel="0" collapsed="false">
      <c r="D289" s="0" t="str">
        <f aca="false">IF(C289="","",IF(COUNTIFS('MASTER BAHAN'!$A$5:$A$504,C289)=0,"BELUM ADA",INDEX('MASTER BAHAN'!$B$5:$B$504,MATCH(C289,'MASTER BAHAN'!$A$5:$A$504,0))))</f>
        <v/>
      </c>
      <c r="G289" s="0" t="str">
        <f aca="false">IF(C289="","",IF(COUNTIFS('MASTER BAHAN'!$A$5:$A$504,C289)=0,"BELUM ADA",INDEX('MASTER BAHAN'!$D$5:$D$504,MATCH(C289,'MASTER BAHAN'!$A$5:$A$504,0))))</f>
        <v/>
      </c>
      <c r="M289" s="0" t="str">
        <f aca="false">IF(A289="","",IF(E289&lt;&gt;"Waste",0,IF(NOT(ISNUMBER(L289)),"ISI BIAYA WASTE",IF(K289="Disetujui",ROUND(F289*L289,0),0))))</f>
        <v/>
      </c>
    </row>
    <row r="290" customFormat="false" ht="15" hidden="false" customHeight="false" outlineLevel="0" collapsed="false">
      <c r="D290" s="0" t="str">
        <f aca="false">IF(C290="","",IF(COUNTIFS('MASTER BAHAN'!$A$5:$A$504,C290)=0,"BELUM ADA",INDEX('MASTER BAHAN'!$B$5:$B$504,MATCH(C290,'MASTER BAHAN'!$A$5:$A$504,0))))</f>
        <v/>
      </c>
      <c r="G290" s="0" t="str">
        <f aca="false">IF(C290="","",IF(COUNTIFS('MASTER BAHAN'!$A$5:$A$504,C290)=0,"BELUM ADA",INDEX('MASTER BAHAN'!$D$5:$D$504,MATCH(C290,'MASTER BAHAN'!$A$5:$A$504,0))))</f>
        <v/>
      </c>
      <c r="M290" s="0" t="str">
        <f aca="false">IF(A290="","",IF(E290&lt;&gt;"Waste",0,IF(NOT(ISNUMBER(L290)),"ISI BIAYA WASTE",IF(K290="Disetujui",ROUND(F290*L290,0),0))))</f>
        <v/>
      </c>
    </row>
    <row r="291" customFormat="false" ht="15" hidden="false" customHeight="false" outlineLevel="0" collapsed="false">
      <c r="D291" s="0" t="str">
        <f aca="false">IF(C291="","",IF(COUNTIFS('MASTER BAHAN'!$A$5:$A$504,C291)=0,"BELUM ADA",INDEX('MASTER BAHAN'!$B$5:$B$504,MATCH(C291,'MASTER BAHAN'!$A$5:$A$504,0))))</f>
        <v/>
      </c>
      <c r="G291" s="0" t="str">
        <f aca="false">IF(C291="","",IF(COUNTIFS('MASTER BAHAN'!$A$5:$A$504,C291)=0,"BELUM ADA",INDEX('MASTER BAHAN'!$D$5:$D$504,MATCH(C291,'MASTER BAHAN'!$A$5:$A$504,0))))</f>
        <v/>
      </c>
      <c r="M291" s="0" t="str">
        <f aca="false">IF(A291="","",IF(E291&lt;&gt;"Waste",0,IF(NOT(ISNUMBER(L291)),"ISI BIAYA WASTE",IF(K291="Disetujui",ROUND(F291*L291,0),0))))</f>
        <v/>
      </c>
    </row>
    <row r="292" customFormat="false" ht="15" hidden="false" customHeight="false" outlineLevel="0" collapsed="false">
      <c r="D292" s="0" t="str">
        <f aca="false">IF(C292="","",IF(COUNTIFS('MASTER BAHAN'!$A$5:$A$504,C292)=0,"BELUM ADA",INDEX('MASTER BAHAN'!$B$5:$B$504,MATCH(C292,'MASTER BAHAN'!$A$5:$A$504,0))))</f>
        <v/>
      </c>
      <c r="G292" s="0" t="str">
        <f aca="false">IF(C292="","",IF(COUNTIFS('MASTER BAHAN'!$A$5:$A$504,C292)=0,"BELUM ADA",INDEX('MASTER BAHAN'!$D$5:$D$504,MATCH(C292,'MASTER BAHAN'!$A$5:$A$504,0))))</f>
        <v/>
      </c>
      <c r="M292" s="0" t="str">
        <f aca="false">IF(A292="","",IF(E292&lt;&gt;"Waste",0,IF(NOT(ISNUMBER(L292)),"ISI BIAYA WASTE",IF(K292="Disetujui",ROUND(F292*L292,0),0))))</f>
        <v/>
      </c>
    </row>
    <row r="293" customFormat="false" ht="15" hidden="false" customHeight="false" outlineLevel="0" collapsed="false">
      <c r="D293" s="0" t="str">
        <f aca="false">IF(C293="","",IF(COUNTIFS('MASTER BAHAN'!$A$5:$A$504,C293)=0,"BELUM ADA",INDEX('MASTER BAHAN'!$B$5:$B$504,MATCH(C293,'MASTER BAHAN'!$A$5:$A$504,0))))</f>
        <v/>
      </c>
      <c r="G293" s="0" t="str">
        <f aca="false">IF(C293="","",IF(COUNTIFS('MASTER BAHAN'!$A$5:$A$504,C293)=0,"BELUM ADA",INDEX('MASTER BAHAN'!$D$5:$D$504,MATCH(C293,'MASTER BAHAN'!$A$5:$A$504,0))))</f>
        <v/>
      </c>
      <c r="M293" s="0" t="str">
        <f aca="false">IF(A293="","",IF(E293&lt;&gt;"Waste",0,IF(NOT(ISNUMBER(L293)),"ISI BIAYA WASTE",IF(K293="Disetujui",ROUND(F293*L293,0),0))))</f>
        <v/>
      </c>
    </row>
    <row r="294" customFormat="false" ht="15" hidden="false" customHeight="false" outlineLevel="0" collapsed="false">
      <c r="D294" s="0" t="str">
        <f aca="false">IF(C294="","",IF(COUNTIFS('MASTER BAHAN'!$A$5:$A$504,C294)=0,"BELUM ADA",INDEX('MASTER BAHAN'!$B$5:$B$504,MATCH(C294,'MASTER BAHAN'!$A$5:$A$504,0))))</f>
        <v/>
      </c>
      <c r="G294" s="0" t="str">
        <f aca="false">IF(C294="","",IF(COUNTIFS('MASTER BAHAN'!$A$5:$A$504,C294)=0,"BELUM ADA",INDEX('MASTER BAHAN'!$D$5:$D$504,MATCH(C294,'MASTER BAHAN'!$A$5:$A$504,0))))</f>
        <v/>
      </c>
      <c r="M294" s="0" t="str">
        <f aca="false">IF(A294="","",IF(E294&lt;&gt;"Waste",0,IF(NOT(ISNUMBER(L294)),"ISI BIAYA WASTE",IF(K294="Disetujui",ROUND(F294*L294,0),0))))</f>
        <v/>
      </c>
    </row>
    <row r="295" customFormat="false" ht="15" hidden="false" customHeight="false" outlineLevel="0" collapsed="false">
      <c r="D295" s="0" t="str">
        <f aca="false">IF(C295="","",IF(COUNTIFS('MASTER BAHAN'!$A$5:$A$504,C295)=0,"BELUM ADA",INDEX('MASTER BAHAN'!$B$5:$B$504,MATCH(C295,'MASTER BAHAN'!$A$5:$A$504,0))))</f>
        <v/>
      </c>
      <c r="G295" s="0" t="str">
        <f aca="false">IF(C295="","",IF(COUNTIFS('MASTER BAHAN'!$A$5:$A$504,C295)=0,"BELUM ADA",INDEX('MASTER BAHAN'!$D$5:$D$504,MATCH(C295,'MASTER BAHAN'!$A$5:$A$504,0))))</f>
        <v/>
      </c>
      <c r="M295" s="0" t="str">
        <f aca="false">IF(A295="","",IF(E295&lt;&gt;"Waste",0,IF(NOT(ISNUMBER(L295)),"ISI BIAYA WASTE",IF(K295="Disetujui",ROUND(F295*L295,0),0))))</f>
        <v/>
      </c>
    </row>
    <row r="296" customFormat="false" ht="15" hidden="false" customHeight="false" outlineLevel="0" collapsed="false">
      <c r="D296" s="0" t="str">
        <f aca="false">IF(C296="","",IF(COUNTIFS('MASTER BAHAN'!$A$5:$A$504,C296)=0,"BELUM ADA",INDEX('MASTER BAHAN'!$B$5:$B$504,MATCH(C296,'MASTER BAHAN'!$A$5:$A$504,0))))</f>
        <v/>
      </c>
      <c r="G296" s="0" t="str">
        <f aca="false">IF(C296="","",IF(COUNTIFS('MASTER BAHAN'!$A$5:$A$504,C296)=0,"BELUM ADA",INDEX('MASTER BAHAN'!$D$5:$D$504,MATCH(C296,'MASTER BAHAN'!$A$5:$A$504,0))))</f>
        <v/>
      </c>
      <c r="M296" s="0" t="str">
        <f aca="false">IF(A296="","",IF(E296&lt;&gt;"Waste",0,IF(NOT(ISNUMBER(L296)),"ISI BIAYA WASTE",IF(K296="Disetujui",ROUND(F296*L296,0),0))))</f>
        <v/>
      </c>
    </row>
    <row r="297" customFormat="false" ht="15" hidden="false" customHeight="false" outlineLevel="0" collapsed="false">
      <c r="D297" s="0" t="str">
        <f aca="false">IF(C297="","",IF(COUNTIFS('MASTER BAHAN'!$A$5:$A$504,C297)=0,"BELUM ADA",INDEX('MASTER BAHAN'!$B$5:$B$504,MATCH(C297,'MASTER BAHAN'!$A$5:$A$504,0))))</f>
        <v/>
      </c>
      <c r="G297" s="0" t="str">
        <f aca="false">IF(C297="","",IF(COUNTIFS('MASTER BAHAN'!$A$5:$A$504,C297)=0,"BELUM ADA",INDEX('MASTER BAHAN'!$D$5:$D$504,MATCH(C297,'MASTER BAHAN'!$A$5:$A$504,0))))</f>
        <v/>
      </c>
      <c r="M297" s="0" t="str">
        <f aca="false">IF(A297="","",IF(E297&lt;&gt;"Waste",0,IF(NOT(ISNUMBER(L297)),"ISI BIAYA WASTE",IF(K297="Disetujui",ROUND(F297*L297,0),0))))</f>
        <v/>
      </c>
    </row>
    <row r="298" customFormat="false" ht="15" hidden="false" customHeight="false" outlineLevel="0" collapsed="false">
      <c r="D298" s="0" t="str">
        <f aca="false">IF(C298="","",IF(COUNTIFS('MASTER BAHAN'!$A$5:$A$504,C298)=0,"BELUM ADA",INDEX('MASTER BAHAN'!$B$5:$B$504,MATCH(C298,'MASTER BAHAN'!$A$5:$A$504,0))))</f>
        <v/>
      </c>
      <c r="G298" s="0" t="str">
        <f aca="false">IF(C298="","",IF(COUNTIFS('MASTER BAHAN'!$A$5:$A$504,C298)=0,"BELUM ADA",INDEX('MASTER BAHAN'!$D$5:$D$504,MATCH(C298,'MASTER BAHAN'!$A$5:$A$504,0))))</f>
        <v/>
      </c>
      <c r="M298" s="0" t="str">
        <f aca="false">IF(A298="","",IF(E298&lt;&gt;"Waste",0,IF(NOT(ISNUMBER(L298)),"ISI BIAYA WASTE",IF(K298="Disetujui",ROUND(F298*L298,0),0))))</f>
        <v/>
      </c>
    </row>
    <row r="299" customFormat="false" ht="15" hidden="false" customHeight="false" outlineLevel="0" collapsed="false">
      <c r="D299" s="0" t="str">
        <f aca="false">IF(C299="","",IF(COUNTIFS('MASTER BAHAN'!$A$5:$A$504,C299)=0,"BELUM ADA",INDEX('MASTER BAHAN'!$B$5:$B$504,MATCH(C299,'MASTER BAHAN'!$A$5:$A$504,0))))</f>
        <v/>
      </c>
      <c r="G299" s="0" t="str">
        <f aca="false">IF(C299="","",IF(COUNTIFS('MASTER BAHAN'!$A$5:$A$504,C299)=0,"BELUM ADA",INDEX('MASTER BAHAN'!$D$5:$D$504,MATCH(C299,'MASTER BAHAN'!$A$5:$A$504,0))))</f>
        <v/>
      </c>
      <c r="M299" s="0" t="str">
        <f aca="false">IF(A299="","",IF(E299&lt;&gt;"Waste",0,IF(NOT(ISNUMBER(L299)),"ISI BIAYA WASTE",IF(K299="Disetujui",ROUND(F299*L299,0),0))))</f>
        <v/>
      </c>
    </row>
    <row r="300" customFormat="false" ht="15" hidden="false" customHeight="false" outlineLevel="0" collapsed="false">
      <c r="D300" s="0" t="str">
        <f aca="false">IF(C300="","",IF(COUNTIFS('MASTER BAHAN'!$A$5:$A$504,C300)=0,"BELUM ADA",INDEX('MASTER BAHAN'!$B$5:$B$504,MATCH(C300,'MASTER BAHAN'!$A$5:$A$504,0))))</f>
        <v/>
      </c>
      <c r="G300" s="0" t="str">
        <f aca="false">IF(C300="","",IF(COUNTIFS('MASTER BAHAN'!$A$5:$A$504,C300)=0,"BELUM ADA",INDEX('MASTER BAHAN'!$D$5:$D$504,MATCH(C300,'MASTER BAHAN'!$A$5:$A$504,0))))</f>
        <v/>
      </c>
      <c r="M300" s="0" t="str">
        <f aca="false">IF(A300="","",IF(E300&lt;&gt;"Waste",0,IF(NOT(ISNUMBER(L300)),"ISI BIAYA WASTE",IF(K300="Disetujui",ROUND(F300*L300,0),0))))</f>
        <v/>
      </c>
    </row>
    <row r="301" customFormat="false" ht="15" hidden="false" customHeight="false" outlineLevel="0" collapsed="false">
      <c r="D301" s="0" t="str">
        <f aca="false">IF(C301="","",IF(COUNTIFS('MASTER BAHAN'!$A$5:$A$504,C301)=0,"BELUM ADA",INDEX('MASTER BAHAN'!$B$5:$B$504,MATCH(C301,'MASTER BAHAN'!$A$5:$A$504,0))))</f>
        <v/>
      </c>
      <c r="G301" s="0" t="str">
        <f aca="false">IF(C301="","",IF(COUNTIFS('MASTER BAHAN'!$A$5:$A$504,C301)=0,"BELUM ADA",INDEX('MASTER BAHAN'!$D$5:$D$504,MATCH(C301,'MASTER BAHAN'!$A$5:$A$504,0))))</f>
        <v/>
      </c>
      <c r="M301" s="0" t="str">
        <f aca="false">IF(A301="","",IF(E301&lt;&gt;"Waste",0,IF(NOT(ISNUMBER(L301)),"ISI BIAYA WASTE",IF(K301="Disetujui",ROUND(F301*L301,0),0))))</f>
        <v/>
      </c>
    </row>
    <row r="302" customFormat="false" ht="15" hidden="false" customHeight="false" outlineLevel="0" collapsed="false">
      <c r="D302" s="0" t="str">
        <f aca="false">IF(C302="","",IF(COUNTIFS('MASTER BAHAN'!$A$5:$A$504,C302)=0,"BELUM ADA",INDEX('MASTER BAHAN'!$B$5:$B$504,MATCH(C302,'MASTER BAHAN'!$A$5:$A$504,0))))</f>
        <v/>
      </c>
      <c r="G302" s="0" t="str">
        <f aca="false">IF(C302="","",IF(COUNTIFS('MASTER BAHAN'!$A$5:$A$504,C302)=0,"BELUM ADA",INDEX('MASTER BAHAN'!$D$5:$D$504,MATCH(C302,'MASTER BAHAN'!$A$5:$A$504,0))))</f>
        <v/>
      </c>
      <c r="M302" s="0" t="str">
        <f aca="false">IF(A302="","",IF(E302&lt;&gt;"Waste",0,IF(NOT(ISNUMBER(L302)),"ISI BIAYA WASTE",IF(K302="Disetujui",ROUND(F302*L302,0),0))))</f>
        <v/>
      </c>
    </row>
    <row r="303" customFormat="false" ht="15" hidden="false" customHeight="false" outlineLevel="0" collapsed="false">
      <c r="D303" s="0" t="str">
        <f aca="false">IF(C303="","",IF(COUNTIFS('MASTER BAHAN'!$A$5:$A$504,C303)=0,"BELUM ADA",INDEX('MASTER BAHAN'!$B$5:$B$504,MATCH(C303,'MASTER BAHAN'!$A$5:$A$504,0))))</f>
        <v/>
      </c>
      <c r="G303" s="0" t="str">
        <f aca="false">IF(C303="","",IF(COUNTIFS('MASTER BAHAN'!$A$5:$A$504,C303)=0,"BELUM ADA",INDEX('MASTER BAHAN'!$D$5:$D$504,MATCH(C303,'MASTER BAHAN'!$A$5:$A$504,0))))</f>
        <v/>
      </c>
      <c r="M303" s="0" t="str">
        <f aca="false">IF(A303="","",IF(E303&lt;&gt;"Waste",0,IF(NOT(ISNUMBER(L303)),"ISI BIAYA WASTE",IF(K303="Disetujui",ROUND(F303*L303,0),0))))</f>
        <v/>
      </c>
    </row>
    <row r="304" customFormat="false" ht="15" hidden="false" customHeight="false" outlineLevel="0" collapsed="false">
      <c r="D304" s="0" t="str">
        <f aca="false">IF(C304="","",IF(COUNTIFS('MASTER BAHAN'!$A$5:$A$504,C304)=0,"BELUM ADA",INDEX('MASTER BAHAN'!$B$5:$B$504,MATCH(C304,'MASTER BAHAN'!$A$5:$A$504,0))))</f>
        <v/>
      </c>
      <c r="G304" s="0" t="str">
        <f aca="false">IF(C304="","",IF(COUNTIFS('MASTER BAHAN'!$A$5:$A$504,C304)=0,"BELUM ADA",INDEX('MASTER BAHAN'!$D$5:$D$504,MATCH(C304,'MASTER BAHAN'!$A$5:$A$504,0))))</f>
        <v/>
      </c>
      <c r="M304" s="0" t="str">
        <f aca="false">IF(A304="","",IF(E304&lt;&gt;"Waste",0,IF(NOT(ISNUMBER(L304)),"ISI BIAYA WASTE",IF(K304="Disetujui",ROUND(F304*L304,0),0))))</f>
        <v/>
      </c>
    </row>
    <row r="305" customFormat="false" ht="15" hidden="false" customHeight="false" outlineLevel="0" collapsed="false">
      <c r="D305" s="0" t="str">
        <f aca="false">IF(C305="","",IF(COUNTIFS('MASTER BAHAN'!$A$5:$A$504,C305)=0,"BELUM ADA",INDEX('MASTER BAHAN'!$B$5:$B$504,MATCH(C305,'MASTER BAHAN'!$A$5:$A$504,0))))</f>
        <v/>
      </c>
      <c r="G305" s="0" t="str">
        <f aca="false">IF(C305="","",IF(COUNTIFS('MASTER BAHAN'!$A$5:$A$504,C305)=0,"BELUM ADA",INDEX('MASTER BAHAN'!$D$5:$D$504,MATCH(C305,'MASTER BAHAN'!$A$5:$A$504,0))))</f>
        <v/>
      </c>
      <c r="M305" s="0" t="str">
        <f aca="false">IF(A305="","",IF(E305&lt;&gt;"Waste",0,IF(NOT(ISNUMBER(L305)),"ISI BIAYA WASTE",IF(K305="Disetujui",ROUND(F305*L305,0),0))))</f>
        <v/>
      </c>
    </row>
    <row r="306" customFormat="false" ht="15" hidden="false" customHeight="false" outlineLevel="0" collapsed="false">
      <c r="D306" s="0" t="str">
        <f aca="false">IF(C306="","",IF(COUNTIFS('MASTER BAHAN'!$A$5:$A$504,C306)=0,"BELUM ADA",INDEX('MASTER BAHAN'!$B$5:$B$504,MATCH(C306,'MASTER BAHAN'!$A$5:$A$504,0))))</f>
        <v/>
      </c>
      <c r="G306" s="0" t="str">
        <f aca="false">IF(C306="","",IF(COUNTIFS('MASTER BAHAN'!$A$5:$A$504,C306)=0,"BELUM ADA",INDEX('MASTER BAHAN'!$D$5:$D$504,MATCH(C306,'MASTER BAHAN'!$A$5:$A$504,0))))</f>
        <v/>
      </c>
      <c r="M306" s="0" t="str">
        <f aca="false">IF(A306="","",IF(E306&lt;&gt;"Waste",0,IF(NOT(ISNUMBER(L306)),"ISI BIAYA WASTE",IF(K306="Disetujui",ROUND(F306*L306,0),0))))</f>
        <v/>
      </c>
    </row>
    <row r="307" customFormat="false" ht="15" hidden="false" customHeight="false" outlineLevel="0" collapsed="false">
      <c r="D307" s="0" t="str">
        <f aca="false">IF(C307="","",IF(COUNTIFS('MASTER BAHAN'!$A$5:$A$504,C307)=0,"BELUM ADA",INDEX('MASTER BAHAN'!$B$5:$B$504,MATCH(C307,'MASTER BAHAN'!$A$5:$A$504,0))))</f>
        <v/>
      </c>
      <c r="G307" s="0" t="str">
        <f aca="false">IF(C307="","",IF(COUNTIFS('MASTER BAHAN'!$A$5:$A$504,C307)=0,"BELUM ADA",INDEX('MASTER BAHAN'!$D$5:$D$504,MATCH(C307,'MASTER BAHAN'!$A$5:$A$504,0))))</f>
        <v/>
      </c>
      <c r="M307" s="0" t="str">
        <f aca="false">IF(A307="","",IF(E307&lt;&gt;"Waste",0,IF(NOT(ISNUMBER(L307)),"ISI BIAYA WASTE",IF(K307="Disetujui",ROUND(F307*L307,0),0))))</f>
        <v/>
      </c>
    </row>
    <row r="308" customFormat="false" ht="15" hidden="false" customHeight="false" outlineLevel="0" collapsed="false">
      <c r="D308" s="0" t="str">
        <f aca="false">IF(C308="","",IF(COUNTIFS('MASTER BAHAN'!$A$5:$A$504,C308)=0,"BELUM ADA",INDEX('MASTER BAHAN'!$B$5:$B$504,MATCH(C308,'MASTER BAHAN'!$A$5:$A$504,0))))</f>
        <v/>
      </c>
      <c r="G308" s="0" t="str">
        <f aca="false">IF(C308="","",IF(COUNTIFS('MASTER BAHAN'!$A$5:$A$504,C308)=0,"BELUM ADA",INDEX('MASTER BAHAN'!$D$5:$D$504,MATCH(C308,'MASTER BAHAN'!$A$5:$A$504,0))))</f>
        <v/>
      </c>
      <c r="M308" s="0" t="str">
        <f aca="false">IF(A308="","",IF(E308&lt;&gt;"Waste",0,IF(NOT(ISNUMBER(L308)),"ISI BIAYA WASTE",IF(K308="Disetujui",ROUND(F308*L308,0),0))))</f>
        <v/>
      </c>
    </row>
    <row r="309" customFormat="false" ht="15" hidden="false" customHeight="false" outlineLevel="0" collapsed="false">
      <c r="D309" s="0" t="str">
        <f aca="false">IF(C309="","",IF(COUNTIFS('MASTER BAHAN'!$A$5:$A$504,C309)=0,"BELUM ADA",INDEX('MASTER BAHAN'!$B$5:$B$504,MATCH(C309,'MASTER BAHAN'!$A$5:$A$504,0))))</f>
        <v/>
      </c>
      <c r="G309" s="0" t="str">
        <f aca="false">IF(C309="","",IF(COUNTIFS('MASTER BAHAN'!$A$5:$A$504,C309)=0,"BELUM ADA",INDEX('MASTER BAHAN'!$D$5:$D$504,MATCH(C309,'MASTER BAHAN'!$A$5:$A$504,0))))</f>
        <v/>
      </c>
      <c r="M309" s="0" t="str">
        <f aca="false">IF(A309="","",IF(E309&lt;&gt;"Waste",0,IF(NOT(ISNUMBER(L309)),"ISI BIAYA WASTE",IF(K309="Disetujui",ROUND(F309*L309,0),0))))</f>
        <v/>
      </c>
    </row>
    <row r="310" customFormat="false" ht="15" hidden="false" customHeight="false" outlineLevel="0" collapsed="false">
      <c r="D310" s="0" t="str">
        <f aca="false">IF(C310="","",IF(COUNTIFS('MASTER BAHAN'!$A$5:$A$504,C310)=0,"BELUM ADA",INDEX('MASTER BAHAN'!$B$5:$B$504,MATCH(C310,'MASTER BAHAN'!$A$5:$A$504,0))))</f>
        <v/>
      </c>
      <c r="G310" s="0" t="str">
        <f aca="false">IF(C310="","",IF(COUNTIFS('MASTER BAHAN'!$A$5:$A$504,C310)=0,"BELUM ADA",INDEX('MASTER BAHAN'!$D$5:$D$504,MATCH(C310,'MASTER BAHAN'!$A$5:$A$504,0))))</f>
        <v/>
      </c>
      <c r="M310" s="0" t="str">
        <f aca="false">IF(A310="","",IF(E310&lt;&gt;"Waste",0,IF(NOT(ISNUMBER(L310)),"ISI BIAYA WASTE",IF(K310="Disetujui",ROUND(F310*L310,0),0))))</f>
        <v/>
      </c>
    </row>
    <row r="311" customFormat="false" ht="15" hidden="false" customHeight="false" outlineLevel="0" collapsed="false">
      <c r="D311" s="0" t="str">
        <f aca="false">IF(C311="","",IF(COUNTIFS('MASTER BAHAN'!$A$5:$A$504,C311)=0,"BELUM ADA",INDEX('MASTER BAHAN'!$B$5:$B$504,MATCH(C311,'MASTER BAHAN'!$A$5:$A$504,0))))</f>
        <v/>
      </c>
      <c r="G311" s="0" t="str">
        <f aca="false">IF(C311="","",IF(COUNTIFS('MASTER BAHAN'!$A$5:$A$504,C311)=0,"BELUM ADA",INDEX('MASTER BAHAN'!$D$5:$D$504,MATCH(C311,'MASTER BAHAN'!$A$5:$A$504,0))))</f>
        <v/>
      </c>
      <c r="M311" s="0" t="str">
        <f aca="false">IF(A311="","",IF(E311&lt;&gt;"Waste",0,IF(NOT(ISNUMBER(L311)),"ISI BIAYA WASTE",IF(K311="Disetujui",ROUND(F311*L311,0),0))))</f>
        <v/>
      </c>
    </row>
    <row r="312" customFormat="false" ht="15" hidden="false" customHeight="false" outlineLevel="0" collapsed="false">
      <c r="D312" s="0" t="str">
        <f aca="false">IF(C312="","",IF(COUNTIFS('MASTER BAHAN'!$A$5:$A$504,C312)=0,"BELUM ADA",INDEX('MASTER BAHAN'!$B$5:$B$504,MATCH(C312,'MASTER BAHAN'!$A$5:$A$504,0))))</f>
        <v/>
      </c>
      <c r="G312" s="0" t="str">
        <f aca="false">IF(C312="","",IF(COUNTIFS('MASTER BAHAN'!$A$5:$A$504,C312)=0,"BELUM ADA",INDEX('MASTER BAHAN'!$D$5:$D$504,MATCH(C312,'MASTER BAHAN'!$A$5:$A$504,0))))</f>
        <v/>
      </c>
      <c r="M312" s="0" t="str">
        <f aca="false">IF(A312="","",IF(E312&lt;&gt;"Waste",0,IF(NOT(ISNUMBER(L312)),"ISI BIAYA WASTE",IF(K312="Disetujui",ROUND(F312*L312,0),0))))</f>
        <v/>
      </c>
    </row>
    <row r="313" customFormat="false" ht="15" hidden="false" customHeight="false" outlineLevel="0" collapsed="false">
      <c r="D313" s="0" t="str">
        <f aca="false">IF(C313="","",IF(COUNTIFS('MASTER BAHAN'!$A$5:$A$504,C313)=0,"BELUM ADA",INDEX('MASTER BAHAN'!$B$5:$B$504,MATCH(C313,'MASTER BAHAN'!$A$5:$A$504,0))))</f>
        <v/>
      </c>
      <c r="G313" s="0" t="str">
        <f aca="false">IF(C313="","",IF(COUNTIFS('MASTER BAHAN'!$A$5:$A$504,C313)=0,"BELUM ADA",INDEX('MASTER BAHAN'!$D$5:$D$504,MATCH(C313,'MASTER BAHAN'!$A$5:$A$504,0))))</f>
        <v/>
      </c>
      <c r="M313" s="0" t="str">
        <f aca="false">IF(A313="","",IF(E313&lt;&gt;"Waste",0,IF(NOT(ISNUMBER(L313)),"ISI BIAYA WASTE",IF(K313="Disetujui",ROUND(F313*L313,0),0))))</f>
        <v/>
      </c>
    </row>
    <row r="314" customFormat="false" ht="15" hidden="false" customHeight="false" outlineLevel="0" collapsed="false">
      <c r="D314" s="0" t="str">
        <f aca="false">IF(C314="","",IF(COUNTIFS('MASTER BAHAN'!$A$5:$A$504,C314)=0,"BELUM ADA",INDEX('MASTER BAHAN'!$B$5:$B$504,MATCH(C314,'MASTER BAHAN'!$A$5:$A$504,0))))</f>
        <v/>
      </c>
      <c r="G314" s="0" t="str">
        <f aca="false">IF(C314="","",IF(COUNTIFS('MASTER BAHAN'!$A$5:$A$504,C314)=0,"BELUM ADA",INDEX('MASTER BAHAN'!$D$5:$D$504,MATCH(C314,'MASTER BAHAN'!$A$5:$A$504,0))))</f>
        <v/>
      </c>
      <c r="M314" s="0" t="str">
        <f aca="false">IF(A314="","",IF(E314&lt;&gt;"Waste",0,IF(NOT(ISNUMBER(L314)),"ISI BIAYA WASTE",IF(K314="Disetujui",ROUND(F314*L314,0),0))))</f>
        <v/>
      </c>
    </row>
    <row r="315" customFormat="false" ht="15" hidden="false" customHeight="false" outlineLevel="0" collapsed="false">
      <c r="D315" s="0" t="str">
        <f aca="false">IF(C315="","",IF(COUNTIFS('MASTER BAHAN'!$A$5:$A$504,C315)=0,"BELUM ADA",INDEX('MASTER BAHAN'!$B$5:$B$504,MATCH(C315,'MASTER BAHAN'!$A$5:$A$504,0))))</f>
        <v/>
      </c>
      <c r="G315" s="0" t="str">
        <f aca="false">IF(C315="","",IF(COUNTIFS('MASTER BAHAN'!$A$5:$A$504,C315)=0,"BELUM ADA",INDEX('MASTER BAHAN'!$D$5:$D$504,MATCH(C315,'MASTER BAHAN'!$A$5:$A$504,0))))</f>
        <v/>
      </c>
      <c r="M315" s="0" t="str">
        <f aca="false">IF(A315="","",IF(E315&lt;&gt;"Waste",0,IF(NOT(ISNUMBER(L315)),"ISI BIAYA WASTE",IF(K315="Disetujui",ROUND(F315*L315,0),0))))</f>
        <v/>
      </c>
    </row>
    <row r="316" customFormat="false" ht="15" hidden="false" customHeight="false" outlineLevel="0" collapsed="false">
      <c r="D316" s="0" t="str">
        <f aca="false">IF(C316="","",IF(COUNTIFS('MASTER BAHAN'!$A$5:$A$504,C316)=0,"BELUM ADA",INDEX('MASTER BAHAN'!$B$5:$B$504,MATCH(C316,'MASTER BAHAN'!$A$5:$A$504,0))))</f>
        <v/>
      </c>
      <c r="G316" s="0" t="str">
        <f aca="false">IF(C316="","",IF(COUNTIFS('MASTER BAHAN'!$A$5:$A$504,C316)=0,"BELUM ADA",INDEX('MASTER BAHAN'!$D$5:$D$504,MATCH(C316,'MASTER BAHAN'!$A$5:$A$504,0))))</f>
        <v/>
      </c>
      <c r="M316" s="0" t="str">
        <f aca="false">IF(A316="","",IF(E316&lt;&gt;"Waste",0,IF(NOT(ISNUMBER(L316)),"ISI BIAYA WASTE",IF(K316="Disetujui",ROUND(F316*L316,0),0))))</f>
        <v/>
      </c>
    </row>
    <row r="317" customFormat="false" ht="15" hidden="false" customHeight="false" outlineLevel="0" collapsed="false">
      <c r="D317" s="0" t="str">
        <f aca="false">IF(C317="","",IF(COUNTIFS('MASTER BAHAN'!$A$5:$A$504,C317)=0,"BELUM ADA",INDEX('MASTER BAHAN'!$B$5:$B$504,MATCH(C317,'MASTER BAHAN'!$A$5:$A$504,0))))</f>
        <v/>
      </c>
      <c r="G317" s="0" t="str">
        <f aca="false">IF(C317="","",IF(COUNTIFS('MASTER BAHAN'!$A$5:$A$504,C317)=0,"BELUM ADA",INDEX('MASTER BAHAN'!$D$5:$D$504,MATCH(C317,'MASTER BAHAN'!$A$5:$A$504,0))))</f>
        <v/>
      </c>
      <c r="M317" s="0" t="str">
        <f aca="false">IF(A317="","",IF(E317&lt;&gt;"Waste",0,IF(NOT(ISNUMBER(L317)),"ISI BIAYA WASTE",IF(K317="Disetujui",ROUND(F317*L317,0),0))))</f>
        <v/>
      </c>
    </row>
    <row r="318" customFormat="false" ht="15" hidden="false" customHeight="false" outlineLevel="0" collapsed="false">
      <c r="D318" s="0" t="str">
        <f aca="false">IF(C318="","",IF(COUNTIFS('MASTER BAHAN'!$A$5:$A$504,C318)=0,"BELUM ADA",INDEX('MASTER BAHAN'!$B$5:$B$504,MATCH(C318,'MASTER BAHAN'!$A$5:$A$504,0))))</f>
        <v/>
      </c>
      <c r="G318" s="0" t="str">
        <f aca="false">IF(C318="","",IF(COUNTIFS('MASTER BAHAN'!$A$5:$A$504,C318)=0,"BELUM ADA",INDEX('MASTER BAHAN'!$D$5:$D$504,MATCH(C318,'MASTER BAHAN'!$A$5:$A$504,0))))</f>
        <v/>
      </c>
      <c r="M318" s="0" t="str">
        <f aca="false">IF(A318="","",IF(E318&lt;&gt;"Waste",0,IF(NOT(ISNUMBER(L318)),"ISI BIAYA WASTE",IF(K318="Disetujui",ROUND(F318*L318,0),0))))</f>
        <v/>
      </c>
    </row>
    <row r="319" customFormat="false" ht="15" hidden="false" customHeight="false" outlineLevel="0" collapsed="false">
      <c r="D319" s="0" t="str">
        <f aca="false">IF(C319="","",IF(COUNTIFS('MASTER BAHAN'!$A$5:$A$504,C319)=0,"BELUM ADA",INDEX('MASTER BAHAN'!$B$5:$B$504,MATCH(C319,'MASTER BAHAN'!$A$5:$A$504,0))))</f>
        <v/>
      </c>
      <c r="G319" s="0" t="str">
        <f aca="false">IF(C319="","",IF(COUNTIFS('MASTER BAHAN'!$A$5:$A$504,C319)=0,"BELUM ADA",INDEX('MASTER BAHAN'!$D$5:$D$504,MATCH(C319,'MASTER BAHAN'!$A$5:$A$504,0))))</f>
        <v/>
      </c>
      <c r="M319" s="0" t="str">
        <f aca="false">IF(A319="","",IF(E319&lt;&gt;"Waste",0,IF(NOT(ISNUMBER(L319)),"ISI BIAYA WASTE",IF(K319="Disetujui",ROUND(F319*L319,0),0))))</f>
        <v/>
      </c>
    </row>
    <row r="320" customFormat="false" ht="15" hidden="false" customHeight="false" outlineLevel="0" collapsed="false">
      <c r="D320" s="0" t="str">
        <f aca="false">IF(C320="","",IF(COUNTIFS('MASTER BAHAN'!$A$5:$A$504,C320)=0,"BELUM ADA",INDEX('MASTER BAHAN'!$B$5:$B$504,MATCH(C320,'MASTER BAHAN'!$A$5:$A$504,0))))</f>
        <v/>
      </c>
      <c r="G320" s="0" t="str">
        <f aca="false">IF(C320="","",IF(COUNTIFS('MASTER BAHAN'!$A$5:$A$504,C320)=0,"BELUM ADA",INDEX('MASTER BAHAN'!$D$5:$D$504,MATCH(C320,'MASTER BAHAN'!$A$5:$A$504,0))))</f>
        <v/>
      </c>
      <c r="M320" s="0" t="str">
        <f aca="false">IF(A320="","",IF(E320&lt;&gt;"Waste",0,IF(NOT(ISNUMBER(L320)),"ISI BIAYA WASTE",IF(K320="Disetujui",ROUND(F320*L320,0),0))))</f>
        <v/>
      </c>
    </row>
    <row r="321" customFormat="false" ht="15" hidden="false" customHeight="false" outlineLevel="0" collapsed="false">
      <c r="D321" s="0" t="str">
        <f aca="false">IF(C321="","",IF(COUNTIFS('MASTER BAHAN'!$A$5:$A$504,C321)=0,"BELUM ADA",INDEX('MASTER BAHAN'!$B$5:$B$504,MATCH(C321,'MASTER BAHAN'!$A$5:$A$504,0))))</f>
        <v/>
      </c>
      <c r="G321" s="0" t="str">
        <f aca="false">IF(C321="","",IF(COUNTIFS('MASTER BAHAN'!$A$5:$A$504,C321)=0,"BELUM ADA",INDEX('MASTER BAHAN'!$D$5:$D$504,MATCH(C321,'MASTER BAHAN'!$A$5:$A$504,0))))</f>
        <v/>
      </c>
      <c r="M321" s="0" t="str">
        <f aca="false">IF(A321="","",IF(E321&lt;&gt;"Waste",0,IF(NOT(ISNUMBER(L321)),"ISI BIAYA WASTE",IF(K321="Disetujui",ROUND(F321*L321,0),0))))</f>
        <v/>
      </c>
    </row>
    <row r="322" customFormat="false" ht="15" hidden="false" customHeight="false" outlineLevel="0" collapsed="false">
      <c r="D322" s="0" t="str">
        <f aca="false">IF(C322="","",IF(COUNTIFS('MASTER BAHAN'!$A$5:$A$504,C322)=0,"BELUM ADA",INDEX('MASTER BAHAN'!$B$5:$B$504,MATCH(C322,'MASTER BAHAN'!$A$5:$A$504,0))))</f>
        <v/>
      </c>
      <c r="G322" s="0" t="str">
        <f aca="false">IF(C322="","",IF(COUNTIFS('MASTER BAHAN'!$A$5:$A$504,C322)=0,"BELUM ADA",INDEX('MASTER BAHAN'!$D$5:$D$504,MATCH(C322,'MASTER BAHAN'!$A$5:$A$504,0))))</f>
        <v/>
      </c>
      <c r="M322" s="0" t="str">
        <f aca="false">IF(A322="","",IF(E322&lt;&gt;"Waste",0,IF(NOT(ISNUMBER(L322)),"ISI BIAYA WASTE",IF(K322="Disetujui",ROUND(F322*L322,0),0))))</f>
        <v/>
      </c>
    </row>
    <row r="323" customFormat="false" ht="15" hidden="false" customHeight="false" outlineLevel="0" collapsed="false">
      <c r="D323" s="0" t="str">
        <f aca="false">IF(C323="","",IF(COUNTIFS('MASTER BAHAN'!$A$5:$A$504,C323)=0,"BELUM ADA",INDEX('MASTER BAHAN'!$B$5:$B$504,MATCH(C323,'MASTER BAHAN'!$A$5:$A$504,0))))</f>
        <v/>
      </c>
      <c r="G323" s="0" t="str">
        <f aca="false">IF(C323="","",IF(COUNTIFS('MASTER BAHAN'!$A$5:$A$504,C323)=0,"BELUM ADA",INDEX('MASTER BAHAN'!$D$5:$D$504,MATCH(C323,'MASTER BAHAN'!$A$5:$A$504,0))))</f>
        <v/>
      </c>
      <c r="M323" s="0" t="str">
        <f aca="false">IF(A323="","",IF(E323&lt;&gt;"Waste",0,IF(NOT(ISNUMBER(L323)),"ISI BIAYA WASTE",IF(K323="Disetujui",ROUND(F323*L323,0),0))))</f>
        <v/>
      </c>
    </row>
    <row r="324" customFormat="false" ht="15" hidden="false" customHeight="false" outlineLevel="0" collapsed="false">
      <c r="D324" s="0" t="str">
        <f aca="false">IF(C324="","",IF(COUNTIFS('MASTER BAHAN'!$A$5:$A$504,C324)=0,"BELUM ADA",INDEX('MASTER BAHAN'!$B$5:$B$504,MATCH(C324,'MASTER BAHAN'!$A$5:$A$504,0))))</f>
        <v/>
      </c>
      <c r="G324" s="0" t="str">
        <f aca="false">IF(C324="","",IF(COUNTIFS('MASTER BAHAN'!$A$5:$A$504,C324)=0,"BELUM ADA",INDEX('MASTER BAHAN'!$D$5:$D$504,MATCH(C324,'MASTER BAHAN'!$A$5:$A$504,0))))</f>
        <v/>
      </c>
      <c r="M324" s="0" t="str">
        <f aca="false">IF(A324="","",IF(E324&lt;&gt;"Waste",0,IF(NOT(ISNUMBER(L324)),"ISI BIAYA WASTE",IF(K324="Disetujui",ROUND(F324*L324,0),0))))</f>
        <v/>
      </c>
    </row>
    <row r="325" customFormat="false" ht="15" hidden="false" customHeight="false" outlineLevel="0" collapsed="false">
      <c r="D325" s="0" t="str">
        <f aca="false">IF(C325="","",IF(COUNTIFS('MASTER BAHAN'!$A$5:$A$504,C325)=0,"BELUM ADA",INDEX('MASTER BAHAN'!$B$5:$B$504,MATCH(C325,'MASTER BAHAN'!$A$5:$A$504,0))))</f>
        <v/>
      </c>
      <c r="G325" s="0" t="str">
        <f aca="false">IF(C325="","",IF(COUNTIFS('MASTER BAHAN'!$A$5:$A$504,C325)=0,"BELUM ADA",INDEX('MASTER BAHAN'!$D$5:$D$504,MATCH(C325,'MASTER BAHAN'!$A$5:$A$504,0))))</f>
        <v/>
      </c>
      <c r="M325" s="0" t="str">
        <f aca="false">IF(A325="","",IF(E325&lt;&gt;"Waste",0,IF(NOT(ISNUMBER(L325)),"ISI BIAYA WASTE",IF(K325="Disetujui",ROUND(F325*L325,0),0))))</f>
        <v/>
      </c>
    </row>
    <row r="326" customFormat="false" ht="15" hidden="false" customHeight="false" outlineLevel="0" collapsed="false">
      <c r="D326" s="0" t="str">
        <f aca="false">IF(C326="","",IF(COUNTIFS('MASTER BAHAN'!$A$5:$A$504,C326)=0,"BELUM ADA",INDEX('MASTER BAHAN'!$B$5:$B$504,MATCH(C326,'MASTER BAHAN'!$A$5:$A$504,0))))</f>
        <v/>
      </c>
      <c r="G326" s="0" t="str">
        <f aca="false">IF(C326="","",IF(COUNTIFS('MASTER BAHAN'!$A$5:$A$504,C326)=0,"BELUM ADA",INDEX('MASTER BAHAN'!$D$5:$D$504,MATCH(C326,'MASTER BAHAN'!$A$5:$A$504,0))))</f>
        <v/>
      </c>
      <c r="M326" s="0" t="str">
        <f aca="false">IF(A326="","",IF(E326&lt;&gt;"Waste",0,IF(NOT(ISNUMBER(L326)),"ISI BIAYA WASTE",IF(K326="Disetujui",ROUND(F326*L326,0),0))))</f>
        <v/>
      </c>
    </row>
    <row r="327" customFormat="false" ht="15" hidden="false" customHeight="false" outlineLevel="0" collapsed="false">
      <c r="D327" s="0" t="str">
        <f aca="false">IF(C327="","",IF(COUNTIFS('MASTER BAHAN'!$A$5:$A$504,C327)=0,"BELUM ADA",INDEX('MASTER BAHAN'!$B$5:$B$504,MATCH(C327,'MASTER BAHAN'!$A$5:$A$504,0))))</f>
        <v/>
      </c>
      <c r="G327" s="0" t="str">
        <f aca="false">IF(C327="","",IF(COUNTIFS('MASTER BAHAN'!$A$5:$A$504,C327)=0,"BELUM ADA",INDEX('MASTER BAHAN'!$D$5:$D$504,MATCH(C327,'MASTER BAHAN'!$A$5:$A$504,0))))</f>
        <v/>
      </c>
      <c r="M327" s="0" t="str">
        <f aca="false">IF(A327="","",IF(E327&lt;&gt;"Waste",0,IF(NOT(ISNUMBER(L327)),"ISI BIAYA WASTE",IF(K327="Disetujui",ROUND(F327*L327,0),0))))</f>
        <v/>
      </c>
    </row>
    <row r="328" customFormat="false" ht="15" hidden="false" customHeight="false" outlineLevel="0" collapsed="false">
      <c r="D328" s="0" t="str">
        <f aca="false">IF(C328="","",IF(COUNTIFS('MASTER BAHAN'!$A$5:$A$504,C328)=0,"BELUM ADA",INDEX('MASTER BAHAN'!$B$5:$B$504,MATCH(C328,'MASTER BAHAN'!$A$5:$A$504,0))))</f>
        <v/>
      </c>
      <c r="G328" s="0" t="str">
        <f aca="false">IF(C328="","",IF(COUNTIFS('MASTER BAHAN'!$A$5:$A$504,C328)=0,"BELUM ADA",INDEX('MASTER BAHAN'!$D$5:$D$504,MATCH(C328,'MASTER BAHAN'!$A$5:$A$504,0))))</f>
        <v/>
      </c>
      <c r="M328" s="0" t="str">
        <f aca="false">IF(A328="","",IF(E328&lt;&gt;"Waste",0,IF(NOT(ISNUMBER(L328)),"ISI BIAYA WASTE",IF(K328="Disetujui",ROUND(F328*L328,0),0))))</f>
        <v/>
      </c>
    </row>
    <row r="329" customFormat="false" ht="15" hidden="false" customHeight="false" outlineLevel="0" collapsed="false">
      <c r="D329" s="0" t="str">
        <f aca="false">IF(C329="","",IF(COUNTIFS('MASTER BAHAN'!$A$5:$A$504,C329)=0,"BELUM ADA",INDEX('MASTER BAHAN'!$B$5:$B$504,MATCH(C329,'MASTER BAHAN'!$A$5:$A$504,0))))</f>
        <v/>
      </c>
      <c r="G329" s="0" t="str">
        <f aca="false">IF(C329="","",IF(COUNTIFS('MASTER BAHAN'!$A$5:$A$504,C329)=0,"BELUM ADA",INDEX('MASTER BAHAN'!$D$5:$D$504,MATCH(C329,'MASTER BAHAN'!$A$5:$A$504,0))))</f>
        <v/>
      </c>
      <c r="M329" s="0" t="str">
        <f aca="false">IF(A329="","",IF(E329&lt;&gt;"Waste",0,IF(NOT(ISNUMBER(L329)),"ISI BIAYA WASTE",IF(K329="Disetujui",ROUND(F329*L329,0),0))))</f>
        <v/>
      </c>
    </row>
    <row r="330" customFormat="false" ht="15" hidden="false" customHeight="false" outlineLevel="0" collapsed="false">
      <c r="D330" s="0" t="str">
        <f aca="false">IF(C330="","",IF(COUNTIFS('MASTER BAHAN'!$A$5:$A$504,C330)=0,"BELUM ADA",INDEX('MASTER BAHAN'!$B$5:$B$504,MATCH(C330,'MASTER BAHAN'!$A$5:$A$504,0))))</f>
        <v/>
      </c>
      <c r="G330" s="0" t="str">
        <f aca="false">IF(C330="","",IF(COUNTIFS('MASTER BAHAN'!$A$5:$A$504,C330)=0,"BELUM ADA",INDEX('MASTER BAHAN'!$D$5:$D$504,MATCH(C330,'MASTER BAHAN'!$A$5:$A$504,0))))</f>
        <v/>
      </c>
      <c r="M330" s="0" t="str">
        <f aca="false">IF(A330="","",IF(E330&lt;&gt;"Waste",0,IF(NOT(ISNUMBER(L330)),"ISI BIAYA WASTE",IF(K330="Disetujui",ROUND(F330*L330,0),0))))</f>
        <v/>
      </c>
    </row>
    <row r="331" customFormat="false" ht="15" hidden="false" customHeight="false" outlineLevel="0" collapsed="false">
      <c r="D331" s="0" t="str">
        <f aca="false">IF(C331="","",IF(COUNTIFS('MASTER BAHAN'!$A$5:$A$504,C331)=0,"BELUM ADA",INDEX('MASTER BAHAN'!$B$5:$B$504,MATCH(C331,'MASTER BAHAN'!$A$5:$A$504,0))))</f>
        <v/>
      </c>
      <c r="G331" s="0" t="str">
        <f aca="false">IF(C331="","",IF(COUNTIFS('MASTER BAHAN'!$A$5:$A$504,C331)=0,"BELUM ADA",INDEX('MASTER BAHAN'!$D$5:$D$504,MATCH(C331,'MASTER BAHAN'!$A$5:$A$504,0))))</f>
        <v/>
      </c>
      <c r="M331" s="0" t="str">
        <f aca="false">IF(A331="","",IF(E331&lt;&gt;"Waste",0,IF(NOT(ISNUMBER(L331)),"ISI BIAYA WASTE",IF(K331="Disetujui",ROUND(F331*L331,0),0))))</f>
        <v/>
      </c>
    </row>
    <row r="332" customFormat="false" ht="15" hidden="false" customHeight="false" outlineLevel="0" collapsed="false">
      <c r="D332" s="0" t="str">
        <f aca="false">IF(C332="","",IF(COUNTIFS('MASTER BAHAN'!$A$5:$A$504,C332)=0,"BELUM ADA",INDEX('MASTER BAHAN'!$B$5:$B$504,MATCH(C332,'MASTER BAHAN'!$A$5:$A$504,0))))</f>
        <v/>
      </c>
      <c r="G332" s="0" t="str">
        <f aca="false">IF(C332="","",IF(COUNTIFS('MASTER BAHAN'!$A$5:$A$504,C332)=0,"BELUM ADA",INDEX('MASTER BAHAN'!$D$5:$D$504,MATCH(C332,'MASTER BAHAN'!$A$5:$A$504,0))))</f>
        <v/>
      </c>
      <c r="M332" s="0" t="str">
        <f aca="false">IF(A332="","",IF(E332&lt;&gt;"Waste",0,IF(NOT(ISNUMBER(L332)),"ISI BIAYA WASTE",IF(K332="Disetujui",ROUND(F332*L332,0),0))))</f>
        <v/>
      </c>
    </row>
    <row r="333" customFormat="false" ht="15" hidden="false" customHeight="false" outlineLevel="0" collapsed="false">
      <c r="D333" s="0" t="str">
        <f aca="false">IF(C333="","",IF(COUNTIFS('MASTER BAHAN'!$A$5:$A$504,C333)=0,"BELUM ADA",INDEX('MASTER BAHAN'!$B$5:$B$504,MATCH(C333,'MASTER BAHAN'!$A$5:$A$504,0))))</f>
        <v/>
      </c>
      <c r="G333" s="0" t="str">
        <f aca="false">IF(C333="","",IF(COUNTIFS('MASTER BAHAN'!$A$5:$A$504,C333)=0,"BELUM ADA",INDEX('MASTER BAHAN'!$D$5:$D$504,MATCH(C333,'MASTER BAHAN'!$A$5:$A$504,0))))</f>
        <v/>
      </c>
      <c r="M333" s="0" t="str">
        <f aca="false">IF(A333="","",IF(E333&lt;&gt;"Waste",0,IF(NOT(ISNUMBER(L333)),"ISI BIAYA WASTE",IF(K333="Disetujui",ROUND(F333*L333,0),0))))</f>
        <v/>
      </c>
    </row>
    <row r="334" customFormat="false" ht="15" hidden="false" customHeight="false" outlineLevel="0" collapsed="false">
      <c r="D334" s="0" t="str">
        <f aca="false">IF(C334="","",IF(COUNTIFS('MASTER BAHAN'!$A$5:$A$504,C334)=0,"BELUM ADA",INDEX('MASTER BAHAN'!$B$5:$B$504,MATCH(C334,'MASTER BAHAN'!$A$5:$A$504,0))))</f>
        <v/>
      </c>
      <c r="G334" s="0" t="str">
        <f aca="false">IF(C334="","",IF(COUNTIFS('MASTER BAHAN'!$A$5:$A$504,C334)=0,"BELUM ADA",INDEX('MASTER BAHAN'!$D$5:$D$504,MATCH(C334,'MASTER BAHAN'!$A$5:$A$504,0))))</f>
        <v/>
      </c>
      <c r="M334" s="0" t="str">
        <f aca="false">IF(A334="","",IF(E334&lt;&gt;"Waste",0,IF(NOT(ISNUMBER(L334)),"ISI BIAYA WASTE",IF(K334="Disetujui",ROUND(F334*L334,0),0))))</f>
        <v/>
      </c>
    </row>
    <row r="335" customFormat="false" ht="15" hidden="false" customHeight="false" outlineLevel="0" collapsed="false">
      <c r="D335" s="0" t="str">
        <f aca="false">IF(C335="","",IF(COUNTIFS('MASTER BAHAN'!$A$5:$A$504,C335)=0,"BELUM ADA",INDEX('MASTER BAHAN'!$B$5:$B$504,MATCH(C335,'MASTER BAHAN'!$A$5:$A$504,0))))</f>
        <v/>
      </c>
      <c r="G335" s="0" t="str">
        <f aca="false">IF(C335="","",IF(COUNTIFS('MASTER BAHAN'!$A$5:$A$504,C335)=0,"BELUM ADA",INDEX('MASTER BAHAN'!$D$5:$D$504,MATCH(C335,'MASTER BAHAN'!$A$5:$A$504,0))))</f>
        <v/>
      </c>
      <c r="M335" s="0" t="str">
        <f aca="false">IF(A335="","",IF(E335&lt;&gt;"Waste",0,IF(NOT(ISNUMBER(L335)),"ISI BIAYA WASTE",IF(K335="Disetujui",ROUND(F335*L335,0),0))))</f>
        <v/>
      </c>
    </row>
    <row r="336" customFormat="false" ht="15" hidden="false" customHeight="false" outlineLevel="0" collapsed="false">
      <c r="D336" s="0" t="str">
        <f aca="false">IF(C336="","",IF(COUNTIFS('MASTER BAHAN'!$A$5:$A$504,C336)=0,"BELUM ADA",INDEX('MASTER BAHAN'!$B$5:$B$504,MATCH(C336,'MASTER BAHAN'!$A$5:$A$504,0))))</f>
        <v/>
      </c>
      <c r="G336" s="0" t="str">
        <f aca="false">IF(C336="","",IF(COUNTIFS('MASTER BAHAN'!$A$5:$A$504,C336)=0,"BELUM ADA",INDEX('MASTER BAHAN'!$D$5:$D$504,MATCH(C336,'MASTER BAHAN'!$A$5:$A$504,0))))</f>
        <v/>
      </c>
      <c r="M336" s="0" t="str">
        <f aca="false">IF(A336="","",IF(E336&lt;&gt;"Waste",0,IF(NOT(ISNUMBER(L336)),"ISI BIAYA WASTE",IF(K336="Disetujui",ROUND(F336*L336,0),0))))</f>
        <v/>
      </c>
    </row>
    <row r="337" customFormat="false" ht="15" hidden="false" customHeight="false" outlineLevel="0" collapsed="false">
      <c r="D337" s="0" t="str">
        <f aca="false">IF(C337="","",IF(COUNTIFS('MASTER BAHAN'!$A$5:$A$504,C337)=0,"BELUM ADA",INDEX('MASTER BAHAN'!$B$5:$B$504,MATCH(C337,'MASTER BAHAN'!$A$5:$A$504,0))))</f>
        <v/>
      </c>
      <c r="G337" s="0" t="str">
        <f aca="false">IF(C337="","",IF(COUNTIFS('MASTER BAHAN'!$A$5:$A$504,C337)=0,"BELUM ADA",INDEX('MASTER BAHAN'!$D$5:$D$504,MATCH(C337,'MASTER BAHAN'!$A$5:$A$504,0))))</f>
        <v/>
      </c>
      <c r="M337" s="0" t="str">
        <f aca="false">IF(A337="","",IF(E337&lt;&gt;"Waste",0,IF(NOT(ISNUMBER(L337)),"ISI BIAYA WASTE",IF(K337="Disetujui",ROUND(F337*L337,0),0))))</f>
        <v/>
      </c>
    </row>
    <row r="338" customFormat="false" ht="15" hidden="false" customHeight="false" outlineLevel="0" collapsed="false">
      <c r="D338" s="0" t="str">
        <f aca="false">IF(C338="","",IF(COUNTIFS('MASTER BAHAN'!$A$5:$A$504,C338)=0,"BELUM ADA",INDEX('MASTER BAHAN'!$B$5:$B$504,MATCH(C338,'MASTER BAHAN'!$A$5:$A$504,0))))</f>
        <v/>
      </c>
      <c r="G338" s="0" t="str">
        <f aca="false">IF(C338="","",IF(COUNTIFS('MASTER BAHAN'!$A$5:$A$504,C338)=0,"BELUM ADA",INDEX('MASTER BAHAN'!$D$5:$D$504,MATCH(C338,'MASTER BAHAN'!$A$5:$A$504,0))))</f>
        <v/>
      </c>
      <c r="M338" s="0" t="str">
        <f aca="false">IF(A338="","",IF(E338&lt;&gt;"Waste",0,IF(NOT(ISNUMBER(L338)),"ISI BIAYA WASTE",IF(K338="Disetujui",ROUND(F338*L338,0),0))))</f>
        <v/>
      </c>
    </row>
    <row r="339" customFormat="false" ht="15" hidden="false" customHeight="false" outlineLevel="0" collapsed="false">
      <c r="D339" s="0" t="str">
        <f aca="false">IF(C339="","",IF(COUNTIFS('MASTER BAHAN'!$A$5:$A$504,C339)=0,"BELUM ADA",INDEX('MASTER BAHAN'!$B$5:$B$504,MATCH(C339,'MASTER BAHAN'!$A$5:$A$504,0))))</f>
        <v/>
      </c>
      <c r="G339" s="0" t="str">
        <f aca="false">IF(C339="","",IF(COUNTIFS('MASTER BAHAN'!$A$5:$A$504,C339)=0,"BELUM ADA",INDEX('MASTER BAHAN'!$D$5:$D$504,MATCH(C339,'MASTER BAHAN'!$A$5:$A$504,0))))</f>
        <v/>
      </c>
      <c r="M339" s="0" t="str">
        <f aca="false">IF(A339="","",IF(E339&lt;&gt;"Waste",0,IF(NOT(ISNUMBER(L339)),"ISI BIAYA WASTE",IF(K339="Disetujui",ROUND(F339*L339,0),0))))</f>
        <v/>
      </c>
    </row>
    <row r="340" customFormat="false" ht="15" hidden="false" customHeight="false" outlineLevel="0" collapsed="false">
      <c r="D340" s="0" t="str">
        <f aca="false">IF(C340="","",IF(COUNTIFS('MASTER BAHAN'!$A$5:$A$504,C340)=0,"BELUM ADA",INDEX('MASTER BAHAN'!$B$5:$B$504,MATCH(C340,'MASTER BAHAN'!$A$5:$A$504,0))))</f>
        <v/>
      </c>
      <c r="G340" s="0" t="str">
        <f aca="false">IF(C340="","",IF(COUNTIFS('MASTER BAHAN'!$A$5:$A$504,C340)=0,"BELUM ADA",INDEX('MASTER BAHAN'!$D$5:$D$504,MATCH(C340,'MASTER BAHAN'!$A$5:$A$504,0))))</f>
        <v/>
      </c>
      <c r="M340" s="0" t="str">
        <f aca="false">IF(A340="","",IF(E340&lt;&gt;"Waste",0,IF(NOT(ISNUMBER(L340)),"ISI BIAYA WASTE",IF(K340="Disetujui",ROUND(F340*L340,0),0))))</f>
        <v/>
      </c>
    </row>
    <row r="341" customFormat="false" ht="15" hidden="false" customHeight="false" outlineLevel="0" collapsed="false">
      <c r="D341" s="0" t="str">
        <f aca="false">IF(C341="","",IF(COUNTIFS('MASTER BAHAN'!$A$5:$A$504,C341)=0,"BELUM ADA",INDEX('MASTER BAHAN'!$B$5:$B$504,MATCH(C341,'MASTER BAHAN'!$A$5:$A$504,0))))</f>
        <v/>
      </c>
      <c r="G341" s="0" t="str">
        <f aca="false">IF(C341="","",IF(COUNTIFS('MASTER BAHAN'!$A$5:$A$504,C341)=0,"BELUM ADA",INDEX('MASTER BAHAN'!$D$5:$D$504,MATCH(C341,'MASTER BAHAN'!$A$5:$A$504,0))))</f>
        <v/>
      </c>
      <c r="M341" s="0" t="str">
        <f aca="false">IF(A341="","",IF(E341&lt;&gt;"Waste",0,IF(NOT(ISNUMBER(L341)),"ISI BIAYA WASTE",IF(K341="Disetujui",ROUND(F341*L341,0),0))))</f>
        <v/>
      </c>
    </row>
    <row r="342" customFormat="false" ht="15" hidden="false" customHeight="false" outlineLevel="0" collapsed="false">
      <c r="D342" s="0" t="str">
        <f aca="false">IF(C342="","",IF(COUNTIFS('MASTER BAHAN'!$A$5:$A$504,C342)=0,"BELUM ADA",INDEX('MASTER BAHAN'!$B$5:$B$504,MATCH(C342,'MASTER BAHAN'!$A$5:$A$504,0))))</f>
        <v/>
      </c>
      <c r="G342" s="0" t="str">
        <f aca="false">IF(C342="","",IF(COUNTIFS('MASTER BAHAN'!$A$5:$A$504,C342)=0,"BELUM ADA",INDEX('MASTER BAHAN'!$D$5:$D$504,MATCH(C342,'MASTER BAHAN'!$A$5:$A$504,0))))</f>
        <v/>
      </c>
      <c r="M342" s="0" t="str">
        <f aca="false">IF(A342="","",IF(E342&lt;&gt;"Waste",0,IF(NOT(ISNUMBER(L342)),"ISI BIAYA WASTE",IF(K342="Disetujui",ROUND(F342*L342,0),0))))</f>
        <v/>
      </c>
    </row>
    <row r="343" customFormat="false" ht="15" hidden="false" customHeight="false" outlineLevel="0" collapsed="false">
      <c r="D343" s="0" t="str">
        <f aca="false">IF(C343="","",IF(COUNTIFS('MASTER BAHAN'!$A$5:$A$504,C343)=0,"BELUM ADA",INDEX('MASTER BAHAN'!$B$5:$B$504,MATCH(C343,'MASTER BAHAN'!$A$5:$A$504,0))))</f>
        <v/>
      </c>
      <c r="G343" s="0" t="str">
        <f aca="false">IF(C343="","",IF(COUNTIFS('MASTER BAHAN'!$A$5:$A$504,C343)=0,"BELUM ADA",INDEX('MASTER BAHAN'!$D$5:$D$504,MATCH(C343,'MASTER BAHAN'!$A$5:$A$504,0))))</f>
        <v/>
      </c>
      <c r="M343" s="0" t="str">
        <f aca="false">IF(A343="","",IF(E343&lt;&gt;"Waste",0,IF(NOT(ISNUMBER(L343)),"ISI BIAYA WASTE",IF(K343="Disetujui",ROUND(F343*L343,0),0))))</f>
        <v/>
      </c>
    </row>
    <row r="344" customFormat="false" ht="15" hidden="false" customHeight="false" outlineLevel="0" collapsed="false">
      <c r="D344" s="0" t="str">
        <f aca="false">IF(C344="","",IF(COUNTIFS('MASTER BAHAN'!$A$5:$A$504,C344)=0,"BELUM ADA",INDEX('MASTER BAHAN'!$B$5:$B$504,MATCH(C344,'MASTER BAHAN'!$A$5:$A$504,0))))</f>
        <v/>
      </c>
      <c r="G344" s="0" t="str">
        <f aca="false">IF(C344="","",IF(COUNTIFS('MASTER BAHAN'!$A$5:$A$504,C344)=0,"BELUM ADA",INDEX('MASTER BAHAN'!$D$5:$D$504,MATCH(C344,'MASTER BAHAN'!$A$5:$A$504,0))))</f>
        <v/>
      </c>
      <c r="M344" s="0" t="str">
        <f aca="false">IF(A344="","",IF(E344&lt;&gt;"Waste",0,IF(NOT(ISNUMBER(L344)),"ISI BIAYA WASTE",IF(K344="Disetujui",ROUND(F344*L344,0),0))))</f>
        <v/>
      </c>
    </row>
    <row r="345" customFormat="false" ht="15" hidden="false" customHeight="false" outlineLevel="0" collapsed="false">
      <c r="D345" s="0" t="str">
        <f aca="false">IF(C345="","",IF(COUNTIFS('MASTER BAHAN'!$A$5:$A$504,C345)=0,"BELUM ADA",INDEX('MASTER BAHAN'!$B$5:$B$504,MATCH(C345,'MASTER BAHAN'!$A$5:$A$504,0))))</f>
        <v/>
      </c>
      <c r="G345" s="0" t="str">
        <f aca="false">IF(C345="","",IF(COUNTIFS('MASTER BAHAN'!$A$5:$A$504,C345)=0,"BELUM ADA",INDEX('MASTER BAHAN'!$D$5:$D$504,MATCH(C345,'MASTER BAHAN'!$A$5:$A$504,0))))</f>
        <v/>
      </c>
      <c r="M345" s="0" t="str">
        <f aca="false">IF(A345="","",IF(E345&lt;&gt;"Waste",0,IF(NOT(ISNUMBER(L345)),"ISI BIAYA WASTE",IF(K345="Disetujui",ROUND(F345*L345,0),0))))</f>
        <v/>
      </c>
    </row>
    <row r="346" customFormat="false" ht="15" hidden="false" customHeight="false" outlineLevel="0" collapsed="false">
      <c r="D346" s="0" t="str">
        <f aca="false">IF(C346="","",IF(COUNTIFS('MASTER BAHAN'!$A$5:$A$504,C346)=0,"BELUM ADA",INDEX('MASTER BAHAN'!$B$5:$B$504,MATCH(C346,'MASTER BAHAN'!$A$5:$A$504,0))))</f>
        <v/>
      </c>
      <c r="G346" s="0" t="str">
        <f aca="false">IF(C346="","",IF(COUNTIFS('MASTER BAHAN'!$A$5:$A$504,C346)=0,"BELUM ADA",INDEX('MASTER BAHAN'!$D$5:$D$504,MATCH(C346,'MASTER BAHAN'!$A$5:$A$504,0))))</f>
        <v/>
      </c>
      <c r="M346" s="0" t="str">
        <f aca="false">IF(A346="","",IF(E346&lt;&gt;"Waste",0,IF(NOT(ISNUMBER(L346)),"ISI BIAYA WASTE",IF(K346="Disetujui",ROUND(F346*L346,0),0))))</f>
        <v/>
      </c>
    </row>
    <row r="347" customFormat="false" ht="15" hidden="false" customHeight="false" outlineLevel="0" collapsed="false">
      <c r="D347" s="0" t="str">
        <f aca="false">IF(C347="","",IF(COUNTIFS('MASTER BAHAN'!$A$5:$A$504,C347)=0,"BELUM ADA",INDEX('MASTER BAHAN'!$B$5:$B$504,MATCH(C347,'MASTER BAHAN'!$A$5:$A$504,0))))</f>
        <v/>
      </c>
      <c r="G347" s="0" t="str">
        <f aca="false">IF(C347="","",IF(COUNTIFS('MASTER BAHAN'!$A$5:$A$504,C347)=0,"BELUM ADA",INDEX('MASTER BAHAN'!$D$5:$D$504,MATCH(C347,'MASTER BAHAN'!$A$5:$A$504,0))))</f>
        <v/>
      </c>
      <c r="M347" s="0" t="str">
        <f aca="false">IF(A347="","",IF(E347&lt;&gt;"Waste",0,IF(NOT(ISNUMBER(L347)),"ISI BIAYA WASTE",IF(K347="Disetujui",ROUND(F347*L347,0),0))))</f>
        <v/>
      </c>
    </row>
    <row r="348" customFormat="false" ht="15" hidden="false" customHeight="false" outlineLevel="0" collapsed="false">
      <c r="D348" s="0" t="str">
        <f aca="false">IF(C348="","",IF(COUNTIFS('MASTER BAHAN'!$A$5:$A$504,C348)=0,"BELUM ADA",INDEX('MASTER BAHAN'!$B$5:$B$504,MATCH(C348,'MASTER BAHAN'!$A$5:$A$504,0))))</f>
        <v/>
      </c>
      <c r="G348" s="0" t="str">
        <f aca="false">IF(C348="","",IF(COUNTIFS('MASTER BAHAN'!$A$5:$A$504,C348)=0,"BELUM ADA",INDEX('MASTER BAHAN'!$D$5:$D$504,MATCH(C348,'MASTER BAHAN'!$A$5:$A$504,0))))</f>
        <v/>
      </c>
      <c r="M348" s="0" t="str">
        <f aca="false">IF(A348="","",IF(E348&lt;&gt;"Waste",0,IF(NOT(ISNUMBER(L348)),"ISI BIAYA WASTE",IF(K348="Disetujui",ROUND(F348*L348,0),0))))</f>
        <v/>
      </c>
    </row>
    <row r="349" customFormat="false" ht="15" hidden="false" customHeight="false" outlineLevel="0" collapsed="false">
      <c r="D349" s="0" t="str">
        <f aca="false">IF(C349="","",IF(COUNTIFS('MASTER BAHAN'!$A$5:$A$504,C349)=0,"BELUM ADA",INDEX('MASTER BAHAN'!$B$5:$B$504,MATCH(C349,'MASTER BAHAN'!$A$5:$A$504,0))))</f>
        <v/>
      </c>
      <c r="G349" s="0" t="str">
        <f aca="false">IF(C349="","",IF(COUNTIFS('MASTER BAHAN'!$A$5:$A$504,C349)=0,"BELUM ADA",INDEX('MASTER BAHAN'!$D$5:$D$504,MATCH(C349,'MASTER BAHAN'!$A$5:$A$504,0))))</f>
        <v/>
      </c>
      <c r="M349" s="0" t="str">
        <f aca="false">IF(A349="","",IF(E349&lt;&gt;"Waste",0,IF(NOT(ISNUMBER(L349)),"ISI BIAYA WASTE",IF(K349="Disetujui",ROUND(F349*L349,0),0))))</f>
        <v/>
      </c>
    </row>
    <row r="350" customFormat="false" ht="15" hidden="false" customHeight="false" outlineLevel="0" collapsed="false">
      <c r="D350" s="0" t="str">
        <f aca="false">IF(C350="","",IF(COUNTIFS('MASTER BAHAN'!$A$5:$A$504,C350)=0,"BELUM ADA",INDEX('MASTER BAHAN'!$B$5:$B$504,MATCH(C350,'MASTER BAHAN'!$A$5:$A$504,0))))</f>
        <v/>
      </c>
      <c r="G350" s="0" t="str">
        <f aca="false">IF(C350="","",IF(COUNTIFS('MASTER BAHAN'!$A$5:$A$504,C350)=0,"BELUM ADA",INDEX('MASTER BAHAN'!$D$5:$D$504,MATCH(C350,'MASTER BAHAN'!$A$5:$A$504,0))))</f>
        <v/>
      </c>
      <c r="M350" s="0" t="str">
        <f aca="false">IF(A350="","",IF(E350&lt;&gt;"Waste",0,IF(NOT(ISNUMBER(L350)),"ISI BIAYA WASTE",IF(K350="Disetujui",ROUND(F350*L350,0),0))))</f>
        <v/>
      </c>
    </row>
    <row r="351" customFormat="false" ht="15" hidden="false" customHeight="false" outlineLevel="0" collapsed="false">
      <c r="D351" s="0" t="str">
        <f aca="false">IF(C351="","",IF(COUNTIFS('MASTER BAHAN'!$A$5:$A$504,C351)=0,"BELUM ADA",INDEX('MASTER BAHAN'!$B$5:$B$504,MATCH(C351,'MASTER BAHAN'!$A$5:$A$504,0))))</f>
        <v/>
      </c>
      <c r="G351" s="0" t="str">
        <f aca="false">IF(C351="","",IF(COUNTIFS('MASTER BAHAN'!$A$5:$A$504,C351)=0,"BELUM ADA",INDEX('MASTER BAHAN'!$D$5:$D$504,MATCH(C351,'MASTER BAHAN'!$A$5:$A$504,0))))</f>
        <v/>
      </c>
      <c r="M351" s="0" t="str">
        <f aca="false">IF(A351="","",IF(E351&lt;&gt;"Waste",0,IF(NOT(ISNUMBER(L351)),"ISI BIAYA WASTE",IF(K351="Disetujui",ROUND(F351*L351,0),0))))</f>
        <v/>
      </c>
    </row>
    <row r="352" customFormat="false" ht="15" hidden="false" customHeight="false" outlineLevel="0" collapsed="false">
      <c r="D352" s="0" t="str">
        <f aca="false">IF(C352="","",IF(COUNTIFS('MASTER BAHAN'!$A$5:$A$504,C352)=0,"BELUM ADA",INDEX('MASTER BAHAN'!$B$5:$B$504,MATCH(C352,'MASTER BAHAN'!$A$5:$A$504,0))))</f>
        <v/>
      </c>
      <c r="G352" s="0" t="str">
        <f aca="false">IF(C352="","",IF(COUNTIFS('MASTER BAHAN'!$A$5:$A$504,C352)=0,"BELUM ADA",INDEX('MASTER BAHAN'!$D$5:$D$504,MATCH(C352,'MASTER BAHAN'!$A$5:$A$504,0))))</f>
        <v/>
      </c>
      <c r="M352" s="0" t="str">
        <f aca="false">IF(A352="","",IF(E352&lt;&gt;"Waste",0,IF(NOT(ISNUMBER(L352)),"ISI BIAYA WASTE",IF(K352="Disetujui",ROUND(F352*L352,0),0))))</f>
        <v/>
      </c>
    </row>
    <row r="353" customFormat="false" ht="15" hidden="false" customHeight="false" outlineLevel="0" collapsed="false">
      <c r="D353" s="0" t="str">
        <f aca="false">IF(C353="","",IF(COUNTIFS('MASTER BAHAN'!$A$5:$A$504,C353)=0,"BELUM ADA",INDEX('MASTER BAHAN'!$B$5:$B$504,MATCH(C353,'MASTER BAHAN'!$A$5:$A$504,0))))</f>
        <v/>
      </c>
      <c r="G353" s="0" t="str">
        <f aca="false">IF(C353="","",IF(COUNTIFS('MASTER BAHAN'!$A$5:$A$504,C353)=0,"BELUM ADA",INDEX('MASTER BAHAN'!$D$5:$D$504,MATCH(C353,'MASTER BAHAN'!$A$5:$A$504,0))))</f>
        <v/>
      </c>
      <c r="M353" s="0" t="str">
        <f aca="false">IF(A353="","",IF(E353&lt;&gt;"Waste",0,IF(NOT(ISNUMBER(L353)),"ISI BIAYA WASTE",IF(K353="Disetujui",ROUND(F353*L353,0),0))))</f>
        <v/>
      </c>
    </row>
    <row r="354" customFormat="false" ht="15" hidden="false" customHeight="false" outlineLevel="0" collapsed="false">
      <c r="D354" s="0" t="str">
        <f aca="false">IF(C354="","",IF(COUNTIFS('MASTER BAHAN'!$A$5:$A$504,C354)=0,"BELUM ADA",INDEX('MASTER BAHAN'!$B$5:$B$504,MATCH(C354,'MASTER BAHAN'!$A$5:$A$504,0))))</f>
        <v/>
      </c>
      <c r="G354" s="0" t="str">
        <f aca="false">IF(C354="","",IF(COUNTIFS('MASTER BAHAN'!$A$5:$A$504,C354)=0,"BELUM ADA",INDEX('MASTER BAHAN'!$D$5:$D$504,MATCH(C354,'MASTER BAHAN'!$A$5:$A$504,0))))</f>
        <v/>
      </c>
      <c r="M354" s="0" t="str">
        <f aca="false">IF(A354="","",IF(E354&lt;&gt;"Waste",0,IF(NOT(ISNUMBER(L354)),"ISI BIAYA WASTE",IF(K354="Disetujui",ROUND(F354*L354,0),0))))</f>
        <v/>
      </c>
    </row>
    <row r="355" customFormat="false" ht="15" hidden="false" customHeight="false" outlineLevel="0" collapsed="false">
      <c r="D355" s="0" t="str">
        <f aca="false">IF(C355="","",IF(COUNTIFS('MASTER BAHAN'!$A$5:$A$504,C355)=0,"BELUM ADA",INDEX('MASTER BAHAN'!$B$5:$B$504,MATCH(C355,'MASTER BAHAN'!$A$5:$A$504,0))))</f>
        <v/>
      </c>
      <c r="G355" s="0" t="str">
        <f aca="false">IF(C355="","",IF(COUNTIFS('MASTER BAHAN'!$A$5:$A$504,C355)=0,"BELUM ADA",INDEX('MASTER BAHAN'!$D$5:$D$504,MATCH(C355,'MASTER BAHAN'!$A$5:$A$504,0))))</f>
        <v/>
      </c>
      <c r="M355" s="0" t="str">
        <f aca="false">IF(A355="","",IF(E355&lt;&gt;"Waste",0,IF(NOT(ISNUMBER(L355)),"ISI BIAYA WASTE",IF(K355="Disetujui",ROUND(F355*L355,0),0))))</f>
        <v/>
      </c>
    </row>
    <row r="356" customFormat="false" ht="15" hidden="false" customHeight="false" outlineLevel="0" collapsed="false">
      <c r="D356" s="0" t="str">
        <f aca="false">IF(C356="","",IF(COUNTIFS('MASTER BAHAN'!$A$5:$A$504,C356)=0,"BELUM ADA",INDEX('MASTER BAHAN'!$B$5:$B$504,MATCH(C356,'MASTER BAHAN'!$A$5:$A$504,0))))</f>
        <v/>
      </c>
      <c r="G356" s="0" t="str">
        <f aca="false">IF(C356="","",IF(COUNTIFS('MASTER BAHAN'!$A$5:$A$504,C356)=0,"BELUM ADA",INDEX('MASTER BAHAN'!$D$5:$D$504,MATCH(C356,'MASTER BAHAN'!$A$5:$A$504,0))))</f>
        <v/>
      </c>
      <c r="M356" s="0" t="str">
        <f aca="false">IF(A356="","",IF(E356&lt;&gt;"Waste",0,IF(NOT(ISNUMBER(L356)),"ISI BIAYA WASTE",IF(K356="Disetujui",ROUND(F356*L356,0),0))))</f>
        <v/>
      </c>
    </row>
    <row r="357" customFormat="false" ht="15" hidden="false" customHeight="false" outlineLevel="0" collapsed="false">
      <c r="D357" s="0" t="str">
        <f aca="false">IF(C357="","",IF(COUNTIFS('MASTER BAHAN'!$A$5:$A$504,C357)=0,"BELUM ADA",INDEX('MASTER BAHAN'!$B$5:$B$504,MATCH(C357,'MASTER BAHAN'!$A$5:$A$504,0))))</f>
        <v/>
      </c>
      <c r="G357" s="0" t="str">
        <f aca="false">IF(C357="","",IF(COUNTIFS('MASTER BAHAN'!$A$5:$A$504,C357)=0,"BELUM ADA",INDEX('MASTER BAHAN'!$D$5:$D$504,MATCH(C357,'MASTER BAHAN'!$A$5:$A$504,0))))</f>
        <v/>
      </c>
      <c r="M357" s="0" t="str">
        <f aca="false">IF(A357="","",IF(E357&lt;&gt;"Waste",0,IF(NOT(ISNUMBER(L357)),"ISI BIAYA WASTE",IF(K357="Disetujui",ROUND(F357*L357,0),0))))</f>
        <v/>
      </c>
    </row>
    <row r="358" customFormat="false" ht="15" hidden="false" customHeight="false" outlineLevel="0" collapsed="false">
      <c r="D358" s="0" t="str">
        <f aca="false">IF(C358="","",IF(COUNTIFS('MASTER BAHAN'!$A$5:$A$504,C358)=0,"BELUM ADA",INDEX('MASTER BAHAN'!$B$5:$B$504,MATCH(C358,'MASTER BAHAN'!$A$5:$A$504,0))))</f>
        <v/>
      </c>
      <c r="G358" s="0" t="str">
        <f aca="false">IF(C358="","",IF(COUNTIFS('MASTER BAHAN'!$A$5:$A$504,C358)=0,"BELUM ADA",INDEX('MASTER BAHAN'!$D$5:$D$504,MATCH(C358,'MASTER BAHAN'!$A$5:$A$504,0))))</f>
        <v/>
      </c>
      <c r="M358" s="0" t="str">
        <f aca="false">IF(A358="","",IF(E358&lt;&gt;"Waste",0,IF(NOT(ISNUMBER(L358)),"ISI BIAYA WASTE",IF(K358="Disetujui",ROUND(F358*L358,0),0))))</f>
        <v/>
      </c>
    </row>
    <row r="359" customFormat="false" ht="15" hidden="false" customHeight="false" outlineLevel="0" collapsed="false">
      <c r="D359" s="0" t="str">
        <f aca="false">IF(C359="","",IF(COUNTIFS('MASTER BAHAN'!$A$5:$A$504,C359)=0,"BELUM ADA",INDEX('MASTER BAHAN'!$B$5:$B$504,MATCH(C359,'MASTER BAHAN'!$A$5:$A$504,0))))</f>
        <v/>
      </c>
      <c r="G359" s="0" t="str">
        <f aca="false">IF(C359="","",IF(COUNTIFS('MASTER BAHAN'!$A$5:$A$504,C359)=0,"BELUM ADA",INDEX('MASTER BAHAN'!$D$5:$D$504,MATCH(C359,'MASTER BAHAN'!$A$5:$A$504,0))))</f>
        <v/>
      </c>
      <c r="M359" s="0" t="str">
        <f aca="false">IF(A359="","",IF(E359&lt;&gt;"Waste",0,IF(NOT(ISNUMBER(L359)),"ISI BIAYA WASTE",IF(K359="Disetujui",ROUND(F359*L359,0),0))))</f>
        <v/>
      </c>
    </row>
    <row r="360" customFormat="false" ht="15" hidden="false" customHeight="false" outlineLevel="0" collapsed="false">
      <c r="D360" s="0" t="str">
        <f aca="false">IF(C360="","",IF(COUNTIFS('MASTER BAHAN'!$A$5:$A$504,C360)=0,"BELUM ADA",INDEX('MASTER BAHAN'!$B$5:$B$504,MATCH(C360,'MASTER BAHAN'!$A$5:$A$504,0))))</f>
        <v/>
      </c>
      <c r="G360" s="0" t="str">
        <f aca="false">IF(C360="","",IF(COUNTIFS('MASTER BAHAN'!$A$5:$A$504,C360)=0,"BELUM ADA",INDEX('MASTER BAHAN'!$D$5:$D$504,MATCH(C360,'MASTER BAHAN'!$A$5:$A$504,0))))</f>
        <v/>
      </c>
      <c r="M360" s="0" t="str">
        <f aca="false">IF(A360="","",IF(E360&lt;&gt;"Waste",0,IF(NOT(ISNUMBER(L360)),"ISI BIAYA WASTE",IF(K360="Disetujui",ROUND(F360*L360,0),0))))</f>
        <v/>
      </c>
    </row>
    <row r="361" customFormat="false" ht="15" hidden="false" customHeight="false" outlineLevel="0" collapsed="false">
      <c r="D361" s="0" t="str">
        <f aca="false">IF(C361="","",IF(COUNTIFS('MASTER BAHAN'!$A$5:$A$504,C361)=0,"BELUM ADA",INDEX('MASTER BAHAN'!$B$5:$B$504,MATCH(C361,'MASTER BAHAN'!$A$5:$A$504,0))))</f>
        <v/>
      </c>
      <c r="G361" s="0" t="str">
        <f aca="false">IF(C361="","",IF(COUNTIFS('MASTER BAHAN'!$A$5:$A$504,C361)=0,"BELUM ADA",INDEX('MASTER BAHAN'!$D$5:$D$504,MATCH(C361,'MASTER BAHAN'!$A$5:$A$504,0))))</f>
        <v/>
      </c>
      <c r="M361" s="0" t="str">
        <f aca="false">IF(A361="","",IF(E361&lt;&gt;"Waste",0,IF(NOT(ISNUMBER(L361)),"ISI BIAYA WASTE",IF(K361="Disetujui",ROUND(F361*L361,0),0))))</f>
        <v/>
      </c>
    </row>
    <row r="362" customFormat="false" ht="15" hidden="false" customHeight="false" outlineLevel="0" collapsed="false">
      <c r="D362" s="0" t="str">
        <f aca="false">IF(C362="","",IF(COUNTIFS('MASTER BAHAN'!$A$5:$A$504,C362)=0,"BELUM ADA",INDEX('MASTER BAHAN'!$B$5:$B$504,MATCH(C362,'MASTER BAHAN'!$A$5:$A$504,0))))</f>
        <v/>
      </c>
      <c r="G362" s="0" t="str">
        <f aca="false">IF(C362="","",IF(COUNTIFS('MASTER BAHAN'!$A$5:$A$504,C362)=0,"BELUM ADA",INDEX('MASTER BAHAN'!$D$5:$D$504,MATCH(C362,'MASTER BAHAN'!$A$5:$A$504,0))))</f>
        <v/>
      </c>
      <c r="M362" s="0" t="str">
        <f aca="false">IF(A362="","",IF(E362&lt;&gt;"Waste",0,IF(NOT(ISNUMBER(L362)),"ISI BIAYA WASTE",IF(K362="Disetujui",ROUND(F362*L362,0),0))))</f>
        <v/>
      </c>
    </row>
    <row r="363" customFormat="false" ht="15" hidden="false" customHeight="false" outlineLevel="0" collapsed="false">
      <c r="D363" s="0" t="str">
        <f aca="false">IF(C363="","",IF(COUNTIFS('MASTER BAHAN'!$A$5:$A$504,C363)=0,"BELUM ADA",INDEX('MASTER BAHAN'!$B$5:$B$504,MATCH(C363,'MASTER BAHAN'!$A$5:$A$504,0))))</f>
        <v/>
      </c>
      <c r="G363" s="0" t="str">
        <f aca="false">IF(C363="","",IF(COUNTIFS('MASTER BAHAN'!$A$5:$A$504,C363)=0,"BELUM ADA",INDEX('MASTER BAHAN'!$D$5:$D$504,MATCH(C363,'MASTER BAHAN'!$A$5:$A$504,0))))</f>
        <v/>
      </c>
      <c r="M363" s="0" t="str">
        <f aca="false">IF(A363="","",IF(E363&lt;&gt;"Waste",0,IF(NOT(ISNUMBER(L363)),"ISI BIAYA WASTE",IF(K363="Disetujui",ROUND(F363*L363,0),0))))</f>
        <v/>
      </c>
    </row>
    <row r="364" customFormat="false" ht="15" hidden="false" customHeight="false" outlineLevel="0" collapsed="false">
      <c r="D364" s="0" t="str">
        <f aca="false">IF(C364="","",IF(COUNTIFS('MASTER BAHAN'!$A$5:$A$504,C364)=0,"BELUM ADA",INDEX('MASTER BAHAN'!$B$5:$B$504,MATCH(C364,'MASTER BAHAN'!$A$5:$A$504,0))))</f>
        <v/>
      </c>
      <c r="G364" s="0" t="str">
        <f aca="false">IF(C364="","",IF(COUNTIFS('MASTER BAHAN'!$A$5:$A$504,C364)=0,"BELUM ADA",INDEX('MASTER BAHAN'!$D$5:$D$504,MATCH(C364,'MASTER BAHAN'!$A$5:$A$504,0))))</f>
        <v/>
      </c>
      <c r="M364" s="0" t="str">
        <f aca="false">IF(A364="","",IF(E364&lt;&gt;"Waste",0,IF(NOT(ISNUMBER(L364)),"ISI BIAYA WASTE",IF(K364="Disetujui",ROUND(F364*L364,0),0))))</f>
        <v/>
      </c>
    </row>
    <row r="365" customFormat="false" ht="15" hidden="false" customHeight="false" outlineLevel="0" collapsed="false">
      <c r="D365" s="0" t="str">
        <f aca="false">IF(C365="","",IF(COUNTIFS('MASTER BAHAN'!$A$5:$A$504,C365)=0,"BELUM ADA",INDEX('MASTER BAHAN'!$B$5:$B$504,MATCH(C365,'MASTER BAHAN'!$A$5:$A$504,0))))</f>
        <v/>
      </c>
      <c r="G365" s="0" t="str">
        <f aca="false">IF(C365="","",IF(COUNTIFS('MASTER BAHAN'!$A$5:$A$504,C365)=0,"BELUM ADA",INDEX('MASTER BAHAN'!$D$5:$D$504,MATCH(C365,'MASTER BAHAN'!$A$5:$A$504,0))))</f>
        <v/>
      </c>
      <c r="M365" s="0" t="str">
        <f aca="false">IF(A365="","",IF(E365&lt;&gt;"Waste",0,IF(NOT(ISNUMBER(L365)),"ISI BIAYA WASTE",IF(K365="Disetujui",ROUND(F365*L365,0),0))))</f>
        <v/>
      </c>
    </row>
    <row r="366" customFormat="false" ht="15" hidden="false" customHeight="false" outlineLevel="0" collapsed="false">
      <c r="D366" s="0" t="str">
        <f aca="false">IF(C366="","",IF(COUNTIFS('MASTER BAHAN'!$A$5:$A$504,C366)=0,"BELUM ADA",INDEX('MASTER BAHAN'!$B$5:$B$504,MATCH(C366,'MASTER BAHAN'!$A$5:$A$504,0))))</f>
        <v/>
      </c>
      <c r="G366" s="0" t="str">
        <f aca="false">IF(C366="","",IF(COUNTIFS('MASTER BAHAN'!$A$5:$A$504,C366)=0,"BELUM ADA",INDEX('MASTER BAHAN'!$D$5:$D$504,MATCH(C366,'MASTER BAHAN'!$A$5:$A$504,0))))</f>
        <v/>
      </c>
      <c r="M366" s="0" t="str">
        <f aca="false">IF(A366="","",IF(E366&lt;&gt;"Waste",0,IF(NOT(ISNUMBER(L366)),"ISI BIAYA WASTE",IF(K366="Disetujui",ROUND(F366*L366,0),0))))</f>
        <v/>
      </c>
    </row>
    <row r="367" customFormat="false" ht="15" hidden="false" customHeight="false" outlineLevel="0" collapsed="false">
      <c r="D367" s="0" t="str">
        <f aca="false">IF(C367="","",IF(COUNTIFS('MASTER BAHAN'!$A$5:$A$504,C367)=0,"BELUM ADA",INDEX('MASTER BAHAN'!$B$5:$B$504,MATCH(C367,'MASTER BAHAN'!$A$5:$A$504,0))))</f>
        <v/>
      </c>
      <c r="G367" s="0" t="str">
        <f aca="false">IF(C367="","",IF(COUNTIFS('MASTER BAHAN'!$A$5:$A$504,C367)=0,"BELUM ADA",INDEX('MASTER BAHAN'!$D$5:$D$504,MATCH(C367,'MASTER BAHAN'!$A$5:$A$504,0))))</f>
        <v/>
      </c>
      <c r="M367" s="0" t="str">
        <f aca="false">IF(A367="","",IF(E367&lt;&gt;"Waste",0,IF(NOT(ISNUMBER(L367)),"ISI BIAYA WASTE",IF(K367="Disetujui",ROUND(F367*L367,0),0))))</f>
        <v/>
      </c>
    </row>
    <row r="368" customFormat="false" ht="15" hidden="false" customHeight="false" outlineLevel="0" collapsed="false">
      <c r="D368" s="0" t="str">
        <f aca="false">IF(C368="","",IF(COUNTIFS('MASTER BAHAN'!$A$5:$A$504,C368)=0,"BELUM ADA",INDEX('MASTER BAHAN'!$B$5:$B$504,MATCH(C368,'MASTER BAHAN'!$A$5:$A$504,0))))</f>
        <v/>
      </c>
      <c r="G368" s="0" t="str">
        <f aca="false">IF(C368="","",IF(COUNTIFS('MASTER BAHAN'!$A$5:$A$504,C368)=0,"BELUM ADA",INDEX('MASTER BAHAN'!$D$5:$D$504,MATCH(C368,'MASTER BAHAN'!$A$5:$A$504,0))))</f>
        <v/>
      </c>
      <c r="M368" s="0" t="str">
        <f aca="false">IF(A368="","",IF(E368&lt;&gt;"Waste",0,IF(NOT(ISNUMBER(L368)),"ISI BIAYA WASTE",IF(K368="Disetujui",ROUND(F368*L368,0),0))))</f>
        <v/>
      </c>
    </row>
    <row r="369" customFormat="false" ht="15" hidden="false" customHeight="false" outlineLevel="0" collapsed="false">
      <c r="D369" s="0" t="str">
        <f aca="false">IF(C369="","",IF(COUNTIFS('MASTER BAHAN'!$A$5:$A$504,C369)=0,"BELUM ADA",INDEX('MASTER BAHAN'!$B$5:$B$504,MATCH(C369,'MASTER BAHAN'!$A$5:$A$504,0))))</f>
        <v/>
      </c>
      <c r="G369" s="0" t="str">
        <f aca="false">IF(C369="","",IF(COUNTIFS('MASTER BAHAN'!$A$5:$A$504,C369)=0,"BELUM ADA",INDEX('MASTER BAHAN'!$D$5:$D$504,MATCH(C369,'MASTER BAHAN'!$A$5:$A$504,0))))</f>
        <v/>
      </c>
      <c r="M369" s="0" t="str">
        <f aca="false">IF(A369="","",IF(E369&lt;&gt;"Waste",0,IF(NOT(ISNUMBER(L369)),"ISI BIAYA WASTE",IF(K369="Disetujui",ROUND(F369*L369,0),0))))</f>
        <v/>
      </c>
    </row>
    <row r="370" customFormat="false" ht="15" hidden="false" customHeight="false" outlineLevel="0" collapsed="false">
      <c r="D370" s="0" t="str">
        <f aca="false">IF(C370="","",IF(COUNTIFS('MASTER BAHAN'!$A$5:$A$504,C370)=0,"BELUM ADA",INDEX('MASTER BAHAN'!$B$5:$B$504,MATCH(C370,'MASTER BAHAN'!$A$5:$A$504,0))))</f>
        <v/>
      </c>
      <c r="G370" s="0" t="str">
        <f aca="false">IF(C370="","",IF(COUNTIFS('MASTER BAHAN'!$A$5:$A$504,C370)=0,"BELUM ADA",INDEX('MASTER BAHAN'!$D$5:$D$504,MATCH(C370,'MASTER BAHAN'!$A$5:$A$504,0))))</f>
        <v/>
      </c>
      <c r="M370" s="0" t="str">
        <f aca="false">IF(A370="","",IF(E370&lt;&gt;"Waste",0,IF(NOT(ISNUMBER(L370)),"ISI BIAYA WASTE",IF(K370="Disetujui",ROUND(F370*L370,0),0))))</f>
        <v/>
      </c>
    </row>
    <row r="371" customFormat="false" ht="15" hidden="false" customHeight="false" outlineLevel="0" collapsed="false">
      <c r="D371" s="0" t="str">
        <f aca="false">IF(C371="","",IF(COUNTIFS('MASTER BAHAN'!$A$5:$A$504,C371)=0,"BELUM ADA",INDEX('MASTER BAHAN'!$B$5:$B$504,MATCH(C371,'MASTER BAHAN'!$A$5:$A$504,0))))</f>
        <v/>
      </c>
      <c r="G371" s="0" t="str">
        <f aca="false">IF(C371="","",IF(COUNTIFS('MASTER BAHAN'!$A$5:$A$504,C371)=0,"BELUM ADA",INDEX('MASTER BAHAN'!$D$5:$D$504,MATCH(C371,'MASTER BAHAN'!$A$5:$A$504,0))))</f>
        <v/>
      </c>
      <c r="M371" s="0" t="str">
        <f aca="false">IF(A371="","",IF(E371&lt;&gt;"Waste",0,IF(NOT(ISNUMBER(L371)),"ISI BIAYA WASTE",IF(K371="Disetujui",ROUND(F371*L371,0),0))))</f>
        <v/>
      </c>
    </row>
    <row r="372" customFormat="false" ht="15" hidden="false" customHeight="false" outlineLevel="0" collapsed="false">
      <c r="D372" s="0" t="str">
        <f aca="false">IF(C372="","",IF(COUNTIFS('MASTER BAHAN'!$A$5:$A$504,C372)=0,"BELUM ADA",INDEX('MASTER BAHAN'!$B$5:$B$504,MATCH(C372,'MASTER BAHAN'!$A$5:$A$504,0))))</f>
        <v/>
      </c>
      <c r="G372" s="0" t="str">
        <f aca="false">IF(C372="","",IF(COUNTIFS('MASTER BAHAN'!$A$5:$A$504,C372)=0,"BELUM ADA",INDEX('MASTER BAHAN'!$D$5:$D$504,MATCH(C372,'MASTER BAHAN'!$A$5:$A$504,0))))</f>
        <v/>
      </c>
      <c r="M372" s="0" t="str">
        <f aca="false">IF(A372="","",IF(E372&lt;&gt;"Waste",0,IF(NOT(ISNUMBER(L372)),"ISI BIAYA WASTE",IF(K372="Disetujui",ROUND(F372*L372,0),0))))</f>
        <v/>
      </c>
    </row>
    <row r="373" customFormat="false" ht="15" hidden="false" customHeight="false" outlineLevel="0" collapsed="false">
      <c r="D373" s="0" t="str">
        <f aca="false">IF(C373="","",IF(COUNTIFS('MASTER BAHAN'!$A$5:$A$504,C373)=0,"BELUM ADA",INDEX('MASTER BAHAN'!$B$5:$B$504,MATCH(C373,'MASTER BAHAN'!$A$5:$A$504,0))))</f>
        <v/>
      </c>
      <c r="G373" s="0" t="str">
        <f aca="false">IF(C373="","",IF(COUNTIFS('MASTER BAHAN'!$A$5:$A$504,C373)=0,"BELUM ADA",INDEX('MASTER BAHAN'!$D$5:$D$504,MATCH(C373,'MASTER BAHAN'!$A$5:$A$504,0))))</f>
        <v/>
      </c>
      <c r="M373" s="0" t="str">
        <f aca="false">IF(A373="","",IF(E373&lt;&gt;"Waste",0,IF(NOT(ISNUMBER(L373)),"ISI BIAYA WASTE",IF(K373="Disetujui",ROUND(F373*L373,0),0))))</f>
        <v/>
      </c>
    </row>
    <row r="374" customFormat="false" ht="15" hidden="false" customHeight="false" outlineLevel="0" collapsed="false">
      <c r="D374" s="0" t="str">
        <f aca="false">IF(C374="","",IF(COUNTIFS('MASTER BAHAN'!$A$5:$A$504,C374)=0,"BELUM ADA",INDEX('MASTER BAHAN'!$B$5:$B$504,MATCH(C374,'MASTER BAHAN'!$A$5:$A$504,0))))</f>
        <v/>
      </c>
      <c r="G374" s="0" t="str">
        <f aca="false">IF(C374="","",IF(COUNTIFS('MASTER BAHAN'!$A$5:$A$504,C374)=0,"BELUM ADA",INDEX('MASTER BAHAN'!$D$5:$D$504,MATCH(C374,'MASTER BAHAN'!$A$5:$A$504,0))))</f>
        <v/>
      </c>
      <c r="M374" s="0" t="str">
        <f aca="false">IF(A374="","",IF(E374&lt;&gt;"Waste",0,IF(NOT(ISNUMBER(L374)),"ISI BIAYA WASTE",IF(K374="Disetujui",ROUND(F374*L374,0),0))))</f>
        <v/>
      </c>
    </row>
    <row r="375" customFormat="false" ht="15" hidden="false" customHeight="false" outlineLevel="0" collapsed="false">
      <c r="D375" s="0" t="str">
        <f aca="false">IF(C375="","",IF(COUNTIFS('MASTER BAHAN'!$A$5:$A$504,C375)=0,"BELUM ADA",INDEX('MASTER BAHAN'!$B$5:$B$504,MATCH(C375,'MASTER BAHAN'!$A$5:$A$504,0))))</f>
        <v/>
      </c>
      <c r="G375" s="0" t="str">
        <f aca="false">IF(C375="","",IF(COUNTIFS('MASTER BAHAN'!$A$5:$A$504,C375)=0,"BELUM ADA",INDEX('MASTER BAHAN'!$D$5:$D$504,MATCH(C375,'MASTER BAHAN'!$A$5:$A$504,0))))</f>
        <v/>
      </c>
      <c r="M375" s="0" t="str">
        <f aca="false">IF(A375="","",IF(E375&lt;&gt;"Waste",0,IF(NOT(ISNUMBER(L375)),"ISI BIAYA WASTE",IF(K375="Disetujui",ROUND(F375*L375,0),0))))</f>
        <v/>
      </c>
    </row>
    <row r="376" customFormat="false" ht="15" hidden="false" customHeight="false" outlineLevel="0" collapsed="false">
      <c r="D376" s="0" t="str">
        <f aca="false">IF(C376="","",IF(COUNTIFS('MASTER BAHAN'!$A$5:$A$504,C376)=0,"BELUM ADA",INDEX('MASTER BAHAN'!$B$5:$B$504,MATCH(C376,'MASTER BAHAN'!$A$5:$A$504,0))))</f>
        <v/>
      </c>
      <c r="G376" s="0" t="str">
        <f aca="false">IF(C376="","",IF(COUNTIFS('MASTER BAHAN'!$A$5:$A$504,C376)=0,"BELUM ADA",INDEX('MASTER BAHAN'!$D$5:$D$504,MATCH(C376,'MASTER BAHAN'!$A$5:$A$504,0))))</f>
        <v/>
      </c>
      <c r="M376" s="0" t="str">
        <f aca="false">IF(A376="","",IF(E376&lt;&gt;"Waste",0,IF(NOT(ISNUMBER(L376)),"ISI BIAYA WASTE",IF(K376="Disetujui",ROUND(F376*L376,0),0))))</f>
        <v/>
      </c>
    </row>
    <row r="377" customFormat="false" ht="15" hidden="false" customHeight="false" outlineLevel="0" collapsed="false">
      <c r="D377" s="0" t="str">
        <f aca="false">IF(C377="","",IF(COUNTIFS('MASTER BAHAN'!$A$5:$A$504,C377)=0,"BELUM ADA",INDEX('MASTER BAHAN'!$B$5:$B$504,MATCH(C377,'MASTER BAHAN'!$A$5:$A$504,0))))</f>
        <v/>
      </c>
      <c r="G377" s="0" t="str">
        <f aca="false">IF(C377="","",IF(COUNTIFS('MASTER BAHAN'!$A$5:$A$504,C377)=0,"BELUM ADA",INDEX('MASTER BAHAN'!$D$5:$D$504,MATCH(C377,'MASTER BAHAN'!$A$5:$A$504,0))))</f>
        <v/>
      </c>
      <c r="M377" s="0" t="str">
        <f aca="false">IF(A377="","",IF(E377&lt;&gt;"Waste",0,IF(NOT(ISNUMBER(L377)),"ISI BIAYA WASTE",IF(K377="Disetujui",ROUND(F377*L377,0),0))))</f>
        <v/>
      </c>
    </row>
    <row r="378" customFormat="false" ht="15" hidden="false" customHeight="false" outlineLevel="0" collapsed="false">
      <c r="D378" s="0" t="str">
        <f aca="false">IF(C378="","",IF(COUNTIFS('MASTER BAHAN'!$A$5:$A$504,C378)=0,"BELUM ADA",INDEX('MASTER BAHAN'!$B$5:$B$504,MATCH(C378,'MASTER BAHAN'!$A$5:$A$504,0))))</f>
        <v/>
      </c>
      <c r="G378" s="0" t="str">
        <f aca="false">IF(C378="","",IF(COUNTIFS('MASTER BAHAN'!$A$5:$A$504,C378)=0,"BELUM ADA",INDEX('MASTER BAHAN'!$D$5:$D$504,MATCH(C378,'MASTER BAHAN'!$A$5:$A$504,0))))</f>
        <v/>
      </c>
      <c r="M378" s="0" t="str">
        <f aca="false">IF(A378="","",IF(E378&lt;&gt;"Waste",0,IF(NOT(ISNUMBER(L378)),"ISI BIAYA WASTE",IF(K378="Disetujui",ROUND(F378*L378,0),0))))</f>
        <v/>
      </c>
    </row>
    <row r="379" customFormat="false" ht="15" hidden="false" customHeight="false" outlineLevel="0" collapsed="false">
      <c r="D379" s="0" t="str">
        <f aca="false">IF(C379="","",IF(COUNTIFS('MASTER BAHAN'!$A$5:$A$504,C379)=0,"BELUM ADA",INDEX('MASTER BAHAN'!$B$5:$B$504,MATCH(C379,'MASTER BAHAN'!$A$5:$A$504,0))))</f>
        <v/>
      </c>
      <c r="G379" s="0" t="str">
        <f aca="false">IF(C379="","",IF(COUNTIFS('MASTER BAHAN'!$A$5:$A$504,C379)=0,"BELUM ADA",INDEX('MASTER BAHAN'!$D$5:$D$504,MATCH(C379,'MASTER BAHAN'!$A$5:$A$504,0))))</f>
        <v/>
      </c>
      <c r="M379" s="0" t="str">
        <f aca="false">IF(A379="","",IF(E379&lt;&gt;"Waste",0,IF(NOT(ISNUMBER(L379)),"ISI BIAYA WASTE",IF(K379="Disetujui",ROUND(F379*L379,0),0))))</f>
        <v/>
      </c>
    </row>
    <row r="380" customFormat="false" ht="15" hidden="false" customHeight="false" outlineLevel="0" collapsed="false">
      <c r="D380" s="0" t="str">
        <f aca="false">IF(C380="","",IF(COUNTIFS('MASTER BAHAN'!$A$5:$A$504,C380)=0,"BELUM ADA",INDEX('MASTER BAHAN'!$B$5:$B$504,MATCH(C380,'MASTER BAHAN'!$A$5:$A$504,0))))</f>
        <v/>
      </c>
      <c r="G380" s="0" t="str">
        <f aca="false">IF(C380="","",IF(COUNTIFS('MASTER BAHAN'!$A$5:$A$504,C380)=0,"BELUM ADA",INDEX('MASTER BAHAN'!$D$5:$D$504,MATCH(C380,'MASTER BAHAN'!$A$5:$A$504,0))))</f>
        <v/>
      </c>
      <c r="M380" s="0" t="str">
        <f aca="false">IF(A380="","",IF(E380&lt;&gt;"Waste",0,IF(NOT(ISNUMBER(L380)),"ISI BIAYA WASTE",IF(K380="Disetujui",ROUND(F380*L380,0),0))))</f>
        <v/>
      </c>
    </row>
    <row r="381" customFormat="false" ht="15" hidden="false" customHeight="false" outlineLevel="0" collapsed="false">
      <c r="D381" s="0" t="str">
        <f aca="false">IF(C381="","",IF(COUNTIFS('MASTER BAHAN'!$A$5:$A$504,C381)=0,"BELUM ADA",INDEX('MASTER BAHAN'!$B$5:$B$504,MATCH(C381,'MASTER BAHAN'!$A$5:$A$504,0))))</f>
        <v/>
      </c>
      <c r="G381" s="0" t="str">
        <f aca="false">IF(C381="","",IF(COUNTIFS('MASTER BAHAN'!$A$5:$A$504,C381)=0,"BELUM ADA",INDEX('MASTER BAHAN'!$D$5:$D$504,MATCH(C381,'MASTER BAHAN'!$A$5:$A$504,0))))</f>
        <v/>
      </c>
      <c r="M381" s="0" t="str">
        <f aca="false">IF(A381="","",IF(E381&lt;&gt;"Waste",0,IF(NOT(ISNUMBER(L381)),"ISI BIAYA WASTE",IF(K381="Disetujui",ROUND(F381*L381,0),0))))</f>
        <v/>
      </c>
    </row>
    <row r="382" customFormat="false" ht="15" hidden="false" customHeight="false" outlineLevel="0" collapsed="false">
      <c r="D382" s="0" t="str">
        <f aca="false">IF(C382="","",IF(COUNTIFS('MASTER BAHAN'!$A$5:$A$504,C382)=0,"BELUM ADA",INDEX('MASTER BAHAN'!$B$5:$B$504,MATCH(C382,'MASTER BAHAN'!$A$5:$A$504,0))))</f>
        <v/>
      </c>
      <c r="G382" s="0" t="str">
        <f aca="false">IF(C382="","",IF(COUNTIFS('MASTER BAHAN'!$A$5:$A$504,C382)=0,"BELUM ADA",INDEX('MASTER BAHAN'!$D$5:$D$504,MATCH(C382,'MASTER BAHAN'!$A$5:$A$504,0))))</f>
        <v/>
      </c>
      <c r="M382" s="0" t="str">
        <f aca="false">IF(A382="","",IF(E382&lt;&gt;"Waste",0,IF(NOT(ISNUMBER(L382)),"ISI BIAYA WASTE",IF(K382="Disetujui",ROUND(F382*L382,0),0))))</f>
        <v/>
      </c>
    </row>
    <row r="383" customFormat="false" ht="15" hidden="false" customHeight="false" outlineLevel="0" collapsed="false">
      <c r="D383" s="0" t="str">
        <f aca="false">IF(C383="","",IF(COUNTIFS('MASTER BAHAN'!$A$5:$A$504,C383)=0,"BELUM ADA",INDEX('MASTER BAHAN'!$B$5:$B$504,MATCH(C383,'MASTER BAHAN'!$A$5:$A$504,0))))</f>
        <v/>
      </c>
      <c r="G383" s="0" t="str">
        <f aca="false">IF(C383="","",IF(COUNTIFS('MASTER BAHAN'!$A$5:$A$504,C383)=0,"BELUM ADA",INDEX('MASTER BAHAN'!$D$5:$D$504,MATCH(C383,'MASTER BAHAN'!$A$5:$A$504,0))))</f>
        <v/>
      </c>
      <c r="M383" s="0" t="str">
        <f aca="false">IF(A383="","",IF(E383&lt;&gt;"Waste",0,IF(NOT(ISNUMBER(L383)),"ISI BIAYA WASTE",IF(K383="Disetujui",ROUND(F383*L383,0),0))))</f>
        <v/>
      </c>
    </row>
    <row r="384" customFormat="false" ht="15" hidden="false" customHeight="false" outlineLevel="0" collapsed="false">
      <c r="D384" s="0" t="str">
        <f aca="false">IF(C384="","",IF(COUNTIFS('MASTER BAHAN'!$A$5:$A$504,C384)=0,"BELUM ADA",INDEX('MASTER BAHAN'!$B$5:$B$504,MATCH(C384,'MASTER BAHAN'!$A$5:$A$504,0))))</f>
        <v/>
      </c>
      <c r="G384" s="0" t="str">
        <f aca="false">IF(C384="","",IF(COUNTIFS('MASTER BAHAN'!$A$5:$A$504,C384)=0,"BELUM ADA",INDEX('MASTER BAHAN'!$D$5:$D$504,MATCH(C384,'MASTER BAHAN'!$A$5:$A$504,0))))</f>
        <v/>
      </c>
      <c r="M384" s="0" t="str">
        <f aca="false">IF(A384="","",IF(E384&lt;&gt;"Waste",0,IF(NOT(ISNUMBER(L384)),"ISI BIAYA WASTE",IF(K384="Disetujui",ROUND(F384*L384,0),0))))</f>
        <v/>
      </c>
    </row>
    <row r="385" customFormat="false" ht="15" hidden="false" customHeight="false" outlineLevel="0" collapsed="false">
      <c r="D385" s="0" t="str">
        <f aca="false">IF(C385="","",IF(COUNTIFS('MASTER BAHAN'!$A$5:$A$504,C385)=0,"BELUM ADA",INDEX('MASTER BAHAN'!$B$5:$B$504,MATCH(C385,'MASTER BAHAN'!$A$5:$A$504,0))))</f>
        <v/>
      </c>
      <c r="G385" s="0" t="str">
        <f aca="false">IF(C385="","",IF(COUNTIFS('MASTER BAHAN'!$A$5:$A$504,C385)=0,"BELUM ADA",INDEX('MASTER BAHAN'!$D$5:$D$504,MATCH(C385,'MASTER BAHAN'!$A$5:$A$504,0))))</f>
        <v/>
      </c>
      <c r="M385" s="0" t="str">
        <f aca="false">IF(A385="","",IF(E385&lt;&gt;"Waste",0,IF(NOT(ISNUMBER(L385)),"ISI BIAYA WASTE",IF(K385="Disetujui",ROUND(F385*L385,0),0))))</f>
        <v/>
      </c>
    </row>
    <row r="386" customFormat="false" ht="15" hidden="false" customHeight="false" outlineLevel="0" collapsed="false">
      <c r="D386" s="0" t="str">
        <f aca="false">IF(C386="","",IF(COUNTIFS('MASTER BAHAN'!$A$5:$A$504,C386)=0,"BELUM ADA",INDEX('MASTER BAHAN'!$B$5:$B$504,MATCH(C386,'MASTER BAHAN'!$A$5:$A$504,0))))</f>
        <v/>
      </c>
      <c r="G386" s="0" t="str">
        <f aca="false">IF(C386="","",IF(COUNTIFS('MASTER BAHAN'!$A$5:$A$504,C386)=0,"BELUM ADA",INDEX('MASTER BAHAN'!$D$5:$D$504,MATCH(C386,'MASTER BAHAN'!$A$5:$A$504,0))))</f>
        <v/>
      </c>
      <c r="M386" s="0" t="str">
        <f aca="false">IF(A386="","",IF(E386&lt;&gt;"Waste",0,IF(NOT(ISNUMBER(L386)),"ISI BIAYA WASTE",IF(K386="Disetujui",ROUND(F386*L386,0),0))))</f>
        <v/>
      </c>
    </row>
    <row r="387" customFormat="false" ht="15" hidden="false" customHeight="false" outlineLevel="0" collapsed="false">
      <c r="D387" s="0" t="str">
        <f aca="false">IF(C387="","",IF(COUNTIFS('MASTER BAHAN'!$A$5:$A$504,C387)=0,"BELUM ADA",INDEX('MASTER BAHAN'!$B$5:$B$504,MATCH(C387,'MASTER BAHAN'!$A$5:$A$504,0))))</f>
        <v/>
      </c>
      <c r="G387" s="0" t="str">
        <f aca="false">IF(C387="","",IF(COUNTIFS('MASTER BAHAN'!$A$5:$A$504,C387)=0,"BELUM ADA",INDEX('MASTER BAHAN'!$D$5:$D$504,MATCH(C387,'MASTER BAHAN'!$A$5:$A$504,0))))</f>
        <v/>
      </c>
      <c r="M387" s="0" t="str">
        <f aca="false">IF(A387="","",IF(E387&lt;&gt;"Waste",0,IF(NOT(ISNUMBER(L387)),"ISI BIAYA WASTE",IF(K387="Disetujui",ROUND(F387*L387,0),0))))</f>
        <v/>
      </c>
    </row>
    <row r="388" customFormat="false" ht="15" hidden="false" customHeight="false" outlineLevel="0" collapsed="false">
      <c r="D388" s="0" t="str">
        <f aca="false">IF(C388="","",IF(COUNTIFS('MASTER BAHAN'!$A$5:$A$504,C388)=0,"BELUM ADA",INDEX('MASTER BAHAN'!$B$5:$B$504,MATCH(C388,'MASTER BAHAN'!$A$5:$A$504,0))))</f>
        <v/>
      </c>
      <c r="G388" s="0" t="str">
        <f aca="false">IF(C388="","",IF(COUNTIFS('MASTER BAHAN'!$A$5:$A$504,C388)=0,"BELUM ADA",INDEX('MASTER BAHAN'!$D$5:$D$504,MATCH(C388,'MASTER BAHAN'!$A$5:$A$504,0))))</f>
        <v/>
      </c>
      <c r="M388" s="0" t="str">
        <f aca="false">IF(A388="","",IF(E388&lt;&gt;"Waste",0,IF(NOT(ISNUMBER(L388)),"ISI BIAYA WASTE",IF(K388="Disetujui",ROUND(F388*L388,0),0))))</f>
        <v/>
      </c>
    </row>
    <row r="389" customFormat="false" ht="15" hidden="false" customHeight="false" outlineLevel="0" collapsed="false">
      <c r="D389" s="0" t="str">
        <f aca="false">IF(C389="","",IF(COUNTIFS('MASTER BAHAN'!$A$5:$A$504,C389)=0,"BELUM ADA",INDEX('MASTER BAHAN'!$B$5:$B$504,MATCH(C389,'MASTER BAHAN'!$A$5:$A$504,0))))</f>
        <v/>
      </c>
      <c r="G389" s="0" t="str">
        <f aca="false">IF(C389="","",IF(COUNTIFS('MASTER BAHAN'!$A$5:$A$504,C389)=0,"BELUM ADA",INDEX('MASTER BAHAN'!$D$5:$D$504,MATCH(C389,'MASTER BAHAN'!$A$5:$A$504,0))))</f>
        <v/>
      </c>
      <c r="M389" s="0" t="str">
        <f aca="false">IF(A389="","",IF(E389&lt;&gt;"Waste",0,IF(NOT(ISNUMBER(L389)),"ISI BIAYA WASTE",IF(K389="Disetujui",ROUND(F389*L389,0),0))))</f>
        <v/>
      </c>
    </row>
    <row r="390" customFormat="false" ht="15" hidden="false" customHeight="false" outlineLevel="0" collapsed="false">
      <c r="D390" s="0" t="str">
        <f aca="false">IF(C390="","",IF(COUNTIFS('MASTER BAHAN'!$A$5:$A$504,C390)=0,"BELUM ADA",INDEX('MASTER BAHAN'!$B$5:$B$504,MATCH(C390,'MASTER BAHAN'!$A$5:$A$504,0))))</f>
        <v/>
      </c>
      <c r="G390" s="0" t="str">
        <f aca="false">IF(C390="","",IF(COUNTIFS('MASTER BAHAN'!$A$5:$A$504,C390)=0,"BELUM ADA",INDEX('MASTER BAHAN'!$D$5:$D$504,MATCH(C390,'MASTER BAHAN'!$A$5:$A$504,0))))</f>
        <v/>
      </c>
      <c r="M390" s="0" t="str">
        <f aca="false">IF(A390="","",IF(E390&lt;&gt;"Waste",0,IF(NOT(ISNUMBER(L390)),"ISI BIAYA WASTE",IF(K390="Disetujui",ROUND(F390*L390,0),0))))</f>
        <v/>
      </c>
    </row>
    <row r="391" customFormat="false" ht="15" hidden="false" customHeight="false" outlineLevel="0" collapsed="false">
      <c r="D391" s="0" t="str">
        <f aca="false">IF(C391="","",IF(COUNTIFS('MASTER BAHAN'!$A$5:$A$504,C391)=0,"BELUM ADA",INDEX('MASTER BAHAN'!$B$5:$B$504,MATCH(C391,'MASTER BAHAN'!$A$5:$A$504,0))))</f>
        <v/>
      </c>
      <c r="G391" s="0" t="str">
        <f aca="false">IF(C391="","",IF(COUNTIFS('MASTER BAHAN'!$A$5:$A$504,C391)=0,"BELUM ADA",INDEX('MASTER BAHAN'!$D$5:$D$504,MATCH(C391,'MASTER BAHAN'!$A$5:$A$504,0))))</f>
        <v/>
      </c>
      <c r="M391" s="0" t="str">
        <f aca="false">IF(A391="","",IF(E391&lt;&gt;"Waste",0,IF(NOT(ISNUMBER(L391)),"ISI BIAYA WASTE",IF(K391="Disetujui",ROUND(F391*L391,0),0))))</f>
        <v/>
      </c>
    </row>
    <row r="392" customFormat="false" ht="15" hidden="false" customHeight="false" outlineLevel="0" collapsed="false">
      <c r="D392" s="0" t="str">
        <f aca="false">IF(C392="","",IF(COUNTIFS('MASTER BAHAN'!$A$5:$A$504,C392)=0,"BELUM ADA",INDEX('MASTER BAHAN'!$B$5:$B$504,MATCH(C392,'MASTER BAHAN'!$A$5:$A$504,0))))</f>
        <v/>
      </c>
      <c r="G392" s="0" t="str">
        <f aca="false">IF(C392="","",IF(COUNTIFS('MASTER BAHAN'!$A$5:$A$504,C392)=0,"BELUM ADA",INDEX('MASTER BAHAN'!$D$5:$D$504,MATCH(C392,'MASTER BAHAN'!$A$5:$A$504,0))))</f>
        <v/>
      </c>
      <c r="M392" s="0" t="str">
        <f aca="false">IF(A392="","",IF(E392&lt;&gt;"Waste",0,IF(NOT(ISNUMBER(L392)),"ISI BIAYA WASTE",IF(K392="Disetujui",ROUND(F392*L392,0),0))))</f>
        <v/>
      </c>
    </row>
    <row r="393" customFormat="false" ht="15" hidden="false" customHeight="false" outlineLevel="0" collapsed="false">
      <c r="D393" s="0" t="str">
        <f aca="false">IF(C393="","",IF(COUNTIFS('MASTER BAHAN'!$A$5:$A$504,C393)=0,"BELUM ADA",INDEX('MASTER BAHAN'!$B$5:$B$504,MATCH(C393,'MASTER BAHAN'!$A$5:$A$504,0))))</f>
        <v/>
      </c>
      <c r="G393" s="0" t="str">
        <f aca="false">IF(C393="","",IF(COUNTIFS('MASTER BAHAN'!$A$5:$A$504,C393)=0,"BELUM ADA",INDEX('MASTER BAHAN'!$D$5:$D$504,MATCH(C393,'MASTER BAHAN'!$A$5:$A$504,0))))</f>
        <v/>
      </c>
      <c r="M393" s="0" t="str">
        <f aca="false">IF(A393="","",IF(E393&lt;&gt;"Waste",0,IF(NOT(ISNUMBER(L393)),"ISI BIAYA WASTE",IF(K393="Disetujui",ROUND(F393*L393,0),0))))</f>
        <v/>
      </c>
    </row>
    <row r="394" customFormat="false" ht="15" hidden="false" customHeight="false" outlineLevel="0" collapsed="false">
      <c r="D394" s="0" t="str">
        <f aca="false">IF(C394="","",IF(COUNTIFS('MASTER BAHAN'!$A$5:$A$504,C394)=0,"BELUM ADA",INDEX('MASTER BAHAN'!$B$5:$B$504,MATCH(C394,'MASTER BAHAN'!$A$5:$A$504,0))))</f>
        <v/>
      </c>
      <c r="G394" s="0" t="str">
        <f aca="false">IF(C394="","",IF(COUNTIFS('MASTER BAHAN'!$A$5:$A$504,C394)=0,"BELUM ADA",INDEX('MASTER BAHAN'!$D$5:$D$504,MATCH(C394,'MASTER BAHAN'!$A$5:$A$504,0))))</f>
        <v/>
      </c>
      <c r="M394" s="0" t="str">
        <f aca="false">IF(A394="","",IF(E394&lt;&gt;"Waste",0,IF(NOT(ISNUMBER(L394)),"ISI BIAYA WASTE",IF(K394="Disetujui",ROUND(F394*L394,0),0))))</f>
        <v/>
      </c>
    </row>
    <row r="395" customFormat="false" ht="15" hidden="false" customHeight="false" outlineLevel="0" collapsed="false">
      <c r="D395" s="0" t="str">
        <f aca="false">IF(C395="","",IF(COUNTIFS('MASTER BAHAN'!$A$5:$A$504,C395)=0,"BELUM ADA",INDEX('MASTER BAHAN'!$B$5:$B$504,MATCH(C395,'MASTER BAHAN'!$A$5:$A$504,0))))</f>
        <v/>
      </c>
      <c r="G395" s="0" t="str">
        <f aca="false">IF(C395="","",IF(COUNTIFS('MASTER BAHAN'!$A$5:$A$504,C395)=0,"BELUM ADA",INDEX('MASTER BAHAN'!$D$5:$D$504,MATCH(C395,'MASTER BAHAN'!$A$5:$A$504,0))))</f>
        <v/>
      </c>
      <c r="M395" s="0" t="str">
        <f aca="false">IF(A395="","",IF(E395&lt;&gt;"Waste",0,IF(NOT(ISNUMBER(L395)),"ISI BIAYA WASTE",IF(K395="Disetujui",ROUND(F395*L395,0),0))))</f>
        <v/>
      </c>
    </row>
    <row r="396" customFormat="false" ht="15" hidden="false" customHeight="false" outlineLevel="0" collapsed="false">
      <c r="D396" s="0" t="str">
        <f aca="false">IF(C396="","",IF(COUNTIFS('MASTER BAHAN'!$A$5:$A$504,C396)=0,"BELUM ADA",INDEX('MASTER BAHAN'!$B$5:$B$504,MATCH(C396,'MASTER BAHAN'!$A$5:$A$504,0))))</f>
        <v/>
      </c>
      <c r="G396" s="0" t="str">
        <f aca="false">IF(C396="","",IF(COUNTIFS('MASTER BAHAN'!$A$5:$A$504,C396)=0,"BELUM ADA",INDEX('MASTER BAHAN'!$D$5:$D$504,MATCH(C396,'MASTER BAHAN'!$A$5:$A$504,0))))</f>
        <v/>
      </c>
      <c r="M396" s="0" t="str">
        <f aca="false">IF(A396="","",IF(E396&lt;&gt;"Waste",0,IF(NOT(ISNUMBER(L396)),"ISI BIAYA WASTE",IF(K396="Disetujui",ROUND(F396*L396,0),0))))</f>
        <v/>
      </c>
    </row>
    <row r="397" customFormat="false" ht="15" hidden="false" customHeight="false" outlineLevel="0" collapsed="false">
      <c r="D397" s="0" t="str">
        <f aca="false">IF(C397="","",IF(COUNTIFS('MASTER BAHAN'!$A$5:$A$504,C397)=0,"BELUM ADA",INDEX('MASTER BAHAN'!$B$5:$B$504,MATCH(C397,'MASTER BAHAN'!$A$5:$A$504,0))))</f>
        <v/>
      </c>
      <c r="G397" s="0" t="str">
        <f aca="false">IF(C397="","",IF(COUNTIFS('MASTER BAHAN'!$A$5:$A$504,C397)=0,"BELUM ADA",INDEX('MASTER BAHAN'!$D$5:$D$504,MATCH(C397,'MASTER BAHAN'!$A$5:$A$504,0))))</f>
        <v/>
      </c>
      <c r="M397" s="0" t="str">
        <f aca="false">IF(A397="","",IF(E397&lt;&gt;"Waste",0,IF(NOT(ISNUMBER(L397)),"ISI BIAYA WASTE",IF(K397="Disetujui",ROUND(F397*L397,0),0))))</f>
        <v/>
      </c>
    </row>
    <row r="398" customFormat="false" ht="15" hidden="false" customHeight="false" outlineLevel="0" collapsed="false">
      <c r="D398" s="0" t="str">
        <f aca="false">IF(C398="","",IF(COUNTIFS('MASTER BAHAN'!$A$5:$A$504,C398)=0,"BELUM ADA",INDEX('MASTER BAHAN'!$B$5:$B$504,MATCH(C398,'MASTER BAHAN'!$A$5:$A$504,0))))</f>
        <v/>
      </c>
      <c r="G398" s="0" t="str">
        <f aca="false">IF(C398="","",IF(COUNTIFS('MASTER BAHAN'!$A$5:$A$504,C398)=0,"BELUM ADA",INDEX('MASTER BAHAN'!$D$5:$D$504,MATCH(C398,'MASTER BAHAN'!$A$5:$A$504,0))))</f>
        <v/>
      </c>
      <c r="M398" s="0" t="str">
        <f aca="false">IF(A398="","",IF(E398&lt;&gt;"Waste",0,IF(NOT(ISNUMBER(L398)),"ISI BIAYA WASTE",IF(K398="Disetujui",ROUND(F398*L398,0),0))))</f>
        <v/>
      </c>
    </row>
    <row r="399" customFormat="false" ht="15" hidden="false" customHeight="false" outlineLevel="0" collapsed="false">
      <c r="D399" s="0" t="str">
        <f aca="false">IF(C399="","",IF(COUNTIFS('MASTER BAHAN'!$A$5:$A$504,C399)=0,"BELUM ADA",INDEX('MASTER BAHAN'!$B$5:$B$504,MATCH(C399,'MASTER BAHAN'!$A$5:$A$504,0))))</f>
        <v/>
      </c>
      <c r="G399" s="0" t="str">
        <f aca="false">IF(C399="","",IF(COUNTIFS('MASTER BAHAN'!$A$5:$A$504,C399)=0,"BELUM ADA",INDEX('MASTER BAHAN'!$D$5:$D$504,MATCH(C399,'MASTER BAHAN'!$A$5:$A$504,0))))</f>
        <v/>
      </c>
      <c r="M399" s="0" t="str">
        <f aca="false">IF(A399="","",IF(E399&lt;&gt;"Waste",0,IF(NOT(ISNUMBER(L399)),"ISI BIAYA WASTE",IF(K399="Disetujui",ROUND(F399*L399,0),0))))</f>
        <v/>
      </c>
    </row>
    <row r="400" customFormat="false" ht="15" hidden="false" customHeight="false" outlineLevel="0" collapsed="false">
      <c r="D400" s="0" t="str">
        <f aca="false">IF(C400="","",IF(COUNTIFS('MASTER BAHAN'!$A$5:$A$504,C400)=0,"BELUM ADA",INDEX('MASTER BAHAN'!$B$5:$B$504,MATCH(C400,'MASTER BAHAN'!$A$5:$A$504,0))))</f>
        <v/>
      </c>
      <c r="G400" s="0" t="str">
        <f aca="false">IF(C400="","",IF(COUNTIFS('MASTER BAHAN'!$A$5:$A$504,C400)=0,"BELUM ADA",INDEX('MASTER BAHAN'!$D$5:$D$504,MATCH(C400,'MASTER BAHAN'!$A$5:$A$504,0))))</f>
        <v/>
      </c>
      <c r="M400" s="0" t="str">
        <f aca="false">IF(A400="","",IF(E400&lt;&gt;"Waste",0,IF(NOT(ISNUMBER(L400)),"ISI BIAYA WASTE",IF(K400="Disetujui",ROUND(F400*L400,0),0))))</f>
        <v/>
      </c>
    </row>
    <row r="401" customFormat="false" ht="15" hidden="false" customHeight="false" outlineLevel="0" collapsed="false">
      <c r="D401" s="0" t="str">
        <f aca="false">IF(C401="","",IF(COUNTIFS('MASTER BAHAN'!$A$5:$A$504,C401)=0,"BELUM ADA",INDEX('MASTER BAHAN'!$B$5:$B$504,MATCH(C401,'MASTER BAHAN'!$A$5:$A$504,0))))</f>
        <v/>
      </c>
      <c r="G401" s="0" t="str">
        <f aca="false">IF(C401="","",IF(COUNTIFS('MASTER BAHAN'!$A$5:$A$504,C401)=0,"BELUM ADA",INDEX('MASTER BAHAN'!$D$5:$D$504,MATCH(C401,'MASTER BAHAN'!$A$5:$A$504,0))))</f>
        <v/>
      </c>
      <c r="M401" s="0" t="str">
        <f aca="false">IF(A401="","",IF(E401&lt;&gt;"Waste",0,IF(NOT(ISNUMBER(L401)),"ISI BIAYA WASTE",IF(K401="Disetujui",ROUND(F401*L401,0),0))))</f>
        <v/>
      </c>
    </row>
    <row r="402" customFormat="false" ht="15" hidden="false" customHeight="false" outlineLevel="0" collapsed="false">
      <c r="D402" s="0" t="str">
        <f aca="false">IF(C402="","",IF(COUNTIFS('MASTER BAHAN'!$A$5:$A$504,C402)=0,"BELUM ADA",INDEX('MASTER BAHAN'!$B$5:$B$504,MATCH(C402,'MASTER BAHAN'!$A$5:$A$504,0))))</f>
        <v/>
      </c>
      <c r="G402" s="0" t="str">
        <f aca="false">IF(C402="","",IF(COUNTIFS('MASTER BAHAN'!$A$5:$A$504,C402)=0,"BELUM ADA",INDEX('MASTER BAHAN'!$D$5:$D$504,MATCH(C402,'MASTER BAHAN'!$A$5:$A$504,0))))</f>
        <v/>
      </c>
      <c r="M402" s="0" t="str">
        <f aca="false">IF(A402="","",IF(E402&lt;&gt;"Waste",0,IF(NOT(ISNUMBER(L402)),"ISI BIAYA WASTE",IF(K402="Disetujui",ROUND(F402*L402,0),0))))</f>
        <v/>
      </c>
    </row>
    <row r="403" customFormat="false" ht="15" hidden="false" customHeight="false" outlineLevel="0" collapsed="false">
      <c r="D403" s="0" t="str">
        <f aca="false">IF(C403="","",IF(COUNTIFS('MASTER BAHAN'!$A$5:$A$504,C403)=0,"BELUM ADA",INDEX('MASTER BAHAN'!$B$5:$B$504,MATCH(C403,'MASTER BAHAN'!$A$5:$A$504,0))))</f>
        <v/>
      </c>
      <c r="G403" s="0" t="str">
        <f aca="false">IF(C403="","",IF(COUNTIFS('MASTER BAHAN'!$A$5:$A$504,C403)=0,"BELUM ADA",INDEX('MASTER BAHAN'!$D$5:$D$504,MATCH(C403,'MASTER BAHAN'!$A$5:$A$504,0))))</f>
        <v/>
      </c>
      <c r="M403" s="0" t="str">
        <f aca="false">IF(A403="","",IF(E403&lt;&gt;"Waste",0,IF(NOT(ISNUMBER(L403)),"ISI BIAYA WASTE",IF(K403="Disetujui",ROUND(F403*L403,0),0))))</f>
        <v/>
      </c>
    </row>
    <row r="404" customFormat="false" ht="15" hidden="false" customHeight="false" outlineLevel="0" collapsed="false">
      <c r="D404" s="0" t="str">
        <f aca="false">IF(C404="","",IF(COUNTIFS('MASTER BAHAN'!$A$5:$A$504,C404)=0,"BELUM ADA",INDEX('MASTER BAHAN'!$B$5:$B$504,MATCH(C404,'MASTER BAHAN'!$A$5:$A$504,0))))</f>
        <v/>
      </c>
      <c r="G404" s="0" t="str">
        <f aca="false">IF(C404="","",IF(COUNTIFS('MASTER BAHAN'!$A$5:$A$504,C404)=0,"BELUM ADA",INDEX('MASTER BAHAN'!$D$5:$D$504,MATCH(C404,'MASTER BAHAN'!$A$5:$A$504,0))))</f>
        <v/>
      </c>
      <c r="M404" s="0" t="str">
        <f aca="false">IF(A404="","",IF(E404&lt;&gt;"Waste",0,IF(NOT(ISNUMBER(L404)),"ISI BIAYA WASTE",IF(K404="Disetujui",ROUND(F404*L404,0),0))))</f>
        <v/>
      </c>
    </row>
    <row r="405" customFormat="false" ht="15" hidden="false" customHeight="false" outlineLevel="0" collapsed="false">
      <c r="D405" s="0" t="str">
        <f aca="false">IF(C405="","",IF(COUNTIFS('MASTER BAHAN'!$A$5:$A$504,C405)=0,"BELUM ADA",INDEX('MASTER BAHAN'!$B$5:$B$504,MATCH(C405,'MASTER BAHAN'!$A$5:$A$504,0))))</f>
        <v/>
      </c>
      <c r="G405" s="0" t="str">
        <f aca="false">IF(C405="","",IF(COUNTIFS('MASTER BAHAN'!$A$5:$A$504,C405)=0,"BELUM ADA",INDEX('MASTER BAHAN'!$D$5:$D$504,MATCH(C405,'MASTER BAHAN'!$A$5:$A$504,0))))</f>
        <v/>
      </c>
      <c r="M405" s="0" t="str">
        <f aca="false">IF(A405="","",IF(E405&lt;&gt;"Waste",0,IF(NOT(ISNUMBER(L405)),"ISI BIAYA WASTE",IF(K405="Disetujui",ROUND(F405*L405,0),0))))</f>
        <v/>
      </c>
    </row>
    <row r="406" customFormat="false" ht="15" hidden="false" customHeight="false" outlineLevel="0" collapsed="false">
      <c r="D406" s="0" t="str">
        <f aca="false">IF(C406="","",IF(COUNTIFS('MASTER BAHAN'!$A$5:$A$504,C406)=0,"BELUM ADA",INDEX('MASTER BAHAN'!$B$5:$B$504,MATCH(C406,'MASTER BAHAN'!$A$5:$A$504,0))))</f>
        <v/>
      </c>
      <c r="G406" s="0" t="str">
        <f aca="false">IF(C406="","",IF(COUNTIFS('MASTER BAHAN'!$A$5:$A$504,C406)=0,"BELUM ADA",INDEX('MASTER BAHAN'!$D$5:$D$504,MATCH(C406,'MASTER BAHAN'!$A$5:$A$504,0))))</f>
        <v/>
      </c>
      <c r="M406" s="0" t="str">
        <f aca="false">IF(A406="","",IF(E406&lt;&gt;"Waste",0,IF(NOT(ISNUMBER(L406)),"ISI BIAYA WASTE",IF(K406="Disetujui",ROUND(F406*L406,0),0))))</f>
        <v/>
      </c>
    </row>
    <row r="407" customFormat="false" ht="15" hidden="false" customHeight="false" outlineLevel="0" collapsed="false">
      <c r="D407" s="0" t="str">
        <f aca="false">IF(C407="","",IF(COUNTIFS('MASTER BAHAN'!$A$5:$A$504,C407)=0,"BELUM ADA",INDEX('MASTER BAHAN'!$B$5:$B$504,MATCH(C407,'MASTER BAHAN'!$A$5:$A$504,0))))</f>
        <v/>
      </c>
      <c r="G407" s="0" t="str">
        <f aca="false">IF(C407="","",IF(COUNTIFS('MASTER BAHAN'!$A$5:$A$504,C407)=0,"BELUM ADA",INDEX('MASTER BAHAN'!$D$5:$D$504,MATCH(C407,'MASTER BAHAN'!$A$5:$A$504,0))))</f>
        <v/>
      </c>
      <c r="M407" s="0" t="str">
        <f aca="false">IF(A407="","",IF(E407&lt;&gt;"Waste",0,IF(NOT(ISNUMBER(L407)),"ISI BIAYA WASTE",IF(K407="Disetujui",ROUND(F407*L407,0),0))))</f>
        <v/>
      </c>
    </row>
    <row r="408" customFormat="false" ht="15" hidden="false" customHeight="false" outlineLevel="0" collapsed="false">
      <c r="D408" s="0" t="str">
        <f aca="false">IF(C408="","",IF(COUNTIFS('MASTER BAHAN'!$A$5:$A$504,C408)=0,"BELUM ADA",INDEX('MASTER BAHAN'!$B$5:$B$504,MATCH(C408,'MASTER BAHAN'!$A$5:$A$504,0))))</f>
        <v/>
      </c>
      <c r="G408" s="0" t="str">
        <f aca="false">IF(C408="","",IF(COUNTIFS('MASTER BAHAN'!$A$5:$A$504,C408)=0,"BELUM ADA",INDEX('MASTER BAHAN'!$D$5:$D$504,MATCH(C408,'MASTER BAHAN'!$A$5:$A$504,0))))</f>
        <v/>
      </c>
      <c r="M408" s="0" t="str">
        <f aca="false">IF(A408="","",IF(E408&lt;&gt;"Waste",0,IF(NOT(ISNUMBER(L408)),"ISI BIAYA WASTE",IF(K408="Disetujui",ROUND(F408*L408,0),0))))</f>
        <v/>
      </c>
    </row>
    <row r="409" customFormat="false" ht="15" hidden="false" customHeight="false" outlineLevel="0" collapsed="false">
      <c r="D409" s="0" t="str">
        <f aca="false">IF(C409="","",IF(COUNTIFS('MASTER BAHAN'!$A$5:$A$504,C409)=0,"BELUM ADA",INDEX('MASTER BAHAN'!$B$5:$B$504,MATCH(C409,'MASTER BAHAN'!$A$5:$A$504,0))))</f>
        <v/>
      </c>
      <c r="G409" s="0" t="str">
        <f aca="false">IF(C409="","",IF(COUNTIFS('MASTER BAHAN'!$A$5:$A$504,C409)=0,"BELUM ADA",INDEX('MASTER BAHAN'!$D$5:$D$504,MATCH(C409,'MASTER BAHAN'!$A$5:$A$504,0))))</f>
        <v/>
      </c>
      <c r="M409" s="0" t="str">
        <f aca="false">IF(A409="","",IF(E409&lt;&gt;"Waste",0,IF(NOT(ISNUMBER(L409)),"ISI BIAYA WASTE",IF(K409="Disetujui",ROUND(F409*L409,0),0))))</f>
        <v/>
      </c>
    </row>
    <row r="410" customFormat="false" ht="15" hidden="false" customHeight="false" outlineLevel="0" collapsed="false">
      <c r="D410" s="0" t="str">
        <f aca="false">IF(C410="","",IF(COUNTIFS('MASTER BAHAN'!$A$5:$A$504,C410)=0,"BELUM ADA",INDEX('MASTER BAHAN'!$B$5:$B$504,MATCH(C410,'MASTER BAHAN'!$A$5:$A$504,0))))</f>
        <v/>
      </c>
      <c r="G410" s="0" t="str">
        <f aca="false">IF(C410="","",IF(COUNTIFS('MASTER BAHAN'!$A$5:$A$504,C410)=0,"BELUM ADA",INDEX('MASTER BAHAN'!$D$5:$D$504,MATCH(C410,'MASTER BAHAN'!$A$5:$A$504,0))))</f>
        <v/>
      </c>
      <c r="M410" s="0" t="str">
        <f aca="false">IF(A410="","",IF(E410&lt;&gt;"Waste",0,IF(NOT(ISNUMBER(L410)),"ISI BIAYA WASTE",IF(K410="Disetujui",ROUND(F410*L410,0),0))))</f>
        <v/>
      </c>
    </row>
    <row r="411" customFormat="false" ht="15" hidden="false" customHeight="false" outlineLevel="0" collapsed="false">
      <c r="D411" s="0" t="str">
        <f aca="false">IF(C411="","",IF(COUNTIFS('MASTER BAHAN'!$A$5:$A$504,C411)=0,"BELUM ADA",INDEX('MASTER BAHAN'!$B$5:$B$504,MATCH(C411,'MASTER BAHAN'!$A$5:$A$504,0))))</f>
        <v/>
      </c>
      <c r="G411" s="0" t="str">
        <f aca="false">IF(C411="","",IF(COUNTIFS('MASTER BAHAN'!$A$5:$A$504,C411)=0,"BELUM ADA",INDEX('MASTER BAHAN'!$D$5:$D$504,MATCH(C411,'MASTER BAHAN'!$A$5:$A$504,0))))</f>
        <v/>
      </c>
      <c r="M411" s="0" t="str">
        <f aca="false">IF(A411="","",IF(E411&lt;&gt;"Waste",0,IF(NOT(ISNUMBER(L411)),"ISI BIAYA WASTE",IF(K411="Disetujui",ROUND(F411*L411,0),0))))</f>
        <v/>
      </c>
    </row>
    <row r="412" customFormat="false" ht="15" hidden="false" customHeight="false" outlineLevel="0" collapsed="false">
      <c r="D412" s="0" t="str">
        <f aca="false">IF(C412="","",IF(COUNTIFS('MASTER BAHAN'!$A$5:$A$504,C412)=0,"BELUM ADA",INDEX('MASTER BAHAN'!$B$5:$B$504,MATCH(C412,'MASTER BAHAN'!$A$5:$A$504,0))))</f>
        <v/>
      </c>
      <c r="G412" s="0" t="str">
        <f aca="false">IF(C412="","",IF(COUNTIFS('MASTER BAHAN'!$A$5:$A$504,C412)=0,"BELUM ADA",INDEX('MASTER BAHAN'!$D$5:$D$504,MATCH(C412,'MASTER BAHAN'!$A$5:$A$504,0))))</f>
        <v/>
      </c>
      <c r="M412" s="0" t="str">
        <f aca="false">IF(A412="","",IF(E412&lt;&gt;"Waste",0,IF(NOT(ISNUMBER(L412)),"ISI BIAYA WASTE",IF(K412="Disetujui",ROUND(F412*L412,0),0))))</f>
        <v/>
      </c>
    </row>
    <row r="413" customFormat="false" ht="15" hidden="false" customHeight="false" outlineLevel="0" collapsed="false">
      <c r="D413" s="0" t="str">
        <f aca="false">IF(C413="","",IF(COUNTIFS('MASTER BAHAN'!$A$5:$A$504,C413)=0,"BELUM ADA",INDEX('MASTER BAHAN'!$B$5:$B$504,MATCH(C413,'MASTER BAHAN'!$A$5:$A$504,0))))</f>
        <v/>
      </c>
      <c r="G413" s="0" t="str">
        <f aca="false">IF(C413="","",IF(COUNTIFS('MASTER BAHAN'!$A$5:$A$504,C413)=0,"BELUM ADA",INDEX('MASTER BAHAN'!$D$5:$D$504,MATCH(C413,'MASTER BAHAN'!$A$5:$A$504,0))))</f>
        <v/>
      </c>
      <c r="M413" s="0" t="str">
        <f aca="false">IF(A413="","",IF(E413&lt;&gt;"Waste",0,IF(NOT(ISNUMBER(L413)),"ISI BIAYA WASTE",IF(K413="Disetujui",ROUND(F413*L413,0),0))))</f>
        <v/>
      </c>
    </row>
    <row r="414" customFormat="false" ht="15" hidden="false" customHeight="false" outlineLevel="0" collapsed="false">
      <c r="D414" s="0" t="str">
        <f aca="false">IF(C414="","",IF(COUNTIFS('MASTER BAHAN'!$A$5:$A$504,C414)=0,"BELUM ADA",INDEX('MASTER BAHAN'!$B$5:$B$504,MATCH(C414,'MASTER BAHAN'!$A$5:$A$504,0))))</f>
        <v/>
      </c>
      <c r="G414" s="0" t="str">
        <f aca="false">IF(C414="","",IF(COUNTIFS('MASTER BAHAN'!$A$5:$A$504,C414)=0,"BELUM ADA",INDEX('MASTER BAHAN'!$D$5:$D$504,MATCH(C414,'MASTER BAHAN'!$A$5:$A$504,0))))</f>
        <v/>
      </c>
      <c r="M414" s="0" t="str">
        <f aca="false">IF(A414="","",IF(E414&lt;&gt;"Waste",0,IF(NOT(ISNUMBER(L414)),"ISI BIAYA WASTE",IF(K414="Disetujui",ROUND(F414*L414,0),0))))</f>
        <v/>
      </c>
    </row>
    <row r="415" customFormat="false" ht="15" hidden="false" customHeight="false" outlineLevel="0" collapsed="false">
      <c r="D415" s="0" t="str">
        <f aca="false">IF(C415="","",IF(COUNTIFS('MASTER BAHAN'!$A$5:$A$504,C415)=0,"BELUM ADA",INDEX('MASTER BAHAN'!$B$5:$B$504,MATCH(C415,'MASTER BAHAN'!$A$5:$A$504,0))))</f>
        <v/>
      </c>
      <c r="G415" s="0" t="str">
        <f aca="false">IF(C415="","",IF(COUNTIFS('MASTER BAHAN'!$A$5:$A$504,C415)=0,"BELUM ADA",INDEX('MASTER BAHAN'!$D$5:$D$504,MATCH(C415,'MASTER BAHAN'!$A$5:$A$504,0))))</f>
        <v/>
      </c>
      <c r="M415" s="0" t="str">
        <f aca="false">IF(A415="","",IF(E415&lt;&gt;"Waste",0,IF(NOT(ISNUMBER(L415)),"ISI BIAYA WASTE",IF(K415="Disetujui",ROUND(F415*L415,0),0))))</f>
        <v/>
      </c>
    </row>
    <row r="416" customFormat="false" ht="15" hidden="false" customHeight="false" outlineLevel="0" collapsed="false">
      <c r="D416" s="0" t="str">
        <f aca="false">IF(C416="","",IF(COUNTIFS('MASTER BAHAN'!$A$5:$A$504,C416)=0,"BELUM ADA",INDEX('MASTER BAHAN'!$B$5:$B$504,MATCH(C416,'MASTER BAHAN'!$A$5:$A$504,0))))</f>
        <v/>
      </c>
      <c r="G416" s="0" t="str">
        <f aca="false">IF(C416="","",IF(COUNTIFS('MASTER BAHAN'!$A$5:$A$504,C416)=0,"BELUM ADA",INDEX('MASTER BAHAN'!$D$5:$D$504,MATCH(C416,'MASTER BAHAN'!$A$5:$A$504,0))))</f>
        <v/>
      </c>
      <c r="M416" s="0" t="str">
        <f aca="false">IF(A416="","",IF(E416&lt;&gt;"Waste",0,IF(NOT(ISNUMBER(L416)),"ISI BIAYA WASTE",IF(K416="Disetujui",ROUND(F416*L416,0),0))))</f>
        <v/>
      </c>
    </row>
    <row r="417" customFormat="false" ht="15" hidden="false" customHeight="false" outlineLevel="0" collapsed="false">
      <c r="D417" s="0" t="str">
        <f aca="false">IF(C417="","",IF(COUNTIFS('MASTER BAHAN'!$A$5:$A$504,C417)=0,"BELUM ADA",INDEX('MASTER BAHAN'!$B$5:$B$504,MATCH(C417,'MASTER BAHAN'!$A$5:$A$504,0))))</f>
        <v/>
      </c>
      <c r="G417" s="0" t="str">
        <f aca="false">IF(C417="","",IF(COUNTIFS('MASTER BAHAN'!$A$5:$A$504,C417)=0,"BELUM ADA",INDEX('MASTER BAHAN'!$D$5:$D$504,MATCH(C417,'MASTER BAHAN'!$A$5:$A$504,0))))</f>
        <v/>
      </c>
      <c r="M417" s="0" t="str">
        <f aca="false">IF(A417="","",IF(E417&lt;&gt;"Waste",0,IF(NOT(ISNUMBER(L417)),"ISI BIAYA WASTE",IF(K417="Disetujui",ROUND(F417*L417,0),0))))</f>
        <v/>
      </c>
    </row>
    <row r="418" customFormat="false" ht="15" hidden="false" customHeight="false" outlineLevel="0" collapsed="false">
      <c r="D418" s="0" t="str">
        <f aca="false">IF(C418="","",IF(COUNTIFS('MASTER BAHAN'!$A$5:$A$504,C418)=0,"BELUM ADA",INDEX('MASTER BAHAN'!$B$5:$B$504,MATCH(C418,'MASTER BAHAN'!$A$5:$A$504,0))))</f>
        <v/>
      </c>
      <c r="G418" s="0" t="str">
        <f aca="false">IF(C418="","",IF(COUNTIFS('MASTER BAHAN'!$A$5:$A$504,C418)=0,"BELUM ADA",INDEX('MASTER BAHAN'!$D$5:$D$504,MATCH(C418,'MASTER BAHAN'!$A$5:$A$504,0))))</f>
        <v/>
      </c>
      <c r="M418" s="0" t="str">
        <f aca="false">IF(A418="","",IF(E418&lt;&gt;"Waste",0,IF(NOT(ISNUMBER(L418)),"ISI BIAYA WASTE",IF(K418="Disetujui",ROUND(F418*L418,0),0))))</f>
        <v/>
      </c>
    </row>
    <row r="419" customFormat="false" ht="15" hidden="false" customHeight="false" outlineLevel="0" collapsed="false">
      <c r="D419" s="0" t="str">
        <f aca="false">IF(C419="","",IF(COUNTIFS('MASTER BAHAN'!$A$5:$A$504,C419)=0,"BELUM ADA",INDEX('MASTER BAHAN'!$B$5:$B$504,MATCH(C419,'MASTER BAHAN'!$A$5:$A$504,0))))</f>
        <v/>
      </c>
      <c r="G419" s="0" t="str">
        <f aca="false">IF(C419="","",IF(COUNTIFS('MASTER BAHAN'!$A$5:$A$504,C419)=0,"BELUM ADA",INDEX('MASTER BAHAN'!$D$5:$D$504,MATCH(C419,'MASTER BAHAN'!$A$5:$A$504,0))))</f>
        <v/>
      </c>
      <c r="M419" s="0" t="str">
        <f aca="false">IF(A419="","",IF(E419&lt;&gt;"Waste",0,IF(NOT(ISNUMBER(L419)),"ISI BIAYA WASTE",IF(K419="Disetujui",ROUND(F419*L419,0),0))))</f>
        <v/>
      </c>
    </row>
    <row r="420" customFormat="false" ht="15" hidden="false" customHeight="false" outlineLevel="0" collapsed="false">
      <c r="D420" s="0" t="str">
        <f aca="false">IF(C420="","",IF(COUNTIFS('MASTER BAHAN'!$A$5:$A$504,C420)=0,"BELUM ADA",INDEX('MASTER BAHAN'!$B$5:$B$504,MATCH(C420,'MASTER BAHAN'!$A$5:$A$504,0))))</f>
        <v/>
      </c>
      <c r="G420" s="0" t="str">
        <f aca="false">IF(C420="","",IF(COUNTIFS('MASTER BAHAN'!$A$5:$A$504,C420)=0,"BELUM ADA",INDEX('MASTER BAHAN'!$D$5:$D$504,MATCH(C420,'MASTER BAHAN'!$A$5:$A$504,0))))</f>
        <v/>
      </c>
      <c r="M420" s="0" t="str">
        <f aca="false">IF(A420="","",IF(E420&lt;&gt;"Waste",0,IF(NOT(ISNUMBER(L420)),"ISI BIAYA WASTE",IF(K420="Disetujui",ROUND(F420*L420,0),0))))</f>
        <v/>
      </c>
    </row>
    <row r="421" customFormat="false" ht="15" hidden="false" customHeight="false" outlineLevel="0" collapsed="false">
      <c r="D421" s="0" t="str">
        <f aca="false">IF(C421="","",IF(COUNTIFS('MASTER BAHAN'!$A$5:$A$504,C421)=0,"BELUM ADA",INDEX('MASTER BAHAN'!$B$5:$B$504,MATCH(C421,'MASTER BAHAN'!$A$5:$A$504,0))))</f>
        <v/>
      </c>
      <c r="G421" s="0" t="str">
        <f aca="false">IF(C421="","",IF(COUNTIFS('MASTER BAHAN'!$A$5:$A$504,C421)=0,"BELUM ADA",INDEX('MASTER BAHAN'!$D$5:$D$504,MATCH(C421,'MASTER BAHAN'!$A$5:$A$504,0))))</f>
        <v/>
      </c>
      <c r="M421" s="0" t="str">
        <f aca="false">IF(A421="","",IF(E421&lt;&gt;"Waste",0,IF(NOT(ISNUMBER(L421)),"ISI BIAYA WASTE",IF(K421="Disetujui",ROUND(F421*L421,0),0))))</f>
        <v/>
      </c>
    </row>
    <row r="422" customFormat="false" ht="15" hidden="false" customHeight="false" outlineLevel="0" collapsed="false">
      <c r="D422" s="0" t="str">
        <f aca="false">IF(C422="","",IF(COUNTIFS('MASTER BAHAN'!$A$5:$A$504,C422)=0,"BELUM ADA",INDEX('MASTER BAHAN'!$B$5:$B$504,MATCH(C422,'MASTER BAHAN'!$A$5:$A$504,0))))</f>
        <v/>
      </c>
      <c r="G422" s="0" t="str">
        <f aca="false">IF(C422="","",IF(COUNTIFS('MASTER BAHAN'!$A$5:$A$504,C422)=0,"BELUM ADA",INDEX('MASTER BAHAN'!$D$5:$D$504,MATCH(C422,'MASTER BAHAN'!$A$5:$A$504,0))))</f>
        <v/>
      </c>
      <c r="M422" s="0" t="str">
        <f aca="false">IF(A422="","",IF(E422&lt;&gt;"Waste",0,IF(NOT(ISNUMBER(L422)),"ISI BIAYA WASTE",IF(K422="Disetujui",ROUND(F422*L422,0),0))))</f>
        <v/>
      </c>
    </row>
    <row r="423" customFormat="false" ht="15" hidden="false" customHeight="false" outlineLevel="0" collapsed="false">
      <c r="D423" s="0" t="str">
        <f aca="false">IF(C423="","",IF(COUNTIFS('MASTER BAHAN'!$A$5:$A$504,C423)=0,"BELUM ADA",INDEX('MASTER BAHAN'!$B$5:$B$504,MATCH(C423,'MASTER BAHAN'!$A$5:$A$504,0))))</f>
        <v/>
      </c>
      <c r="G423" s="0" t="str">
        <f aca="false">IF(C423="","",IF(COUNTIFS('MASTER BAHAN'!$A$5:$A$504,C423)=0,"BELUM ADA",INDEX('MASTER BAHAN'!$D$5:$D$504,MATCH(C423,'MASTER BAHAN'!$A$5:$A$504,0))))</f>
        <v/>
      </c>
      <c r="M423" s="0" t="str">
        <f aca="false">IF(A423="","",IF(E423&lt;&gt;"Waste",0,IF(NOT(ISNUMBER(L423)),"ISI BIAYA WASTE",IF(K423="Disetujui",ROUND(F423*L423,0),0))))</f>
        <v/>
      </c>
    </row>
    <row r="424" customFormat="false" ht="15" hidden="false" customHeight="false" outlineLevel="0" collapsed="false">
      <c r="D424" s="0" t="str">
        <f aca="false">IF(C424="","",IF(COUNTIFS('MASTER BAHAN'!$A$5:$A$504,C424)=0,"BELUM ADA",INDEX('MASTER BAHAN'!$B$5:$B$504,MATCH(C424,'MASTER BAHAN'!$A$5:$A$504,0))))</f>
        <v/>
      </c>
      <c r="G424" s="0" t="str">
        <f aca="false">IF(C424="","",IF(COUNTIFS('MASTER BAHAN'!$A$5:$A$504,C424)=0,"BELUM ADA",INDEX('MASTER BAHAN'!$D$5:$D$504,MATCH(C424,'MASTER BAHAN'!$A$5:$A$504,0))))</f>
        <v/>
      </c>
      <c r="M424" s="0" t="str">
        <f aca="false">IF(A424="","",IF(E424&lt;&gt;"Waste",0,IF(NOT(ISNUMBER(L424)),"ISI BIAYA WASTE",IF(K424="Disetujui",ROUND(F424*L424,0),0))))</f>
        <v/>
      </c>
    </row>
    <row r="425" customFormat="false" ht="15" hidden="false" customHeight="false" outlineLevel="0" collapsed="false">
      <c r="D425" s="0" t="str">
        <f aca="false">IF(C425="","",IF(COUNTIFS('MASTER BAHAN'!$A$5:$A$504,C425)=0,"BELUM ADA",INDEX('MASTER BAHAN'!$B$5:$B$504,MATCH(C425,'MASTER BAHAN'!$A$5:$A$504,0))))</f>
        <v/>
      </c>
      <c r="G425" s="0" t="str">
        <f aca="false">IF(C425="","",IF(COUNTIFS('MASTER BAHAN'!$A$5:$A$504,C425)=0,"BELUM ADA",INDEX('MASTER BAHAN'!$D$5:$D$504,MATCH(C425,'MASTER BAHAN'!$A$5:$A$504,0))))</f>
        <v/>
      </c>
      <c r="M425" s="0" t="str">
        <f aca="false">IF(A425="","",IF(E425&lt;&gt;"Waste",0,IF(NOT(ISNUMBER(L425)),"ISI BIAYA WASTE",IF(K425="Disetujui",ROUND(F425*L425,0),0))))</f>
        <v/>
      </c>
    </row>
    <row r="426" customFormat="false" ht="15" hidden="false" customHeight="false" outlineLevel="0" collapsed="false">
      <c r="D426" s="0" t="str">
        <f aca="false">IF(C426="","",IF(COUNTIFS('MASTER BAHAN'!$A$5:$A$504,C426)=0,"BELUM ADA",INDEX('MASTER BAHAN'!$B$5:$B$504,MATCH(C426,'MASTER BAHAN'!$A$5:$A$504,0))))</f>
        <v/>
      </c>
      <c r="G426" s="0" t="str">
        <f aca="false">IF(C426="","",IF(COUNTIFS('MASTER BAHAN'!$A$5:$A$504,C426)=0,"BELUM ADA",INDEX('MASTER BAHAN'!$D$5:$D$504,MATCH(C426,'MASTER BAHAN'!$A$5:$A$504,0))))</f>
        <v/>
      </c>
      <c r="M426" s="0" t="str">
        <f aca="false">IF(A426="","",IF(E426&lt;&gt;"Waste",0,IF(NOT(ISNUMBER(L426)),"ISI BIAYA WASTE",IF(K426="Disetujui",ROUND(F426*L426,0),0))))</f>
        <v/>
      </c>
    </row>
    <row r="427" customFormat="false" ht="15" hidden="false" customHeight="false" outlineLevel="0" collapsed="false">
      <c r="D427" s="0" t="str">
        <f aca="false">IF(C427="","",IF(COUNTIFS('MASTER BAHAN'!$A$5:$A$504,C427)=0,"BELUM ADA",INDEX('MASTER BAHAN'!$B$5:$B$504,MATCH(C427,'MASTER BAHAN'!$A$5:$A$504,0))))</f>
        <v/>
      </c>
      <c r="G427" s="0" t="str">
        <f aca="false">IF(C427="","",IF(COUNTIFS('MASTER BAHAN'!$A$5:$A$504,C427)=0,"BELUM ADA",INDEX('MASTER BAHAN'!$D$5:$D$504,MATCH(C427,'MASTER BAHAN'!$A$5:$A$504,0))))</f>
        <v/>
      </c>
      <c r="M427" s="0" t="str">
        <f aca="false">IF(A427="","",IF(E427&lt;&gt;"Waste",0,IF(NOT(ISNUMBER(L427)),"ISI BIAYA WASTE",IF(K427="Disetujui",ROUND(F427*L427,0),0))))</f>
        <v/>
      </c>
    </row>
    <row r="428" customFormat="false" ht="15" hidden="false" customHeight="false" outlineLevel="0" collapsed="false">
      <c r="D428" s="0" t="str">
        <f aca="false">IF(C428="","",IF(COUNTIFS('MASTER BAHAN'!$A$5:$A$504,C428)=0,"BELUM ADA",INDEX('MASTER BAHAN'!$B$5:$B$504,MATCH(C428,'MASTER BAHAN'!$A$5:$A$504,0))))</f>
        <v/>
      </c>
      <c r="G428" s="0" t="str">
        <f aca="false">IF(C428="","",IF(COUNTIFS('MASTER BAHAN'!$A$5:$A$504,C428)=0,"BELUM ADA",INDEX('MASTER BAHAN'!$D$5:$D$504,MATCH(C428,'MASTER BAHAN'!$A$5:$A$504,0))))</f>
        <v/>
      </c>
      <c r="M428" s="0" t="str">
        <f aca="false">IF(A428="","",IF(E428&lt;&gt;"Waste",0,IF(NOT(ISNUMBER(L428)),"ISI BIAYA WASTE",IF(K428="Disetujui",ROUND(F428*L428,0),0))))</f>
        <v/>
      </c>
    </row>
    <row r="429" customFormat="false" ht="15" hidden="false" customHeight="false" outlineLevel="0" collapsed="false">
      <c r="D429" s="0" t="str">
        <f aca="false">IF(C429="","",IF(COUNTIFS('MASTER BAHAN'!$A$5:$A$504,C429)=0,"BELUM ADA",INDEX('MASTER BAHAN'!$B$5:$B$504,MATCH(C429,'MASTER BAHAN'!$A$5:$A$504,0))))</f>
        <v/>
      </c>
      <c r="G429" s="0" t="str">
        <f aca="false">IF(C429="","",IF(COUNTIFS('MASTER BAHAN'!$A$5:$A$504,C429)=0,"BELUM ADA",INDEX('MASTER BAHAN'!$D$5:$D$504,MATCH(C429,'MASTER BAHAN'!$A$5:$A$504,0))))</f>
        <v/>
      </c>
      <c r="M429" s="0" t="str">
        <f aca="false">IF(A429="","",IF(E429&lt;&gt;"Waste",0,IF(NOT(ISNUMBER(L429)),"ISI BIAYA WASTE",IF(K429="Disetujui",ROUND(F429*L429,0),0))))</f>
        <v/>
      </c>
    </row>
    <row r="430" customFormat="false" ht="15" hidden="false" customHeight="false" outlineLevel="0" collapsed="false">
      <c r="D430" s="0" t="str">
        <f aca="false">IF(C430="","",IF(COUNTIFS('MASTER BAHAN'!$A$5:$A$504,C430)=0,"BELUM ADA",INDEX('MASTER BAHAN'!$B$5:$B$504,MATCH(C430,'MASTER BAHAN'!$A$5:$A$504,0))))</f>
        <v/>
      </c>
      <c r="G430" s="0" t="str">
        <f aca="false">IF(C430="","",IF(COUNTIFS('MASTER BAHAN'!$A$5:$A$504,C430)=0,"BELUM ADA",INDEX('MASTER BAHAN'!$D$5:$D$504,MATCH(C430,'MASTER BAHAN'!$A$5:$A$504,0))))</f>
        <v/>
      </c>
      <c r="M430" s="0" t="str">
        <f aca="false">IF(A430="","",IF(E430&lt;&gt;"Waste",0,IF(NOT(ISNUMBER(L430)),"ISI BIAYA WASTE",IF(K430="Disetujui",ROUND(F430*L430,0),0))))</f>
        <v/>
      </c>
    </row>
    <row r="431" customFormat="false" ht="15" hidden="false" customHeight="false" outlineLevel="0" collapsed="false">
      <c r="D431" s="0" t="str">
        <f aca="false">IF(C431="","",IF(COUNTIFS('MASTER BAHAN'!$A$5:$A$504,C431)=0,"BELUM ADA",INDEX('MASTER BAHAN'!$B$5:$B$504,MATCH(C431,'MASTER BAHAN'!$A$5:$A$504,0))))</f>
        <v/>
      </c>
      <c r="G431" s="0" t="str">
        <f aca="false">IF(C431="","",IF(COUNTIFS('MASTER BAHAN'!$A$5:$A$504,C431)=0,"BELUM ADA",INDEX('MASTER BAHAN'!$D$5:$D$504,MATCH(C431,'MASTER BAHAN'!$A$5:$A$504,0))))</f>
        <v/>
      </c>
      <c r="M431" s="0" t="str">
        <f aca="false">IF(A431="","",IF(E431&lt;&gt;"Waste",0,IF(NOT(ISNUMBER(L431)),"ISI BIAYA WASTE",IF(K431="Disetujui",ROUND(F431*L431,0),0))))</f>
        <v/>
      </c>
    </row>
    <row r="432" customFormat="false" ht="15" hidden="false" customHeight="false" outlineLevel="0" collapsed="false">
      <c r="D432" s="0" t="str">
        <f aca="false">IF(C432="","",IF(COUNTIFS('MASTER BAHAN'!$A$5:$A$504,C432)=0,"BELUM ADA",INDEX('MASTER BAHAN'!$B$5:$B$504,MATCH(C432,'MASTER BAHAN'!$A$5:$A$504,0))))</f>
        <v/>
      </c>
      <c r="G432" s="0" t="str">
        <f aca="false">IF(C432="","",IF(COUNTIFS('MASTER BAHAN'!$A$5:$A$504,C432)=0,"BELUM ADA",INDEX('MASTER BAHAN'!$D$5:$D$504,MATCH(C432,'MASTER BAHAN'!$A$5:$A$504,0))))</f>
        <v/>
      </c>
      <c r="M432" s="0" t="str">
        <f aca="false">IF(A432="","",IF(E432&lt;&gt;"Waste",0,IF(NOT(ISNUMBER(L432)),"ISI BIAYA WASTE",IF(K432="Disetujui",ROUND(F432*L432,0),0))))</f>
        <v/>
      </c>
    </row>
    <row r="433" customFormat="false" ht="15" hidden="false" customHeight="false" outlineLevel="0" collapsed="false">
      <c r="D433" s="0" t="str">
        <f aca="false">IF(C433="","",IF(COUNTIFS('MASTER BAHAN'!$A$5:$A$504,C433)=0,"BELUM ADA",INDEX('MASTER BAHAN'!$B$5:$B$504,MATCH(C433,'MASTER BAHAN'!$A$5:$A$504,0))))</f>
        <v/>
      </c>
      <c r="G433" s="0" t="str">
        <f aca="false">IF(C433="","",IF(COUNTIFS('MASTER BAHAN'!$A$5:$A$504,C433)=0,"BELUM ADA",INDEX('MASTER BAHAN'!$D$5:$D$504,MATCH(C433,'MASTER BAHAN'!$A$5:$A$504,0))))</f>
        <v/>
      </c>
      <c r="M433" s="0" t="str">
        <f aca="false">IF(A433="","",IF(E433&lt;&gt;"Waste",0,IF(NOT(ISNUMBER(L433)),"ISI BIAYA WASTE",IF(K433="Disetujui",ROUND(F433*L433,0),0))))</f>
        <v/>
      </c>
    </row>
    <row r="434" customFormat="false" ht="15" hidden="false" customHeight="false" outlineLevel="0" collapsed="false">
      <c r="D434" s="0" t="str">
        <f aca="false">IF(C434="","",IF(COUNTIFS('MASTER BAHAN'!$A$5:$A$504,C434)=0,"BELUM ADA",INDEX('MASTER BAHAN'!$B$5:$B$504,MATCH(C434,'MASTER BAHAN'!$A$5:$A$504,0))))</f>
        <v/>
      </c>
      <c r="G434" s="0" t="str">
        <f aca="false">IF(C434="","",IF(COUNTIFS('MASTER BAHAN'!$A$5:$A$504,C434)=0,"BELUM ADA",INDEX('MASTER BAHAN'!$D$5:$D$504,MATCH(C434,'MASTER BAHAN'!$A$5:$A$504,0))))</f>
        <v/>
      </c>
      <c r="M434" s="0" t="str">
        <f aca="false">IF(A434="","",IF(E434&lt;&gt;"Waste",0,IF(NOT(ISNUMBER(L434)),"ISI BIAYA WASTE",IF(K434="Disetujui",ROUND(F434*L434,0),0))))</f>
        <v/>
      </c>
    </row>
    <row r="435" customFormat="false" ht="15" hidden="false" customHeight="false" outlineLevel="0" collapsed="false">
      <c r="D435" s="0" t="str">
        <f aca="false">IF(C435="","",IF(COUNTIFS('MASTER BAHAN'!$A$5:$A$504,C435)=0,"BELUM ADA",INDEX('MASTER BAHAN'!$B$5:$B$504,MATCH(C435,'MASTER BAHAN'!$A$5:$A$504,0))))</f>
        <v/>
      </c>
      <c r="G435" s="0" t="str">
        <f aca="false">IF(C435="","",IF(COUNTIFS('MASTER BAHAN'!$A$5:$A$504,C435)=0,"BELUM ADA",INDEX('MASTER BAHAN'!$D$5:$D$504,MATCH(C435,'MASTER BAHAN'!$A$5:$A$504,0))))</f>
        <v/>
      </c>
      <c r="M435" s="0" t="str">
        <f aca="false">IF(A435="","",IF(E435&lt;&gt;"Waste",0,IF(NOT(ISNUMBER(L435)),"ISI BIAYA WASTE",IF(K435="Disetujui",ROUND(F435*L435,0),0))))</f>
        <v/>
      </c>
    </row>
    <row r="436" customFormat="false" ht="15" hidden="false" customHeight="false" outlineLevel="0" collapsed="false">
      <c r="D436" s="0" t="str">
        <f aca="false">IF(C436="","",IF(COUNTIFS('MASTER BAHAN'!$A$5:$A$504,C436)=0,"BELUM ADA",INDEX('MASTER BAHAN'!$B$5:$B$504,MATCH(C436,'MASTER BAHAN'!$A$5:$A$504,0))))</f>
        <v/>
      </c>
      <c r="G436" s="0" t="str">
        <f aca="false">IF(C436="","",IF(COUNTIFS('MASTER BAHAN'!$A$5:$A$504,C436)=0,"BELUM ADA",INDEX('MASTER BAHAN'!$D$5:$D$504,MATCH(C436,'MASTER BAHAN'!$A$5:$A$504,0))))</f>
        <v/>
      </c>
      <c r="M436" s="0" t="str">
        <f aca="false">IF(A436="","",IF(E436&lt;&gt;"Waste",0,IF(NOT(ISNUMBER(L436)),"ISI BIAYA WASTE",IF(K436="Disetujui",ROUND(F436*L436,0),0))))</f>
        <v/>
      </c>
    </row>
    <row r="437" customFormat="false" ht="15" hidden="false" customHeight="false" outlineLevel="0" collapsed="false">
      <c r="D437" s="0" t="str">
        <f aca="false">IF(C437="","",IF(COUNTIFS('MASTER BAHAN'!$A$5:$A$504,C437)=0,"BELUM ADA",INDEX('MASTER BAHAN'!$B$5:$B$504,MATCH(C437,'MASTER BAHAN'!$A$5:$A$504,0))))</f>
        <v/>
      </c>
      <c r="G437" s="0" t="str">
        <f aca="false">IF(C437="","",IF(COUNTIFS('MASTER BAHAN'!$A$5:$A$504,C437)=0,"BELUM ADA",INDEX('MASTER BAHAN'!$D$5:$D$504,MATCH(C437,'MASTER BAHAN'!$A$5:$A$504,0))))</f>
        <v/>
      </c>
      <c r="M437" s="0" t="str">
        <f aca="false">IF(A437="","",IF(E437&lt;&gt;"Waste",0,IF(NOT(ISNUMBER(L437)),"ISI BIAYA WASTE",IF(K437="Disetujui",ROUND(F437*L437,0),0))))</f>
        <v/>
      </c>
    </row>
    <row r="438" customFormat="false" ht="15" hidden="false" customHeight="false" outlineLevel="0" collapsed="false">
      <c r="D438" s="0" t="str">
        <f aca="false">IF(C438="","",IF(COUNTIFS('MASTER BAHAN'!$A$5:$A$504,C438)=0,"BELUM ADA",INDEX('MASTER BAHAN'!$B$5:$B$504,MATCH(C438,'MASTER BAHAN'!$A$5:$A$504,0))))</f>
        <v/>
      </c>
      <c r="G438" s="0" t="str">
        <f aca="false">IF(C438="","",IF(COUNTIFS('MASTER BAHAN'!$A$5:$A$504,C438)=0,"BELUM ADA",INDEX('MASTER BAHAN'!$D$5:$D$504,MATCH(C438,'MASTER BAHAN'!$A$5:$A$504,0))))</f>
        <v/>
      </c>
      <c r="M438" s="0" t="str">
        <f aca="false">IF(A438="","",IF(E438&lt;&gt;"Waste",0,IF(NOT(ISNUMBER(L438)),"ISI BIAYA WASTE",IF(K438="Disetujui",ROUND(F438*L438,0),0))))</f>
        <v/>
      </c>
    </row>
    <row r="439" customFormat="false" ht="15" hidden="false" customHeight="false" outlineLevel="0" collapsed="false">
      <c r="D439" s="0" t="str">
        <f aca="false">IF(C439="","",IF(COUNTIFS('MASTER BAHAN'!$A$5:$A$504,C439)=0,"BELUM ADA",INDEX('MASTER BAHAN'!$B$5:$B$504,MATCH(C439,'MASTER BAHAN'!$A$5:$A$504,0))))</f>
        <v/>
      </c>
      <c r="G439" s="0" t="str">
        <f aca="false">IF(C439="","",IF(COUNTIFS('MASTER BAHAN'!$A$5:$A$504,C439)=0,"BELUM ADA",INDEX('MASTER BAHAN'!$D$5:$D$504,MATCH(C439,'MASTER BAHAN'!$A$5:$A$504,0))))</f>
        <v/>
      </c>
      <c r="M439" s="0" t="str">
        <f aca="false">IF(A439="","",IF(E439&lt;&gt;"Waste",0,IF(NOT(ISNUMBER(L439)),"ISI BIAYA WASTE",IF(K439="Disetujui",ROUND(F439*L439,0),0))))</f>
        <v/>
      </c>
    </row>
    <row r="440" customFormat="false" ht="15" hidden="false" customHeight="false" outlineLevel="0" collapsed="false">
      <c r="D440" s="0" t="str">
        <f aca="false">IF(C440="","",IF(COUNTIFS('MASTER BAHAN'!$A$5:$A$504,C440)=0,"BELUM ADA",INDEX('MASTER BAHAN'!$B$5:$B$504,MATCH(C440,'MASTER BAHAN'!$A$5:$A$504,0))))</f>
        <v/>
      </c>
      <c r="G440" s="0" t="str">
        <f aca="false">IF(C440="","",IF(COUNTIFS('MASTER BAHAN'!$A$5:$A$504,C440)=0,"BELUM ADA",INDEX('MASTER BAHAN'!$D$5:$D$504,MATCH(C440,'MASTER BAHAN'!$A$5:$A$504,0))))</f>
        <v/>
      </c>
      <c r="M440" s="0" t="str">
        <f aca="false">IF(A440="","",IF(E440&lt;&gt;"Waste",0,IF(NOT(ISNUMBER(L440)),"ISI BIAYA WASTE",IF(K440="Disetujui",ROUND(F440*L440,0),0))))</f>
        <v/>
      </c>
    </row>
    <row r="441" customFormat="false" ht="15" hidden="false" customHeight="false" outlineLevel="0" collapsed="false">
      <c r="D441" s="0" t="str">
        <f aca="false">IF(C441="","",IF(COUNTIFS('MASTER BAHAN'!$A$5:$A$504,C441)=0,"BELUM ADA",INDEX('MASTER BAHAN'!$B$5:$B$504,MATCH(C441,'MASTER BAHAN'!$A$5:$A$504,0))))</f>
        <v/>
      </c>
      <c r="G441" s="0" t="str">
        <f aca="false">IF(C441="","",IF(COUNTIFS('MASTER BAHAN'!$A$5:$A$504,C441)=0,"BELUM ADA",INDEX('MASTER BAHAN'!$D$5:$D$504,MATCH(C441,'MASTER BAHAN'!$A$5:$A$504,0))))</f>
        <v/>
      </c>
      <c r="M441" s="0" t="str">
        <f aca="false">IF(A441="","",IF(E441&lt;&gt;"Waste",0,IF(NOT(ISNUMBER(L441)),"ISI BIAYA WASTE",IF(K441="Disetujui",ROUND(F441*L441,0),0))))</f>
        <v/>
      </c>
    </row>
    <row r="442" customFormat="false" ht="15" hidden="false" customHeight="false" outlineLevel="0" collapsed="false">
      <c r="D442" s="0" t="str">
        <f aca="false">IF(C442="","",IF(COUNTIFS('MASTER BAHAN'!$A$5:$A$504,C442)=0,"BELUM ADA",INDEX('MASTER BAHAN'!$B$5:$B$504,MATCH(C442,'MASTER BAHAN'!$A$5:$A$504,0))))</f>
        <v/>
      </c>
      <c r="G442" s="0" t="str">
        <f aca="false">IF(C442="","",IF(COUNTIFS('MASTER BAHAN'!$A$5:$A$504,C442)=0,"BELUM ADA",INDEX('MASTER BAHAN'!$D$5:$D$504,MATCH(C442,'MASTER BAHAN'!$A$5:$A$504,0))))</f>
        <v/>
      </c>
      <c r="M442" s="0" t="str">
        <f aca="false">IF(A442="","",IF(E442&lt;&gt;"Waste",0,IF(NOT(ISNUMBER(L442)),"ISI BIAYA WASTE",IF(K442="Disetujui",ROUND(F442*L442,0),0))))</f>
        <v/>
      </c>
    </row>
    <row r="443" customFormat="false" ht="15" hidden="false" customHeight="false" outlineLevel="0" collapsed="false">
      <c r="D443" s="0" t="str">
        <f aca="false">IF(C443="","",IF(COUNTIFS('MASTER BAHAN'!$A$5:$A$504,C443)=0,"BELUM ADA",INDEX('MASTER BAHAN'!$B$5:$B$504,MATCH(C443,'MASTER BAHAN'!$A$5:$A$504,0))))</f>
        <v/>
      </c>
      <c r="G443" s="0" t="str">
        <f aca="false">IF(C443="","",IF(COUNTIFS('MASTER BAHAN'!$A$5:$A$504,C443)=0,"BELUM ADA",INDEX('MASTER BAHAN'!$D$5:$D$504,MATCH(C443,'MASTER BAHAN'!$A$5:$A$504,0))))</f>
        <v/>
      </c>
      <c r="M443" s="0" t="str">
        <f aca="false">IF(A443="","",IF(E443&lt;&gt;"Waste",0,IF(NOT(ISNUMBER(L443)),"ISI BIAYA WASTE",IF(K443="Disetujui",ROUND(F443*L443,0),0))))</f>
        <v/>
      </c>
    </row>
    <row r="444" customFormat="false" ht="15" hidden="false" customHeight="false" outlineLevel="0" collapsed="false">
      <c r="D444" s="0" t="str">
        <f aca="false">IF(C444="","",IF(COUNTIFS('MASTER BAHAN'!$A$5:$A$504,C444)=0,"BELUM ADA",INDEX('MASTER BAHAN'!$B$5:$B$504,MATCH(C444,'MASTER BAHAN'!$A$5:$A$504,0))))</f>
        <v/>
      </c>
      <c r="G444" s="0" t="str">
        <f aca="false">IF(C444="","",IF(COUNTIFS('MASTER BAHAN'!$A$5:$A$504,C444)=0,"BELUM ADA",INDEX('MASTER BAHAN'!$D$5:$D$504,MATCH(C444,'MASTER BAHAN'!$A$5:$A$504,0))))</f>
        <v/>
      </c>
      <c r="M444" s="0" t="str">
        <f aca="false">IF(A444="","",IF(E444&lt;&gt;"Waste",0,IF(NOT(ISNUMBER(L444)),"ISI BIAYA WASTE",IF(K444="Disetujui",ROUND(F444*L444,0),0))))</f>
        <v/>
      </c>
    </row>
    <row r="445" customFormat="false" ht="15" hidden="false" customHeight="false" outlineLevel="0" collapsed="false">
      <c r="D445" s="0" t="str">
        <f aca="false">IF(C445="","",IF(COUNTIFS('MASTER BAHAN'!$A$5:$A$504,C445)=0,"BELUM ADA",INDEX('MASTER BAHAN'!$B$5:$B$504,MATCH(C445,'MASTER BAHAN'!$A$5:$A$504,0))))</f>
        <v/>
      </c>
      <c r="G445" s="0" t="str">
        <f aca="false">IF(C445="","",IF(COUNTIFS('MASTER BAHAN'!$A$5:$A$504,C445)=0,"BELUM ADA",INDEX('MASTER BAHAN'!$D$5:$D$504,MATCH(C445,'MASTER BAHAN'!$A$5:$A$504,0))))</f>
        <v/>
      </c>
      <c r="M445" s="0" t="str">
        <f aca="false">IF(A445="","",IF(E445&lt;&gt;"Waste",0,IF(NOT(ISNUMBER(L445)),"ISI BIAYA WASTE",IF(K445="Disetujui",ROUND(F445*L445,0),0))))</f>
        <v/>
      </c>
    </row>
    <row r="446" customFormat="false" ht="15" hidden="false" customHeight="false" outlineLevel="0" collapsed="false">
      <c r="D446" s="0" t="str">
        <f aca="false">IF(C446="","",IF(COUNTIFS('MASTER BAHAN'!$A$5:$A$504,C446)=0,"BELUM ADA",INDEX('MASTER BAHAN'!$B$5:$B$504,MATCH(C446,'MASTER BAHAN'!$A$5:$A$504,0))))</f>
        <v/>
      </c>
      <c r="G446" s="0" t="str">
        <f aca="false">IF(C446="","",IF(COUNTIFS('MASTER BAHAN'!$A$5:$A$504,C446)=0,"BELUM ADA",INDEX('MASTER BAHAN'!$D$5:$D$504,MATCH(C446,'MASTER BAHAN'!$A$5:$A$504,0))))</f>
        <v/>
      </c>
      <c r="M446" s="0" t="str">
        <f aca="false">IF(A446="","",IF(E446&lt;&gt;"Waste",0,IF(NOT(ISNUMBER(L446)),"ISI BIAYA WASTE",IF(K446="Disetujui",ROUND(F446*L446,0),0))))</f>
        <v/>
      </c>
    </row>
    <row r="447" customFormat="false" ht="15" hidden="false" customHeight="false" outlineLevel="0" collapsed="false">
      <c r="D447" s="0" t="str">
        <f aca="false">IF(C447="","",IF(COUNTIFS('MASTER BAHAN'!$A$5:$A$504,C447)=0,"BELUM ADA",INDEX('MASTER BAHAN'!$B$5:$B$504,MATCH(C447,'MASTER BAHAN'!$A$5:$A$504,0))))</f>
        <v/>
      </c>
      <c r="G447" s="0" t="str">
        <f aca="false">IF(C447="","",IF(COUNTIFS('MASTER BAHAN'!$A$5:$A$504,C447)=0,"BELUM ADA",INDEX('MASTER BAHAN'!$D$5:$D$504,MATCH(C447,'MASTER BAHAN'!$A$5:$A$504,0))))</f>
        <v/>
      </c>
      <c r="M447" s="0" t="str">
        <f aca="false">IF(A447="","",IF(E447&lt;&gt;"Waste",0,IF(NOT(ISNUMBER(L447)),"ISI BIAYA WASTE",IF(K447="Disetujui",ROUND(F447*L447,0),0))))</f>
        <v/>
      </c>
    </row>
    <row r="448" customFormat="false" ht="15" hidden="false" customHeight="false" outlineLevel="0" collapsed="false">
      <c r="D448" s="0" t="str">
        <f aca="false">IF(C448="","",IF(COUNTIFS('MASTER BAHAN'!$A$5:$A$504,C448)=0,"BELUM ADA",INDEX('MASTER BAHAN'!$B$5:$B$504,MATCH(C448,'MASTER BAHAN'!$A$5:$A$504,0))))</f>
        <v/>
      </c>
      <c r="G448" s="0" t="str">
        <f aca="false">IF(C448="","",IF(COUNTIFS('MASTER BAHAN'!$A$5:$A$504,C448)=0,"BELUM ADA",INDEX('MASTER BAHAN'!$D$5:$D$504,MATCH(C448,'MASTER BAHAN'!$A$5:$A$504,0))))</f>
        <v/>
      </c>
      <c r="M448" s="0" t="str">
        <f aca="false">IF(A448="","",IF(E448&lt;&gt;"Waste",0,IF(NOT(ISNUMBER(L448)),"ISI BIAYA WASTE",IF(K448="Disetujui",ROUND(F448*L448,0),0))))</f>
        <v/>
      </c>
    </row>
    <row r="449" customFormat="false" ht="15" hidden="false" customHeight="false" outlineLevel="0" collapsed="false">
      <c r="D449" s="0" t="str">
        <f aca="false">IF(C449="","",IF(COUNTIFS('MASTER BAHAN'!$A$5:$A$504,C449)=0,"BELUM ADA",INDEX('MASTER BAHAN'!$B$5:$B$504,MATCH(C449,'MASTER BAHAN'!$A$5:$A$504,0))))</f>
        <v/>
      </c>
      <c r="G449" s="0" t="str">
        <f aca="false">IF(C449="","",IF(COUNTIFS('MASTER BAHAN'!$A$5:$A$504,C449)=0,"BELUM ADA",INDEX('MASTER BAHAN'!$D$5:$D$504,MATCH(C449,'MASTER BAHAN'!$A$5:$A$504,0))))</f>
        <v/>
      </c>
      <c r="M449" s="0" t="str">
        <f aca="false">IF(A449="","",IF(E449&lt;&gt;"Waste",0,IF(NOT(ISNUMBER(L449)),"ISI BIAYA WASTE",IF(K449="Disetujui",ROUND(F449*L449,0),0))))</f>
        <v/>
      </c>
    </row>
    <row r="450" customFormat="false" ht="15" hidden="false" customHeight="false" outlineLevel="0" collapsed="false">
      <c r="D450" s="0" t="str">
        <f aca="false">IF(C450="","",IF(COUNTIFS('MASTER BAHAN'!$A$5:$A$504,C450)=0,"BELUM ADA",INDEX('MASTER BAHAN'!$B$5:$B$504,MATCH(C450,'MASTER BAHAN'!$A$5:$A$504,0))))</f>
        <v/>
      </c>
      <c r="G450" s="0" t="str">
        <f aca="false">IF(C450="","",IF(COUNTIFS('MASTER BAHAN'!$A$5:$A$504,C450)=0,"BELUM ADA",INDEX('MASTER BAHAN'!$D$5:$D$504,MATCH(C450,'MASTER BAHAN'!$A$5:$A$504,0))))</f>
        <v/>
      </c>
      <c r="M450" s="0" t="str">
        <f aca="false">IF(A450="","",IF(E450&lt;&gt;"Waste",0,IF(NOT(ISNUMBER(L450)),"ISI BIAYA WASTE",IF(K450="Disetujui",ROUND(F450*L450,0),0))))</f>
        <v/>
      </c>
    </row>
    <row r="451" customFormat="false" ht="15" hidden="false" customHeight="false" outlineLevel="0" collapsed="false">
      <c r="D451" s="0" t="str">
        <f aca="false">IF(C451="","",IF(COUNTIFS('MASTER BAHAN'!$A$5:$A$504,C451)=0,"BELUM ADA",INDEX('MASTER BAHAN'!$B$5:$B$504,MATCH(C451,'MASTER BAHAN'!$A$5:$A$504,0))))</f>
        <v/>
      </c>
      <c r="G451" s="0" t="str">
        <f aca="false">IF(C451="","",IF(COUNTIFS('MASTER BAHAN'!$A$5:$A$504,C451)=0,"BELUM ADA",INDEX('MASTER BAHAN'!$D$5:$D$504,MATCH(C451,'MASTER BAHAN'!$A$5:$A$504,0))))</f>
        <v/>
      </c>
      <c r="M451" s="0" t="str">
        <f aca="false">IF(A451="","",IF(E451&lt;&gt;"Waste",0,IF(NOT(ISNUMBER(L451)),"ISI BIAYA WASTE",IF(K451="Disetujui",ROUND(F451*L451,0),0))))</f>
        <v/>
      </c>
    </row>
    <row r="452" customFormat="false" ht="15" hidden="false" customHeight="false" outlineLevel="0" collapsed="false">
      <c r="D452" s="0" t="str">
        <f aca="false">IF(C452="","",IF(COUNTIFS('MASTER BAHAN'!$A$5:$A$504,C452)=0,"BELUM ADA",INDEX('MASTER BAHAN'!$B$5:$B$504,MATCH(C452,'MASTER BAHAN'!$A$5:$A$504,0))))</f>
        <v/>
      </c>
      <c r="G452" s="0" t="str">
        <f aca="false">IF(C452="","",IF(COUNTIFS('MASTER BAHAN'!$A$5:$A$504,C452)=0,"BELUM ADA",INDEX('MASTER BAHAN'!$D$5:$D$504,MATCH(C452,'MASTER BAHAN'!$A$5:$A$504,0))))</f>
        <v/>
      </c>
      <c r="M452" s="0" t="str">
        <f aca="false">IF(A452="","",IF(E452&lt;&gt;"Waste",0,IF(NOT(ISNUMBER(L452)),"ISI BIAYA WASTE",IF(K452="Disetujui",ROUND(F452*L452,0),0))))</f>
        <v/>
      </c>
    </row>
    <row r="453" customFormat="false" ht="15" hidden="false" customHeight="false" outlineLevel="0" collapsed="false">
      <c r="D453" s="0" t="str">
        <f aca="false">IF(C453="","",IF(COUNTIFS('MASTER BAHAN'!$A$5:$A$504,C453)=0,"BELUM ADA",INDEX('MASTER BAHAN'!$B$5:$B$504,MATCH(C453,'MASTER BAHAN'!$A$5:$A$504,0))))</f>
        <v/>
      </c>
      <c r="G453" s="0" t="str">
        <f aca="false">IF(C453="","",IF(COUNTIFS('MASTER BAHAN'!$A$5:$A$504,C453)=0,"BELUM ADA",INDEX('MASTER BAHAN'!$D$5:$D$504,MATCH(C453,'MASTER BAHAN'!$A$5:$A$504,0))))</f>
        <v/>
      </c>
      <c r="M453" s="0" t="str">
        <f aca="false">IF(A453="","",IF(E453&lt;&gt;"Waste",0,IF(NOT(ISNUMBER(L453)),"ISI BIAYA WASTE",IF(K453="Disetujui",ROUND(F453*L453,0),0))))</f>
        <v/>
      </c>
    </row>
    <row r="454" customFormat="false" ht="15" hidden="false" customHeight="false" outlineLevel="0" collapsed="false">
      <c r="D454" s="0" t="str">
        <f aca="false">IF(C454="","",IF(COUNTIFS('MASTER BAHAN'!$A$5:$A$504,C454)=0,"BELUM ADA",INDEX('MASTER BAHAN'!$B$5:$B$504,MATCH(C454,'MASTER BAHAN'!$A$5:$A$504,0))))</f>
        <v/>
      </c>
      <c r="G454" s="0" t="str">
        <f aca="false">IF(C454="","",IF(COUNTIFS('MASTER BAHAN'!$A$5:$A$504,C454)=0,"BELUM ADA",INDEX('MASTER BAHAN'!$D$5:$D$504,MATCH(C454,'MASTER BAHAN'!$A$5:$A$504,0))))</f>
        <v/>
      </c>
      <c r="M454" s="0" t="str">
        <f aca="false">IF(A454="","",IF(E454&lt;&gt;"Waste",0,IF(NOT(ISNUMBER(L454)),"ISI BIAYA WASTE",IF(K454="Disetujui",ROUND(F454*L454,0),0))))</f>
        <v/>
      </c>
    </row>
    <row r="455" customFormat="false" ht="15" hidden="false" customHeight="false" outlineLevel="0" collapsed="false">
      <c r="D455" s="0" t="str">
        <f aca="false">IF(C455="","",IF(COUNTIFS('MASTER BAHAN'!$A$5:$A$504,C455)=0,"BELUM ADA",INDEX('MASTER BAHAN'!$B$5:$B$504,MATCH(C455,'MASTER BAHAN'!$A$5:$A$504,0))))</f>
        <v/>
      </c>
      <c r="G455" s="0" t="str">
        <f aca="false">IF(C455="","",IF(COUNTIFS('MASTER BAHAN'!$A$5:$A$504,C455)=0,"BELUM ADA",INDEX('MASTER BAHAN'!$D$5:$D$504,MATCH(C455,'MASTER BAHAN'!$A$5:$A$504,0))))</f>
        <v/>
      </c>
      <c r="M455" s="0" t="str">
        <f aca="false">IF(A455="","",IF(E455&lt;&gt;"Waste",0,IF(NOT(ISNUMBER(L455)),"ISI BIAYA WASTE",IF(K455="Disetujui",ROUND(F455*L455,0),0))))</f>
        <v/>
      </c>
    </row>
    <row r="456" customFormat="false" ht="15" hidden="false" customHeight="false" outlineLevel="0" collapsed="false">
      <c r="D456" s="0" t="str">
        <f aca="false">IF(C456="","",IF(COUNTIFS('MASTER BAHAN'!$A$5:$A$504,C456)=0,"BELUM ADA",INDEX('MASTER BAHAN'!$B$5:$B$504,MATCH(C456,'MASTER BAHAN'!$A$5:$A$504,0))))</f>
        <v/>
      </c>
      <c r="G456" s="0" t="str">
        <f aca="false">IF(C456="","",IF(COUNTIFS('MASTER BAHAN'!$A$5:$A$504,C456)=0,"BELUM ADA",INDEX('MASTER BAHAN'!$D$5:$D$504,MATCH(C456,'MASTER BAHAN'!$A$5:$A$504,0))))</f>
        <v/>
      </c>
      <c r="M456" s="0" t="str">
        <f aca="false">IF(A456="","",IF(E456&lt;&gt;"Waste",0,IF(NOT(ISNUMBER(L456)),"ISI BIAYA WASTE",IF(K456="Disetujui",ROUND(F456*L456,0),0))))</f>
        <v/>
      </c>
    </row>
    <row r="457" customFormat="false" ht="15" hidden="false" customHeight="false" outlineLevel="0" collapsed="false">
      <c r="D457" s="0" t="str">
        <f aca="false">IF(C457="","",IF(COUNTIFS('MASTER BAHAN'!$A$5:$A$504,C457)=0,"BELUM ADA",INDEX('MASTER BAHAN'!$B$5:$B$504,MATCH(C457,'MASTER BAHAN'!$A$5:$A$504,0))))</f>
        <v/>
      </c>
      <c r="G457" s="0" t="str">
        <f aca="false">IF(C457="","",IF(COUNTIFS('MASTER BAHAN'!$A$5:$A$504,C457)=0,"BELUM ADA",INDEX('MASTER BAHAN'!$D$5:$D$504,MATCH(C457,'MASTER BAHAN'!$A$5:$A$504,0))))</f>
        <v/>
      </c>
      <c r="M457" s="0" t="str">
        <f aca="false">IF(A457="","",IF(E457&lt;&gt;"Waste",0,IF(NOT(ISNUMBER(L457)),"ISI BIAYA WASTE",IF(K457="Disetujui",ROUND(F457*L457,0),0))))</f>
        <v/>
      </c>
    </row>
    <row r="458" customFormat="false" ht="15" hidden="false" customHeight="false" outlineLevel="0" collapsed="false">
      <c r="D458" s="0" t="str">
        <f aca="false">IF(C458="","",IF(COUNTIFS('MASTER BAHAN'!$A$5:$A$504,C458)=0,"BELUM ADA",INDEX('MASTER BAHAN'!$B$5:$B$504,MATCH(C458,'MASTER BAHAN'!$A$5:$A$504,0))))</f>
        <v/>
      </c>
      <c r="G458" s="0" t="str">
        <f aca="false">IF(C458="","",IF(COUNTIFS('MASTER BAHAN'!$A$5:$A$504,C458)=0,"BELUM ADA",INDEX('MASTER BAHAN'!$D$5:$D$504,MATCH(C458,'MASTER BAHAN'!$A$5:$A$504,0))))</f>
        <v/>
      </c>
      <c r="M458" s="0" t="str">
        <f aca="false">IF(A458="","",IF(E458&lt;&gt;"Waste",0,IF(NOT(ISNUMBER(L458)),"ISI BIAYA WASTE",IF(K458="Disetujui",ROUND(F458*L458,0),0))))</f>
        <v/>
      </c>
    </row>
    <row r="459" customFormat="false" ht="15" hidden="false" customHeight="false" outlineLevel="0" collapsed="false">
      <c r="D459" s="0" t="str">
        <f aca="false">IF(C459="","",IF(COUNTIFS('MASTER BAHAN'!$A$5:$A$504,C459)=0,"BELUM ADA",INDEX('MASTER BAHAN'!$B$5:$B$504,MATCH(C459,'MASTER BAHAN'!$A$5:$A$504,0))))</f>
        <v/>
      </c>
      <c r="G459" s="0" t="str">
        <f aca="false">IF(C459="","",IF(COUNTIFS('MASTER BAHAN'!$A$5:$A$504,C459)=0,"BELUM ADA",INDEX('MASTER BAHAN'!$D$5:$D$504,MATCH(C459,'MASTER BAHAN'!$A$5:$A$504,0))))</f>
        <v/>
      </c>
      <c r="M459" s="0" t="str">
        <f aca="false">IF(A459="","",IF(E459&lt;&gt;"Waste",0,IF(NOT(ISNUMBER(L459)),"ISI BIAYA WASTE",IF(K459="Disetujui",ROUND(F459*L459,0),0))))</f>
        <v/>
      </c>
    </row>
    <row r="460" customFormat="false" ht="15" hidden="false" customHeight="false" outlineLevel="0" collapsed="false">
      <c r="D460" s="0" t="str">
        <f aca="false">IF(C460="","",IF(COUNTIFS('MASTER BAHAN'!$A$5:$A$504,C460)=0,"BELUM ADA",INDEX('MASTER BAHAN'!$B$5:$B$504,MATCH(C460,'MASTER BAHAN'!$A$5:$A$504,0))))</f>
        <v/>
      </c>
      <c r="G460" s="0" t="str">
        <f aca="false">IF(C460="","",IF(COUNTIFS('MASTER BAHAN'!$A$5:$A$504,C460)=0,"BELUM ADA",INDEX('MASTER BAHAN'!$D$5:$D$504,MATCH(C460,'MASTER BAHAN'!$A$5:$A$504,0))))</f>
        <v/>
      </c>
      <c r="M460" s="0" t="str">
        <f aca="false">IF(A460="","",IF(E460&lt;&gt;"Waste",0,IF(NOT(ISNUMBER(L460)),"ISI BIAYA WASTE",IF(K460="Disetujui",ROUND(F460*L460,0),0))))</f>
        <v/>
      </c>
    </row>
    <row r="461" customFormat="false" ht="15" hidden="false" customHeight="false" outlineLevel="0" collapsed="false">
      <c r="D461" s="0" t="str">
        <f aca="false">IF(C461="","",IF(COUNTIFS('MASTER BAHAN'!$A$5:$A$504,C461)=0,"BELUM ADA",INDEX('MASTER BAHAN'!$B$5:$B$504,MATCH(C461,'MASTER BAHAN'!$A$5:$A$504,0))))</f>
        <v/>
      </c>
      <c r="G461" s="0" t="str">
        <f aca="false">IF(C461="","",IF(COUNTIFS('MASTER BAHAN'!$A$5:$A$504,C461)=0,"BELUM ADA",INDEX('MASTER BAHAN'!$D$5:$D$504,MATCH(C461,'MASTER BAHAN'!$A$5:$A$504,0))))</f>
        <v/>
      </c>
      <c r="M461" s="0" t="str">
        <f aca="false">IF(A461="","",IF(E461&lt;&gt;"Waste",0,IF(NOT(ISNUMBER(L461)),"ISI BIAYA WASTE",IF(K461="Disetujui",ROUND(F461*L461,0),0))))</f>
        <v/>
      </c>
    </row>
    <row r="462" customFormat="false" ht="15" hidden="false" customHeight="false" outlineLevel="0" collapsed="false">
      <c r="D462" s="0" t="str">
        <f aca="false">IF(C462="","",IF(COUNTIFS('MASTER BAHAN'!$A$5:$A$504,C462)=0,"BELUM ADA",INDEX('MASTER BAHAN'!$B$5:$B$504,MATCH(C462,'MASTER BAHAN'!$A$5:$A$504,0))))</f>
        <v/>
      </c>
      <c r="G462" s="0" t="str">
        <f aca="false">IF(C462="","",IF(COUNTIFS('MASTER BAHAN'!$A$5:$A$504,C462)=0,"BELUM ADA",INDEX('MASTER BAHAN'!$D$5:$D$504,MATCH(C462,'MASTER BAHAN'!$A$5:$A$504,0))))</f>
        <v/>
      </c>
      <c r="M462" s="0" t="str">
        <f aca="false">IF(A462="","",IF(E462&lt;&gt;"Waste",0,IF(NOT(ISNUMBER(L462)),"ISI BIAYA WASTE",IF(K462="Disetujui",ROUND(F462*L462,0),0))))</f>
        <v/>
      </c>
    </row>
    <row r="463" customFormat="false" ht="15" hidden="false" customHeight="false" outlineLevel="0" collapsed="false">
      <c r="D463" s="0" t="str">
        <f aca="false">IF(C463="","",IF(COUNTIFS('MASTER BAHAN'!$A$5:$A$504,C463)=0,"BELUM ADA",INDEX('MASTER BAHAN'!$B$5:$B$504,MATCH(C463,'MASTER BAHAN'!$A$5:$A$504,0))))</f>
        <v/>
      </c>
      <c r="G463" s="0" t="str">
        <f aca="false">IF(C463="","",IF(COUNTIFS('MASTER BAHAN'!$A$5:$A$504,C463)=0,"BELUM ADA",INDEX('MASTER BAHAN'!$D$5:$D$504,MATCH(C463,'MASTER BAHAN'!$A$5:$A$504,0))))</f>
        <v/>
      </c>
      <c r="M463" s="0" t="str">
        <f aca="false">IF(A463="","",IF(E463&lt;&gt;"Waste",0,IF(NOT(ISNUMBER(L463)),"ISI BIAYA WASTE",IF(K463="Disetujui",ROUND(F463*L463,0),0))))</f>
        <v/>
      </c>
    </row>
    <row r="464" customFormat="false" ht="15" hidden="false" customHeight="false" outlineLevel="0" collapsed="false">
      <c r="D464" s="0" t="str">
        <f aca="false">IF(C464="","",IF(COUNTIFS('MASTER BAHAN'!$A$5:$A$504,C464)=0,"BELUM ADA",INDEX('MASTER BAHAN'!$B$5:$B$504,MATCH(C464,'MASTER BAHAN'!$A$5:$A$504,0))))</f>
        <v/>
      </c>
      <c r="G464" s="0" t="str">
        <f aca="false">IF(C464="","",IF(COUNTIFS('MASTER BAHAN'!$A$5:$A$504,C464)=0,"BELUM ADA",INDEX('MASTER BAHAN'!$D$5:$D$504,MATCH(C464,'MASTER BAHAN'!$A$5:$A$504,0))))</f>
        <v/>
      </c>
      <c r="M464" s="0" t="str">
        <f aca="false">IF(A464="","",IF(E464&lt;&gt;"Waste",0,IF(NOT(ISNUMBER(L464)),"ISI BIAYA WASTE",IF(K464="Disetujui",ROUND(F464*L464,0),0))))</f>
        <v/>
      </c>
    </row>
    <row r="465" customFormat="false" ht="15" hidden="false" customHeight="false" outlineLevel="0" collapsed="false">
      <c r="D465" s="0" t="str">
        <f aca="false">IF(C465="","",IF(COUNTIFS('MASTER BAHAN'!$A$5:$A$504,C465)=0,"BELUM ADA",INDEX('MASTER BAHAN'!$B$5:$B$504,MATCH(C465,'MASTER BAHAN'!$A$5:$A$504,0))))</f>
        <v/>
      </c>
      <c r="G465" s="0" t="str">
        <f aca="false">IF(C465="","",IF(COUNTIFS('MASTER BAHAN'!$A$5:$A$504,C465)=0,"BELUM ADA",INDEX('MASTER BAHAN'!$D$5:$D$504,MATCH(C465,'MASTER BAHAN'!$A$5:$A$504,0))))</f>
        <v/>
      </c>
      <c r="M465" s="0" t="str">
        <f aca="false">IF(A465="","",IF(E465&lt;&gt;"Waste",0,IF(NOT(ISNUMBER(L465)),"ISI BIAYA WASTE",IF(K465="Disetujui",ROUND(F465*L465,0),0))))</f>
        <v/>
      </c>
    </row>
    <row r="466" customFormat="false" ht="15" hidden="false" customHeight="false" outlineLevel="0" collapsed="false">
      <c r="D466" s="0" t="str">
        <f aca="false">IF(C466="","",IF(COUNTIFS('MASTER BAHAN'!$A$5:$A$504,C466)=0,"BELUM ADA",INDEX('MASTER BAHAN'!$B$5:$B$504,MATCH(C466,'MASTER BAHAN'!$A$5:$A$504,0))))</f>
        <v/>
      </c>
      <c r="G466" s="0" t="str">
        <f aca="false">IF(C466="","",IF(COUNTIFS('MASTER BAHAN'!$A$5:$A$504,C466)=0,"BELUM ADA",INDEX('MASTER BAHAN'!$D$5:$D$504,MATCH(C466,'MASTER BAHAN'!$A$5:$A$504,0))))</f>
        <v/>
      </c>
      <c r="M466" s="0" t="str">
        <f aca="false">IF(A466="","",IF(E466&lt;&gt;"Waste",0,IF(NOT(ISNUMBER(L466)),"ISI BIAYA WASTE",IF(K466="Disetujui",ROUND(F466*L466,0),0))))</f>
        <v/>
      </c>
    </row>
    <row r="467" customFormat="false" ht="15" hidden="false" customHeight="false" outlineLevel="0" collapsed="false">
      <c r="D467" s="0" t="str">
        <f aca="false">IF(C467="","",IF(COUNTIFS('MASTER BAHAN'!$A$5:$A$504,C467)=0,"BELUM ADA",INDEX('MASTER BAHAN'!$B$5:$B$504,MATCH(C467,'MASTER BAHAN'!$A$5:$A$504,0))))</f>
        <v/>
      </c>
      <c r="G467" s="0" t="str">
        <f aca="false">IF(C467="","",IF(COUNTIFS('MASTER BAHAN'!$A$5:$A$504,C467)=0,"BELUM ADA",INDEX('MASTER BAHAN'!$D$5:$D$504,MATCH(C467,'MASTER BAHAN'!$A$5:$A$504,0))))</f>
        <v/>
      </c>
      <c r="M467" s="0" t="str">
        <f aca="false">IF(A467="","",IF(E467&lt;&gt;"Waste",0,IF(NOT(ISNUMBER(L467)),"ISI BIAYA WASTE",IF(K467="Disetujui",ROUND(F467*L467,0),0))))</f>
        <v/>
      </c>
    </row>
    <row r="468" customFormat="false" ht="15" hidden="false" customHeight="false" outlineLevel="0" collapsed="false">
      <c r="D468" s="0" t="str">
        <f aca="false">IF(C468="","",IF(COUNTIFS('MASTER BAHAN'!$A$5:$A$504,C468)=0,"BELUM ADA",INDEX('MASTER BAHAN'!$B$5:$B$504,MATCH(C468,'MASTER BAHAN'!$A$5:$A$504,0))))</f>
        <v/>
      </c>
      <c r="G468" s="0" t="str">
        <f aca="false">IF(C468="","",IF(COUNTIFS('MASTER BAHAN'!$A$5:$A$504,C468)=0,"BELUM ADA",INDEX('MASTER BAHAN'!$D$5:$D$504,MATCH(C468,'MASTER BAHAN'!$A$5:$A$504,0))))</f>
        <v/>
      </c>
      <c r="M468" s="0" t="str">
        <f aca="false">IF(A468="","",IF(E468&lt;&gt;"Waste",0,IF(NOT(ISNUMBER(L468)),"ISI BIAYA WASTE",IF(K468="Disetujui",ROUND(F468*L468,0),0))))</f>
        <v/>
      </c>
    </row>
    <row r="469" customFormat="false" ht="15" hidden="false" customHeight="false" outlineLevel="0" collapsed="false">
      <c r="D469" s="0" t="str">
        <f aca="false">IF(C469="","",IF(COUNTIFS('MASTER BAHAN'!$A$5:$A$504,C469)=0,"BELUM ADA",INDEX('MASTER BAHAN'!$B$5:$B$504,MATCH(C469,'MASTER BAHAN'!$A$5:$A$504,0))))</f>
        <v/>
      </c>
      <c r="G469" s="0" t="str">
        <f aca="false">IF(C469="","",IF(COUNTIFS('MASTER BAHAN'!$A$5:$A$504,C469)=0,"BELUM ADA",INDEX('MASTER BAHAN'!$D$5:$D$504,MATCH(C469,'MASTER BAHAN'!$A$5:$A$504,0))))</f>
        <v/>
      </c>
      <c r="M469" s="0" t="str">
        <f aca="false">IF(A469="","",IF(E469&lt;&gt;"Waste",0,IF(NOT(ISNUMBER(L469)),"ISI BIAYA WASTE",IF(K469="Disetujui",ROUND(F469*L469,0),0))))</f>
        <v/>
      </c>
    </row>
    <row r="470" customFormat="false" ht="15" hidden="false" customHeight="false" outlineLevel="0" collapsed="false">
      <c r="D470" s="0" t="str">
        <f aca="false">IF(C470="","",IF(COUNTIFS('MASTER BAHAN'!$A$5:$A$504,C470)=0,"BELUM ADA",INDEX('MASTER BAHAN'!$B$5:$B$504,MATCH(C470,'MASTER BAHAN'!$A$5:$A$504,0))))</f>
        <v/>
      </c>
      <c r="G470" s="0" t="str">
        <f aca="false">IF(C470="","",IF(COUNTIFS('MASTER BAHAN'!$A$5:$A$504,C470)=0,"BELUM ADA",INDEX('MASTER BAHAN'!$D$5:$D$504,MATCH(C470,'MASTER BAHAN'!$A$5:$A$504,0))))</f>
        <v/>
      </c>
      <c r="M470" s="0" t="str">
        <f aca="false">IF(A470="","",IF(E470&lt;&gt;"Waste",0,IF(NOT(ISNUMBER(L470)),"ISI BIAYA WASTE",IF(K470="Disetujui",ROUND(F470*L470,0),0))))</f>
        <v/>
      </c>
    </row>
    <row r="471" customFormat="false" ht="15" hidden="false" customHeight="false" outlineLevel="0" collapsed="false">
      <c r="D471" s="0" t="str">
        <f aca="false">IF(C471="","",IF(COUNTIFS('MASTER BAHAN'!$A$5:$A$504,C471)=0,"BELUM ADA",INDEX('MASTER BAHAN'!$B$5:$B$504,MATCH(C471,'MASTER BAHAN'!$A$5:$A$504,0))))</f>
        <v/>
      </c>
      <c r="G471" s="0" t="str">
        <f aca="false">IF(C471="","",IF(COUNTIFS('MASTER BAHAN'!$A$5:$A$504,C471)=0,"BELUM ADA",INDEX('MASTER BAHAN'!$D$5:$D$504,MATCH(C471,'MASTER BAHAN'!$A$5:$A$504,0))))</f>
        <v/>
      </c>
      <c r="M471" s="0" t="str">
        <f aca="false">IF(A471="","",IF(E471&lt;&gt;"Waste",0,IF(NOT(ISNUMBER(L471)),"ISI BIAYA WASTE",IF(K471="Disetujui",ROUND(F471*L471,0),0))))</f>
        <v/>
      </c>
    </row>
    <row r="472" customFormat="false" ht="15" hidden="false" customHeight="false" outlineLevel="0" collapsed="false">
      <c r="D472" s="0" t="str">
        <f aca="false">IF(C472="","",IF(COUNTIFS('MASTER BAHAN'!$A$5:$A$504,C472)=0,"BELUM ADA",INDEX('MASTER BAHAN'!$B$5:$B$504,MATCH(C472,'MASTER BAHAN'!$A$5:$A$504,0))))</f>
        <v/>
      </c>
      <c r="G472" s="0" t="str">
        <f aca="false">IF(C472="","",IF(COUNTIFS('MASTER BAHAN'!$A$5:$A$504,C472)=0,"BELUM ADA",INDEX('MASTER BAHAN'!$D$5:$D$504,MATCH(C472,'MASTER BAHAN'!$A$5:$A$504,0))))</f>
        <v/>
      </c>
      <c r="M472" s="0" t="str">
        <f aca="false">IF(A472="","",IF(E472&lt;&gt;"Waste",0,IF(NOT(ISNUMBER(L472)),"ISI BIAYA WASTE",IF(K472="Disetujui",ROUND(F472*L472,0),0))))</f>
        <v/>
      </c>
    </row>
    <row r="473" customFormat="false" ht="15" hidden="false" customHeight="false" outlineLevel="0" collapsed="false">
      <c r="D473" s="0" t="str">
        <f aca="false">IF(C473="","",IF(COUNTIFS('MASTER BAHAN'!$A$5:$A$504,C473)=0,"BELUM ADA",INDEX('MASTER BAHAN'!$B$5:$B$504,MATCH(C473,'MASTER BAHAN'!$A$5:$A$504,0))))</f>
        <v/>
      </c>
      <c r="G473" s="0" t="str">
        <f aca="false">IF(C473="","",IF(COUNTIFS('MASTER BAHAN'!$A$5:$A$504,C473)=0,"BELUM ADA",INDEX('MASTER BAHAN'!$D$5:$D$504,MATCH(C473,'MASTER BAHAN'!$A$5:$A$504,0))))</f>
        <v/>
      </c>
      <c r="M473" s="0" t="str">
        <f aca="false">IF(A473="","",IF(E473&lt;&gt;"Waste",0,IF(NOT(ISNUMBER(L473)),"ISI BIAYA WASTE",IF(K473="Disetujui",ROUND(F473*L473,0),0))))</f>
        <v/>
      </c>
    </row>
    <row r="474" customFormat="false" ht="15" hidden="false" customHeight="false" outlineLevel="0" collapsed="false">
      <c r="D474" s="0" t="str">
        <f aca="false">IF(C474="","",IF(COUNTIFS('MASTER BAHAN'!$A$5:$A$504,C474)=0,"BELUM ADA",INDEX('MASTER BAHAN'!$B$5:$B$504,MATCH(C474,'MASTER BAHAN'!$A$5:$A$504,0))))</f>
        <v/>
      </c>
      <c r="G474" s="0" t="str">
        <f aca="false">IF(C474="","",IF(COUNTIFS('MASTER BAHAN'!$A$5:$A$504,C474)=0,"BELUM ADA",INDEX('MASTER BAHAN'!$D$5:$D$504,MATCH(C474,'MASTER BAHAN'!$A$5:$A$504,0))))</f>
        <v/>
      </c>
      <c r="M474" s="0" t="str">
        <f aca="false">IF(A474="","",IF(E474&lt;&gt;"Waste",0,IF(NOT(ISNUMBER(L474)),"ISI BIAYA WASTE",IF(K474="Disetujui",ROUND(F474*L474,0),0))))</f>
        <v/>
      </c>
    </row>
    <row r="475" customFormat="false" ht="15" hidden="false" customHeight="false" outlineLevel="0" collapsed="false">
      <c r="D475" s="0" t="str">
        <f aca="false">IF(C475="","",IF(COUNTIFS('MASTER BAHAN'!$A$5:$A$504,C475)=0,"BELUM ADA",INDEX('MASTER BAHAN'!$B$5:$B$504,MATCH(C475,'MASTER BAHAN'!$A$5:$A$504,0))))</f>
        <v/>
      </c>
      <c r="G475" s="0" t="str">
        <f aca="false">IF(C475="","",IF(COUNTIFS('MASTER BAHAN'!$A$5:$A$504,C475)=0,"BELUM ADA",INDEX('MASTER BAHAN'!$D$5:$D$504,MATCH(C475,'MASTER BAHAN'!$A$5:$A$504,0))))</f>
        <v/>
      </c>
      <c r="M475" s="0" t="str">
        <f aca="false">IF(A475="","",IF(E475&lt;&gt;"Waste",0,IF(NOT(ISNUMBER(L475)),"ISI BIAYA WASTE",IF(K475="Disetujui",ROUND(F475*L475,0),0))))</f>
        <v/>
      </c>
    </row>
    <row r="476" customFormat="false" ht="15" hidden="false" customHeight="false" outlineLevel="0" collapsed="false">
      <c r="D476" s="0" t="str">
        <f aca="false">IF(C476="","",IF(COUNTIFS('MASTER BAHAN'!$A$5:$A$504,C476)=0,"BELUM ADA",INDEX('MASTER BAHAN'!$B$5:$B$504,MATCH(C476,'MASTER BAHAN'!$A$5:$A$504,0))))</f>
        <v/>
      </c>
      <c r="G476" s="0" t="str">
        <f aca="false">IF(C476="","",IF(COUNTIFS('MASTER BAHAN'!$A$5:$A$504,C476)=0,"BELUM ADA",INDEX('MASTER BAHAN'!$D$5:$D$504,MATCH(C476,'MASTER BAHAN'!$A$5:$A$504,0))))</f>
        <v/>
      </c>
      <c r="M476" s="0" t="str">
        <f aca="false">IF(A476="","",IF(E476&lt;&gt;"Waste",0,IF(NOT(ISNUMBER(L476)),"ISI BIAYA WASTE",IF(K476="Disetujui",ROUND(F476*L476,0),0))))</f>
        <v/>
      </c>
    </row>
    <row r="477" customFormat="false" ht="15" hidden="false" customHeight="false" outlineLevel="0" collapsed="false">
      <c r="D477" s="0" t="str">
        <f aca="false">IF(C477="","",IF(COUNTIFS('MASTER BAHAN'!$A$5:$A$504,C477)=0,"BELUM ADA",INDEX('MASTER BAHAN'!$B$5:$B$504,MATCH(C477,'MASTER BAHAN'!$A$5:$A$504,0))))</f>
        <v/>
      </c>
      <c r="G477" s="0" t="str">
        <f aca="false">IF(C477="","",IF(COUNTIFS('MASTER BAHAN'!$A$5:$A$504,C477)=0,"BELUM ADA",INDEX('MASTER BAHAN'!$D$5:$D$504,MATCH(C477,'MASTER BAHAN'!$A$5:$A$504,0))))</f>
        <v/>
      </c>
      <c r="M477" s="0" t="str">
        <f aca="false">IF(A477="","",IF(E477&lt;&gt;"Waste",0,IF(NOT(ISNUMBER(L477)),"ISI BIAYA WASTE",IF(K477="Disetujui",ROUND(F477*L477,0),0))))</f>
        <v/>
      </c>
    </row>
    <row r="478" customFormat="false" ht="15" hidden="false" customHeight="false" outlineLevel="0" collapsed="false">
      <c r="D478" s="0" t="str">
        <f aca="false">IF(C478="","",IF(COUNTIFS('MASTER BAHAN'!$A$5:$A$504,C478)=0,"BELUM ADA",INDEX('MASTER BAHAN'!$B$5:$B$504,MATCH(C478,'MASTER BAHAN'!$A$5:$A$504,0))))</f>
        <v/>
      </c>
      <c r="G478" s="0" t="str">
        <f aca="false">IF(C478="","",IF(COUNTIFS('MASTER BAHAN'!$A$5:$A$504,C478)=0,"BELUM ADA",INDEX('MASTER BAHAN'!$D$5:$D$504,MATCH(C478,'MASTER BAHAN'!$A$5:$A$504,0))))</f>
        <v/>
      </c>
      <c r="M478" s="0" t="str">
        <f aca="false">IF(A478="","",IF(E478&lt;&gt;"Waste",0,IF(NOT(ISNUMBER(L478)),"ISI BIAYA WASTE",IF(K478="Disetujui",ROUND(F478*L478,0),0))))</f>
        <v/>
      </c>
    </row>
    <row r="479" customFormat="false" ht="15" hidden="false" customHeight="false" outlineLevel="0" collapsed="false">
      <c r="D479" s="0" t="str">
        <f aca="false">IF(C479="","",IF(COUNTIFS('MASTER BAHAN'!$A$5:$A$504,C479)=0,"BELUM ADA",INDEX('MASTER BAHAN'!$B$5:$B$504,MATCH(C479,'MASTER BAHAN'!$A$5:$A$504,0))))</f>
        <v/>
      </c>
      <c r="G479" s="0" t="str">
        <f aca="false">IF(C479="","",IF(COUNTIFS('MASTER BAHAN'!$A$5:$A$504,C479)=0,"BELUM ADA",INDEX('MASTER BAHAN'!$D$5:$D$504,MATCH(C479,'MASTER BAHAN'!$A$5:$A$504,0))))</f>
        <v/>
      </c>
      <c r="M479" s="0" t="str">
        <f aca="false">IF(A479="","",IF(E479&lt;&gt;"Waste",0,IF(NOT(ISNUMBER(L479)),"ISI BIAYA WASTE",IF(K479="Disetujui",ROUND(F479*L479,0),0))))</f>
        <v/>
      </c>
    </row>
    <row r="480" customFormat="false" ht="15" hidden="false" customHeight="false" outlineLevel="0" collapsed="false">
      <c r="D480" s="0" t="str">
        <f aca="false">IF(C480="","",IF(COUNTIFS('MASTER BAHAN'!$A$5:$A$504,C480)=0,"BELUM ADA",INDEX('MASTER BAHAN'!$B$5:$B$504,MATCH(C480,'MASTER BAHAN'!$A$5:$A$504,0))))</f>
        <v/>
      </c>
      <c r="G480" s="0" t="str">
        <f aca="false">IF(C480="","",IF(COUNTIFS('MASTER BAHAN'!$A$5:$A$504,C480)=0,"BELUM ADA",INDEX('MASTER BAHAN'!$D$5:$D$504,MATCH(C480,'MASTER BAHAN'!$A$5:$A$504,0))))</f>
        <v/>
      </c>
      <c r="M480" s="0" t="str">
        <f aca="false">IF(A480="","",IF(E480&lt;&gt;"Waste",0,IF(NOT(ISNUMBER(L480)),"ISI BIAYA WASTE",IF(K480="Disetujui",ROUND(F480*L480,0),0))))</f>
        <v/>
      </c>
    </row>
    <row r="481" customFormat="false" ht="15" hidden="false" customHeight="false" outlineLevel="0" collapsed="false">
      <c r="D481" s="0" t="str">
        <f aca="false">IF(C481="","",IF(COUNTIFS('MASTER BAHAN'!$A$5:$A$504,C481)=0,"BELUM ADA",INDEX('MASTER BAHAN'!$B$5:$B$504,MATCH(C481,'MASTER BAHAN'!$A$5:$A$504,0))))</f>
        <v/>
      </c>
      <c r="G481" s="0" t="str">
        <f aca="false">IF(C481="","",IF(COUNTIFS('MASTER BAHAN'!$A$5:$A$504,C481)=0,"BELUM ADA",INDEX('MASTER BAHAN'!$D$5:$D$504,MATCH(C481,'MASTER BAHAN'!$A$5:$A$504,0))))</f>
        <v/>
      </c>
      <c r="M481" s="0" t="str">
        <f aca="false">IF(A481="","",IF(E481&lt;&gt;"Waste",0,IF(NOT(ISNUMBER(L481)),"ISI BIAYA WASTE",IF(K481="Disetujui",ROUND(F481*L481,0),0))))</f>
        <v/>
      </c>
    </row>
    <row r="482" customFormat="false" ht="15" hidden="false" customHeight="false" outlineLevel="0" collapsed="false">
      <c r="D482" s="0" t="str">
        <f aca="false">IF(C482="","",IF(COUNTIFS('MASTER BAHAN'!$A$5:$A$504,C482)=0,"BELUM ADA",INDEX('MASTER BAHAN'!$B$5:$B$504,MATCH(C482,'MASTER BAHAN'!$A$5:$A$504,0))))</f>
        <v/>
      </c>
      <c r="G482" s="0" t="str">
        <f aca="false">IF(C482="","",IF(COUNTIFS('MASTER BAHAN'!$A$5:$A$504,C482)=0,"BELUM ADA",INDEX('MASTER BAHAN'!$D$5:$D$504,MATCH(C482,'MASTER BAHAN'!$A$5:$A$504,0))))</f>
        <v/>
      </c>
      <c r="M482" s="0" t="str">
        <f aca="false">IF(A482="","",IF(E482&lt;&gt;"Waste",0,IF(NOT(ISNUMBER(L482)),"ISI BIAYA WASTE",IF(K482="Disetujui",ROUND(F482*L482,0),0))))</f>
        <v/>
      </c>
    </row>
    <row r="483" customFormat="false" ht="15" hidden="false" customHeight="false" outlineLevel="0" collapsed="false">
      <c r="D483" s="0" t="str">
        <f aca="false">IF(C483="","",IF(COUNTIFS('MASTER BAHAN'!$A$5:$A$504,C483)=0,"BELUM ADA",INDEX('MASTER BAHAN'!$B$5:$B$504,MATCH(C483,'MASTER BAHAN'!$A$5:$A$504,0))))</f>
        <v/>
      </c>
      <c r="G483" s="0" t="str">
        <f aca="false">IF(C483="","",IF(COUNTIFS('MASTER BAHAN'!$A$5:$A$504,C483)=0,"BELUM ADA",INDEX('MASTER BAHAN'!$D$5:$D$504,MATCH(C483,'MASTER BAHAN'!$A$5:$A$504,0))))</f>
        <v/>
      </c>
      <c r="M483" s="0" t="str">
        <f aca="false">IF(A483="","",IF(E483&lt;&gt;"Waste",0,IF(NOT(ISNUMBER(L483)),"ISI BIAYA WASTE",IF(K483="Disetujui",ROUND(F483*L483,0),0))))</f>
        <v/>
      </c>
    </row>
    <row r="484" customFormat="false" ht="15" hidden="false" customHeight="false" outlineLevel="0" collapsed="false">
      <c r="D484" s="0" t="str">
        <f aca="false">IF(C484="","",IF(COUNTIFS('MASTER BAHAN'!$A$5:$A$504,C484)=0,"BELUM ADA",INDEX('MASTER BAHAN'!$B$5:$B$504,MATCH(C484,'MASTER BAHAN'!$A$5:$A$504,0))))</f>
        <v/>
      </c>
      <c r="G484" s="0" t="str">
        <f aca="false">IF(C484="","",IF(COUNTIFS('MASTER BAHAN'!$A$5:$A$504,C484)=0,"BELUM ADA",INDEX('MASTER BAHAN'!$D$5:$D$504,MATCH(C484,'MASTER BAHAN'!$A$5:$A$504,0))))</f>
        <v/>
      </c>
      <c r="M484" s="0" t="str">
        <f aca="false">IF(A484="","",IF(E484&lt;&gt;"Waste",0,IF(NOT(ISNUMBER(L484)),"ISI BIAYA WASTE",IF(K484="Disetujui",ROUND(F484*L484,0),0))))</f>
        <v/>
      </c>
    </row>
    <row r="485" customFormat="false" ht="15" hidden="false" customHeight="false" outlineLevel="0" collapsed="false">
      <c r="D485" s="0" t="str">
        <f aca="false">IF(C485="","",IF(COUNTIFS('MASTER BAHAN'!$A$5:$A$504,C485)=0,"BELUM ADA",INDEX('MASTER BAHAN'!$B$5:$B$504,MATCH(C485,'MASTER BAHAN'!$A$5:$A$504,0))))</f>
        <v/>
      </c>
      <c r="G485" s="0" t="str">
        <f aca="false">IF(C485="","",IF(COUNTIFS('MASTER BAHAN'!$A$5:$A$504,C485)=0,"BELUM ADA",INDEX('MASTER BAHAN'!$D$5:$D$504,MATCH(C485,'MASTER BAHAN'!$A$5:$A$504,0))))</f>
        <v/>
      </c>
      <c r="M485" s="0" t="str">
        <f aca="false">IF(A485="","",IF(E485&lt;&gt;"Waste",0,IF(NOT(ISNUMBER(L485)),"ISI BIAYA WASTE",IF(K485="Disetujui",ROUND(F485*L485,0),0))))</f>
        <v/>
      </c>
    </row>
    <row r="486" customFormat="false" ht="15" hidden="false" customHeight="false" outlineLevel="0" collapsed="false">
      <c r="D486" s="0" t="str">
        <f aca="false">IF(C486="","",IF(COUNTIFS('MASTER BAHAN'!$A$5:$A$504,C486)=0,"BELUM ADA",INDEX('MASTER BAHAN'!$B$5:$B$504,MATCH(C486,'MASTER BAHAN'!$A$5:$A$504,0))))</f>
        <v/>
      </c>
      <c r="G486" s="0" t="str">
        <f aca="false">IF(C486="","",IF(COUNTIFS('MASTER BAHAN'!$A$5:$A$504,C486)=0,"BELUM ADA",INDEX('MASTER BAHAN'!$D$5:$D$504,MATCH(C486,'MASTER BAHAN'!$A$5:$A$504,0))))</f>
        <v/>
      </c>
      <c r="M486" s="0" t="str">
        <f aca="false">IF(A486="","",IF(E486&lt;&gt;"Waste",0,IF(NOT(ISNUMBER(L486)),"ISI BIAYA WASTE",IF(K486="Disetujui",ROUND(F486*L486,0),0))))</f>
        <v/>
      </c>
    </row>
    <row r="487" customFormat="false" ht="15" hidden="false" customHeight="false" outlineLevel="0" collapsed="false">
      <c r="D487" s="0" t="str">
        <f aca="false">IF(C487="","",IF(COUNTIFS('MASTER BAHAN'!$A$5:$A$504,C487)=0,"BELUM ADA",INDEX('MASTER BAHAN'!$B$5:$B$504,MATCH(C487,'MASTER BAHAN'!$A$5:$A$504,0))))</f>
        <v/>
      </c>
      <c r="G487" s="0" t="str">
        <f aca="false">IF(C487="","",IF(COUNTIFS('MASTER BAHAN'!$A$5:$A$504,C487)=0,"BELUM ADA",INDEX('MASTER BAHAN'!$D$5:$D$504,MATCH(C487,'MASTER BAHAN'!$A$5:$A$504,0))))</f>
        <v/>
      </c>
      <c r="M487" s="0" t="str">
        <f aca="false">IF(A487="","",IF(E487&lt;&gt;"Waste",0,IF(NOT(ISNUMBER(L487)),"ISI BIAYA WASTE",IF(K487="Disetujui",ROUND(F487*L487,0),0))))</f>
        <v/>
      </c>
    </row>
    <row r="488" customFormat="false" ht="15" hidden="false" customHeight="false" outlineLevel="0" collapsed="false">
      <c r="D488" s="0" t="str">
        <f aca="false">IF(C488="","",IF(COUNTIFS('MASTER BAHAN'!$A$5:$A$504,C488)=0,"BELUM ADA",INDEX('MASTER BAHAN'!$B$5:$B$504,MATCH(C488,'MASTER BAHAN'!$A$5:$A$504,0))))</f>
        <v/>
      </c>
      <c r="G488" s="0" t="str">
        <f aca="false">IF(C488="","",IF(COUNTIFS('MASTER BAHAN'!$A$5:$A$504,C488)=0,"BELUM ADA",INDEX('MASTER BAHAN'!$D$5:$D$504,MATCH(C488,'MASTER BAHAN'!$A$5:$A$504,0))))</f>
        <v/>
      </c>
      <c r="M488" s="0" t="str">
        <f aca="false">IF(A488="","",IF(E488&lt;&gt;"Waste",0,IF(NOT(ISNUMBER(L488)),"ISI BIAYA WASTE",IF(K488="Disetujui",ROUND(F488*L488,0),0))))</f>
        <v/>
      </c>
    </row>
    <row r="489" customFormat="false" ht="15" hidden="false" customHeight="false" outlineLevel="0" collapsed="false">
      <c r="D489" s="0" t="str">
        <f aca="false">IF(C489="","",IF(COUNTIFS('MASTER BAHAN'!$A$5:$A$504,C489)=0,"BELUM ADA",INDEX('MASTER BAHAN'!$B$5:$B$504,MATCH(C489,'MASTER BAHAN'!$A$5:$A$504,0))))</f>
        <v/>
      </c>
      <c r="G489" s="0" t="str">
        <f aca="false">IF(C489="","",IF(COUNTIFS('MASTER BAHAN'!$A$5:$A$504,C489)=0,"BELUM ADA",INDEX('MASTER BAHAN'!$D$5:$D$504,MATCH(C489,'MASTER BAHAN'!$A$5:$A$504,0))))</f>
        <v/>
      </c>
      <c r="M489" s="0" t="str">
        <f aca="false">IF(A489="","",IF(E489&lt;&gt;"Waste",0,IF(NOT(ISNUMBER(L489)),"ISI BIAYA WASTE",IF(K489="Disetujui",ROUND(F489*L489,0),0))))</f>
        <v/>
      </c>
    </row>
    <row r="490" customFormat="false" ht="15" hidden="false" customHeight="false" outlineLevel="0" collapsed="false">
      <c r="D490" s="0" t="str">
        <f aca="false">IF(C490="","",IF(COUNTIFS('MASTER BAHAN'!$A$5:$A$504,C490)=0,"BELUM ADA",INDEX('MASTER BAHAN'!$B$5:$B$504,MATCH(C490,'MASTER BAHAN'!$A$5:$A$504,0))))</f>
        <v/>
      </c>
      <c r="G490" s="0" t="str">
        <f aca="false">IF(C490="","",IF(COUNTIFS('MASTER BAHAN'!$A$5:$A$504,C490)=0,"BELUM ADA",INDEX('MASTER BAHAN'!$D$5:$D$504,MATCH(C490,'MASTER BAHAN'!$A$5:$A$504,0))))</f>
        <v/>
      </c>
      <c r="M490" s="0" t="str">
        <f aca="false">IF(A490="","",IF(E490&lt;&gt;"Waste",0,IF(NOT(ISNUMBER(L490)),"ISI BIAYA WASTE",IF(K490="Disetujui",ROUND(F490*L490,0),0))))</f>
        <v/>
      </c>
    </row>
    <row r="491" customFormat="false" ht="15" hidden="false" customHeight="false" outlineLevel="0" collapsed="false">
      <c r="D491" s="0" t="str">
        <f aca="false">IF(C491="","",IF(COUNTIFS('MASTER BAHAN'!$A$5:$A$504,C491)=0,"BELUM ADA",INDEX('MASTER BAHAN'!$B$5:$B$504,MATCH(C491,'MASTER BAHAN'!$A$5:$A$504,0))))</f>
        <v/>
      </c>
      <c r="G491" s="0" t="str">
        <f aca="false">IF(C491="","",IF(COUNTIFS('MASTER BAHAN'!$A$5:$A$504,C491)=0,"BELUM ADA",INDEX('MASTER BAHAN'!$D$5:$D$504,MATCH(C491,'MASTER BAHAN'!$A$5:$A$504,0))))</f>
        <v/>
      </c>
      <c r="M491" s="0" t="str">
        <f aca="false">IF(A491="","",IF(E491&lt;&gt;"Waste",0,IF(NOT(ISNUMBER(L491)),"ISI BIAYA WASTE",IF(K491="Disetujui",ROUND(F491*L491,0),0))))</f>
        <v/>
      </c>
    </row>
    <row r="492" customFormat="false" ht="15" hidden="false" customHeight="false" outlineLevel="0" collapsed="false">
      <c r="D492" s="0" t="str">
        <f aca="false">IF(C492="","",IF(COUNTIFS('MASTER BAHAN'!$A$5:$A$504,C492)=0,"BELUM ADA",INDEX('MASTER BAHAN'!$B$5:$B$504,MATCH(C492,'MASTER BAHAN'!$A$5:$A$504,0))))</f>
        <v/>
      </c>
      <c r="G492" s="0" t="str">
        <f aca="false">IF(C492="","",IF(COUNTIFS('MASTER BAHAN'!$A$5:$A$504,C492)=0,"BELUM ADA",INDEX('MASTER BAHAN'!$D$5:$D$504,MATCH(C492,'MASTER BAHAN'!$A$5:$A$504,0))))</f>
        <v/>
      </c>
      <c r="M492" s="0" t="str">
        <f aca="false">IF(A492="","",IF(E492&lt;&gt;"Waste",0,IF(NOT(ISNUMBER(L492)),"ISI BIAYA WASTE",IF(K492="Disetujui",ROUND(F492*L492,0),0))))</f>
        <v/>
      </c>
    </row>
    <row r="493" customFormat="false" ht="15" hidden="false" customHeight="false" outlineLevel="0" collapsed="false">
      <c r="D493" s="0" t="str">
        <f aca="false">IF(C493="","",IF(COUNTIFS('MASTER BAHAN'!$A$5:$A$504,C493)=0,"BELUM ADA",INDEX('MASTER BAHAN'!$B$5:$B$504,MATCH(C493,'MASTER BAHAN'!$A$5:$A$504,0))))</f>
        <v/>
      </c>
      <c r="G493" s="0" t="str">
        <f aca="false">IF(C493="","",IF(COUNTIFS('MASTER BAHAN'!$A$5:$A$504,C493)=0,"BELUM ADA",INDEX('MASTER BAHAN'!$D$5:$D$504,MATCH(C493,'MASTER BAHAN'!$A$5:$A$504,0))))</f>
        <v/>
      </c>
      <c r="M493" s="0" t="str">
        <f aca="false">IF(A493="","",IF(E493&lt;&gt;"Waste",0,IF(NOT(ISNUMBER(L493)),"ISI BIAYA WASTE",IF(K493="Disetujui",ROUND(F493*L493,0),0))))</f>
        <v/>
      </c>
    </row>
    <row r="494" customFormat="false" ht="15" hidden="false" customHeight="false" outlineLevel="0" collapsed="false">
      <c r="D494" s="0" t="str">
        <f aca="false">IF(C494="","",IF(COUNTIFS('MASTER BAHAN'!$A$5:$A$504,C494)=0,"BELUM ADA",INDEX('MASTER BAHAN'!$B$5:$B$504,MATCH(C494,'MASTER BAHAN'!$A$5:$A$504,0))))</f>
        <v/>
      </c>
      <c r="G494" s="0" t="str">
        <f aca="false">IF(C494="","",IF(COUNTIFS('MASTER BAHAN'!$A$5:$A$504,C494)=0,"BELUM ADA",INDEX('MASTER BAHAN'!$D$5:$D$504,MATCH(C494,'MASTER BAHAN'!$A$5:$A$504,0))))</f>
        <v/>
      </c>
      <c r="M494" s="0" t="str">
        <f aca="false">IF(A494="","",IF(E494&lt;&gt;"Waste",0,IF(NOT(ISNUMBER(L494)),"ISI BIAYA WASTE",IF(K494="Disetujui",ROUND(F494*L494,0),0))))</f>
        <v/>
      </c>
    </row>
    <row r="495" customFormat="false" ht="15" hidden="false" customHeight="false" outlineLevel="0" collapsed="false">
      <c r="D495" s="0" t="str">
        <f aca="false">IF(C495="","",IF(COUNTIFS('MASTER BAHAN'!$A$5:$A$504,C495)=0,"BELUM ADA",INDEX('MASTER BAHAN'!$B$5:$B$504,MATCH(C495,'MASTER BAHAN'!$A$5:$A$504,0))))</f>
        <v/>
      </c>
      <c r="G495" s="0" t="str">
        <f aca="false">IF(C495="","",IF(COUNTIFS('MASTER BAHAN'!$A$5:$A$504,C495)=0,"BELUM ADA",INDEX('MASTER BAHAN'!$D$5:$D$504,MATCH(C495,'MASTER BAHAN'!$A$5:$A$504,0))))</f>
        <v/>
      </c>
      <c r="M495" s="0" t="str">
        <f aca="false">IF(A495="","",IF(E495&lt;&gt;"Waste",0,IF(NOT(ISNUMBER(L495)),"ISI BIAYA WASTE",IF(K495="Disetujui",ROUND(F495*L495,0),0))))</f>
        <v/>
      </c>
    </row>
    <row r="496" customFormat="false" ht="15" hidden="false" customHeight="false" outlineLevel="0" collapsed="false">
      <c r="D496" s="0" t="str">
        <f aca="false">IF(C496="","",IF(COUNTIFS('MASTER BAHAN'!$A$5:$A$504,C496)=0,"BELUM ADA",INDEX('MASTER BAHAN'!$B$5:$B$504,MATCH(C496,'MASTER BAHAN'!$A$5:$A$504,0))))</f>
        <v/>
      </c>
      <c r="G496" s="0" t="str">
        <f aca="false">IF(C496="","",IF(COUNTIFS('MASTER BAHAN'!$A$5:$A$504,C496)=0,"BELUM ADA",INDEX('MASTER BAHAN'!$D$5:$D$504,MATCH(C496,'MASTER BAHAN'!$A$5:$A$504,0))))</f>
        <v/>
      </c>
      <c r="M496" s="0" t="str">
        <f aca="false">IF(A496="","",IF(E496&lt;&gt;"Waste",0,IF(NOT(ISNUMBER(L496)),"ISI BIAYA WASTE",IF(K496="Disetujui",ROUND(F496*L496,0),0))))</f>
        <v/>
      </c>
    </row>
    <row r="497" customFormat="false" ht="15" hidden="false" customHeight="false" outlineLevel="0" collapsed="false">
      <c r="D497" s="0" t="str">
        <f aca="false">IF(C497="","",IF(COUNTIFS('MASTER BAHAN'!$A$5:$A$504,C497)=0,"BELUM ADA",INDEX('MASTER BAHAN'!$B$5:$B$504,MATCH(C497,'MASTER BAHAN'!$A$5:$A$504,0))))</f>
        <v/>
      </c>
      <c r="G497" s="0" t="str">
        <f aca="false">IF(C497="","",IF(COUNTIFS('MASTER BAHAN'!$A$5:$A$504,C497)=0,"BELUM ADA",INDEX('MASTER BAHAN'!$D$5:$D$504,MATCH(C497,'MASTER BAHAN'!$A$5:$A$504,0))))</f>
        <v/>
      </c>
      <c r="M497" s="0" t="str">
        <f aca="false">IF(A497="","",IF(E497&lt;&gt;"Waste",0,IF(NOT(ISNUMBER(L497)),"ISI BIAYA WASTE",IF(K497="Disetujui",ROUND(F497*L497,0),0))))</f>
        <v/>
      </c>
    </row>
    <row r="498" customFormat="false" ht="15" hidden="false" customHeight="false" outlineLevel="0" collapsed="false">
      <c r="D498" s="0" t="str">
        <f aca="false">IF(C498="","",IF(COUNTIFS('MASTER BAHAN'!$A$5:$A$504,C498)=0,"BELUM ADA",INDEX('MASTER BAHAN'!$B$5:$B$504,MATCH(C498,'MASTER BAHAN'!$A$5:$A$504,0))))</f>
        <v/>
      </c>
      <c r="G498" s="0" t="str">
        <f aca="false">IF(C498="","",IF(COUNTIFS('MASTER BAHAN'!$A$5:$A$504,C498)=0,"BELUM ADA",INDEX('MASTER BAHAN'!$D$5:$D$504,MATCH(C498,'MASTER BAHAN'!$A$5:$A$504,0))))</f>
        <v/>
      </c>
      <c r="M498" s="0" t="str">
        <f aca="false">IF(A498="","",IF(E498&lt;&gt;"Waste",0,IF(NOT(ISNUMBER(L498)),"ISI BIAYA WASTE",IF(K498="Disetujui",ROUND(F498*L498,0),0))))</f>
        <v/>
      </c>
    </row>
    <row r="499" customFormat="false" ht="15" hidden="false" customHeight="false" outlineLevel="0" collapsed="false">
      <c r="D499" s="0" t="str">
        <f aca="false">IF(C499="","",IF(COUNTIFS('MASTER BAHAN'!$A$5:$A$504,C499)=0,"BELUM ADA",INDEX('MASTER BAHAN'!$B$5:$B$504,MATCH(C499,'MASTER BAHAN'!$A$5:$A$504,0))))</f>
        <v/>
      </c>
      <c r="G499" s="0" t="str">
        <f aca="false">IF(C499="","",IF(COUNTIFS('MASTER BAHAN'!$A$5:$A$504,C499)=0,"BELUM ADA",INDEX('MASTER BAHAN'!$D$5:$D$504,MATCH(C499,'MASTER BAHAN'!$A$5:$A$504,0))))</f>
        <v/>
      </c>
      <c r="M499" s="0" t="str">
        <f aca="false">IF(A499="","",IF(E499&lt;&gt;"Waste",0,IF(NOT(ISNUMBER(L499)),"ISI BIAYA WASTE",IF(K499="Disetujui",ROUND(F499*L499,0),0))))</f>
        <v/>
      </c>
    </row>
    <row r="500" customFormat="false" ht="15" hidden="false" customHeight="false" outlineLevel="0" collapsed="false">
      <c r="D500" s="0" t="str">
        <f aca="false">IF(C500="","",IF(COUNTIFS('MASTER BAHAN'!$A$5:$A$504,C500)=0,"BELUM ADA",INDEX('MASTER BAHAN'!$B$5:$B$504,MATCH(C500,'MASTER BAHAN'!$A$5:$A$504,0))))</f>
        <v/>
      </c>
      <c r="G500" s="0" t="str">
        <f aca="false">IF(C500="","",IF(COUNTIFS('MASTER BAHAN'!$A$5:$A$504,C500)=0,"BELUM ADA",INDEX('MASTER BAHAN'!$D$5:$D$504,MATCH(C500,'MASTER BAHAN'!$A$5:$A$504,0))))</f>
        <v/>
      </c>
      <c r="M500" s="0" t="str">
        <f aca="false">IF(A500="","",IF(E500&lt;&gt;"Waste",0,IF(NOT(ISNUMBER(L500)),"ISI BIAYA WASTE",IF(K500="Disetujui",ROUND(F500*L500,0),0))))</f>
        <v/>
      </c>
    </row>
    <row r="501" customFormat="false" ht="15" hidden="false" customHeight="false" outlineLevel="0" collapsed="false">
      <c r="D501" s="0" t="str">
        <f aca="false">IF(C501="","",IF(COUNTIFS('MASTER BAHAN'!$A$5:$A$504,C501)=0,"BELUM ADA",INDEX('MASTER BAHAN'!$B$5:$B$504,MATCH(C501,'MASTER BAHAN'!$A$5:$A$504,0))))</f>
        <v/>
      </c>
      <c r="G501" s="0" t="str">
        <f aca="false">IF(C501="","",IF(COUNTIFS('MASTER BAHAN'!$A$5:$A$504,C501)=0,"BELUM ADA",INDEX('MASTER BAHAN'!$D$5:$D$504,MATCH(C501,'MASTER BAHAN'!$A$5:$A$504,0))))</f>
        <v/>
      </c>
      <c r="M501" s="0" t="str">
        <f aca="false">IF(A501="","",IF(E501&lt;&gt;"Waste",0,IF(NOT(ISNUMBER(L501)),"ISI BIAYA WASTE",IF(K501="Disetujui",ROUND(F501*L501,0),0))))</f>
        <v/>
      </c>
    </row>
    <row r="502" customFormat="false" ht="15" hidden="false" customHeight="false" outlineLevel="0" collapsed="false">
      <c r="D502" s="0" t="str">
        <f aca="false">IF(C502="","",IF(COUNTIFS('MASTER BAHAN'!$A$5:$A$504,C502)=0,"BELUM ADA",INDEX('MASTER BAHAN'!$B$5:$B$504,MATCH(C502,'MASTER BAHAN'!$A$5:$A$504,0))))</f>
        <v/>
      </c>
      <c r="G502" s="0" t="str">
        <f aca="false">IF(C502="","",IF(COUNTIFS('MASTER BAHAN'!$A$5:$A$504,C502)=0,"BELUM ADA",INDEX('MASTER BAHAN'!$D$5:$D$504,MATCH(C502,'MASTER BAHAN'!$A$5:$A$504,0))))</f>
        <v/>
      </c>
      <c r="M502" s="0" t="str">
        <f aca="false">IF(A502="","",IF(E502&lt;&gt;"Waste",0,IF(NOT(ISNUMBER(L502)),"ISI BIAYA WASTE",IF(K502="Disetujui",ROUND(F502*L502,0),0))))</f>
        <v/>
      </c>
    </row>
    <row r="503" customFormat="false" ht="15" hidden="false" customHeight="false" outlineLevel="0" collapsed="false">
      <c r="D503" s="0" t="str">
        <f aca="false">IF(C503="","",IF(COUNTIFS('MASTER BAHAN'!$A$5:$A$504,C503)=0,"BELUM ADA",INDEX('MASTER BAHAN'!$B$5:$B$504,MATCH(C503,'MASTER BAHAN'!$A$5:$A$504,0))))</f>
        <v/>
      </c>
      <c r="G503" s="0" t="str">
        <f aca="false">IF(C503="","",IF(COUNTIFS('MASTER BAHAN'!$A$5:$A$504,C503)=0,"BELUM ADA",INDEX('MASTER BAHAN'!$D$5:$D$504,MATCH(C503,'MASTER BAHAN'!$A$5:$A$504,0))))</f>
        <v/>
      </c>
      <c r="M503" s="0" t="str">
        <f aca="false">IF(A503="","",IF(E503&lt;&gt;"Waste",0,IF(NOT(ISNUMBER(L503)),"ISI BIAYA WASTE",IF(K503="Disetujui",ROUND(F503*L503,0),0))))</f>
        <v/>
      </c>
    </row>
    <row r="504" customFormat="false" ht="15" hidden="false" customHeight="false" outlineLevel="0" collapsed="false">
      <c r="D504" s="0" t="str">
        <f aca="false">IF(C504="","",IF(COUNTIFS('MASTER BAHAN'!$A$5:$A$504,C504)=0,"BELUM ADA",INDEX('MASTER BAHAN'!$B$5:$B$504,MATCH(C504,'MASTER BAHAN'!$A$5:$A$504,0))))</f>
        <v/>
      </c>
      <c r="G504" s="0" t="str">
        <f aca="false">IF(C504="","",IF(COUNTIFS('MASTER BAHAN'!$A$5:$A$504,C504)=0,"BELUM ADA",INDEX('MASTER BAHAN'!$D$5:$D$504,MATCH(C504,'MASTER BAHAN'!$A$5:$A$504,0))))</f>
        <v/>
      </c>
      <c r="M504" s="0" t="str">
        <f aca="false">IF(A504="","",IF(E504&lt;&gt;"Waste",0,IF(NOT(ISNUMBER(L504)),"ISI BIAYA WASTE",IF(K504="Disetujui",ROUND(F504*L504,0),0))))</f>
        <v/>
      </c>
    </row>
  </sheetData>
  <conditionalFormatting sqref="A5:A64">
    <cfRule type="expression" priority="2" aboveAverage="0" equalAverage="0" bottom="0" percent="0" rank="0" text="" dxfId="15">
      <formula>AND(A5&lt;&gt;"",COUNTIF($A$5:$A$64,A5)&gt;1)</formula>
    </cfRule>
  </conditionalFormatting>
  <conditionalFormatting sqref="M5:M64">
    <cfRule type="containsText" priority="3" operator="containsText" aboveAverage="0" equalAverage="0" bottom="0" percent="0" rank="0" text="ISI BIAYA WASTE" dxfId="16">
      <formula>NOT(ISERROR(SEARCH("ISI BIAYA WASTE",M5)))</formula>
    </cfRule>
  </conditionalFormatting>
  <dataValidations count="3">
    <dataValidation allowBlank="false" errorStyle="stop" operator="between" showDropDown="false" showErrorMessage="false" showInputMessage="false" sqref="C5:C504" type="list">
      <formula1>'MASTER BAHAN'!$A$5:$A$64</formula1>
      <formula2>0</formula2>
    </dataValidation>
    <dataValidation allowBlank="false" errorStyle="stop" operator="between" showDropDown="false" showErrorMessage="false" showInputMessage="false" sqref="E5:E504" type="list">
      <formula1>"Pemakaian,Waste,Penyesuaian,Retur"</formula1>
      <formula2>0</formula2>
    </dataValidation>
    <dataValidation allowBlank="false" errorStyle="stop" operator="between" showDropDown="false" showErrorMessage="false" showInputMessage="false" sqref="K5:K504" type="list">
      <formula1>"Menunggu,Disetujui,Ditolak"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0"/>
    <col collapsed="false" customWidth="true" hidden="false" outlineLevel="0" max="10" min="3" style="0" width="18"/>
    <col collapsed="false" customWidth="true" hidden="false" outlineLevel="0" max="11" min="11" style="0" width="21"/>
    <col collapsed="false" customWidth="true" hidden="false" outlineLevel="0" max="12" min="12" style="0" width="18"/>
  </cols>
  <sheetData>
    <row r="1" customFormat="false" ht="38" hidden="false" customHeight="true" outlineLevel="0" collapsed="false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29" hidden="false" customHeight="true" outlineLevel="0" collapsed="false">
      <c r="A2" s="9" t="s">
        <v>235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117</v>
      </c>
      <c r="B4" s="13" t="s">
        <v>118</v>
      </c>
      <c r="C4" s="13" t="s">
        <v>121</v>
      </c>
      <c r="D4" s="13" t="s">
        <v>236</v>
      </c>
      <c r="E4" s="13" t="s">
        <v>212</v>
      </c>
      <c r="F4" s="13" t="s">
        <v>217</v>
      </c>
      <c r="G4" s="13" t="s">
        <v>237</v>
      </c>
      <c r="H4" s="13" t="s">
        <v>238</v>
      </c>
      <c r="I4" s="13" t="s">
        <v>122</v>
      </c>
      <c r="J4" s="13" t="s">
        <v>77</v>
      </c>
      <c r="K4" s="13" t="s">
        <v>239</v>
      </c>
      <c r="L4" s="13" t="s">
        <v>240</v>
      </c>
    </row>
    <row r="5" customFormat="false" ht="27" hidden="false" customHeight="true" outlineLevel="0" collapsed="false">
      <c r="A5" s="25" t="str">
        <f aca="false">IF('MASTER BAHAN'!A5="","",'MASTER BAHAN'!A5)</f>
        <v>CONTOH-B01</v>
      </c>
      <c r="B5" s="18" t="str">
        <f aca="false">IF(A5="","",'MASTER BAHAN'!B5)</f>
        <v>Biji kopi</v>
      </c>
      <c r="C5" s="18" t="n">
        <f aca="false">IF(A5="","",'MASTER BAHAN'!E5)</f>
        <v>3000</v>
      </c>
      <c r="D5" s="18" t="n">
        <f aca="false">IF(A5="","",SUMIFS('STOK MASUK'!$G$5:$G$504,'STOK MASUK'!$E$5:$E$504,A5))</f>
        <v>100</v>
      </c>
      <c r="E5" s="18" t="n">
        <f aca="false">IF(A5="","",SUMIFS('PERGERAKAN STOK'!$F$5:$F$504,'PERGERAKAN STOK'!$C$5:$C$504,A5,'PERGERAKAN STOK'!$E$5:$E$504,"Pemakaian",'PERGERAKAN STOK'!$K$5:$K$504,"Disetujui"))</f>
        <v>10</v>
      </c>
      <c r="F5" s="18" t="n">
        <f aca="false">IF(A5="","",SUMIFS('PERGERAKAN STOK'!$F$5:$F$504,'PERGERAKAN STOK'!$C$5:$C$504,A5,'PERGERAKAN STOK'!$E$5:$E$504,"Waste",'PERGERAKAN STOK'!$K$5:$K$504,"Disetujui"))</f>
        <v>0</v>
      </c>
      <c r="G5" s="18" t="n">
        <f aca="false">IF(A5="","",SUMIFS('PERGERAKAN STOK'!$F$5:$F$504,'PERGERAKAN STOK'!$C$5:$C$504,A5,'PERGERAKAN STOK'!$E$5:$E$504,"Penyesuaian",'PERGERAKAN STOK'!$K$5:$K$504,"Disetujui"))</f>
        <v>0</v>
      </c>
      <c r="H5" s="18" t="n">
        <f aca="false">IF(A5="","",C5+D5-E5-F5+G5-L5)</f>
        <v>3090</v>
      </c>
      <c r="I5" s="18" t="n">
        <f aca="false">IF(A5="","",'MASTER BAHAN'!F5)</f>
        <v>500</v>
      </c>
      <c r="J5" s="18" t="str">
        <f aca="false">IF(A5="","",IF(H5&lt;=0,"Habis",IF(H5&lt;=I5,"Menipis","Aman")))</f>
        <v>Aman</v>
      </c>
      <c r="K5" s="19" t="n">
        <f aca="false">IF(A5="","",IF(NOT(ISNUMBER('MASTER BAHAN'!I5)),"BELUM LENGKAP",ROUND(H5*'MASTER BAHAN'!I5,0)))</f>
        <v>463500</v>
      </c>
      <c r="L5" s="18" t="n">
        <f aca="false">IF(A5="","",SUMIFS('PERGERAKAN STOK'!$F$5:$F$504,'PERGERAKAN STOK'!$C$5:$C$504,A5,'PERGERAKAN STOK'!$E$5:$E$504,"Retur",'PERGERAKAN STOK'!$K$5:$K$504,"Disetujui"))</f>
        <v>0</v>
      </c>
    </row>
    <row r="6" customFormat="false" ht="27" hidden="false" customHeight="true" outlineLevel="0" collapsed="false">
      <c r="A6" s="25" t="str">
        <f aca="false">IF('MASTER BAHAN'!A6="","",'MASTER BAHAN'!A6)</f>
        <v>CONTOH-B02</v>
      </c>
      <c r="B6" s="18" t="str">
        <f aca="false">IF(A6="","",'MASTER BAHAN'!B6)</f>
        <v>Susu UHT</v>
      </c>
      <c r="C6" s="18" t="n">
        <f aca="false">IF(A6="","",'MASTER BAHAN'!E6)</f>
        <v>8000</v>
      </c>
      <c r="D6" s="18" t="n">
        <f aca="false">IF(A6="","",SUMIFS('STOK MASUK'!$G$5:$G$504,'STOK MASUK'!$E$5:$E$504,A6))</f>
        <v>100</v>
      </c>
      <c r="E6" s="18" t="n">
        <f aca="false">IF(A6="","",SUMIFS('PERGERAKAN STOK'!$F$5:$F$504,'PERGERAKAN STOK'!$C$5:$C$504,A6,'PERGERAKAN STOK'!$E$5:$E$504,"Pemakaian",'PERGERAKAN STOK'!$K$5:$K$504,"Disetujui"))</f>
        <v>0</v>
      </c>
      <c r="F6" s="18" t="n">
        <f aca="false">IF(A6="","",SUMIFS('PERGERAKAN STOK'!$F$5:$F$504,'PERGERAKAN STOK'!$C$5:$C$504,A6,'PERGERAKAN STOK'!$E$5:$E$504,"Waste",'PERGERAKAN STOK'!$K$5:$K$504,"Disetujui"))</f>
        <v>20</v>
      </c>
      <c r="G6" s="18" t="n">
        <f aca="false">IF(A6="","",SUMIFS('PERGERAKAN STOK'!$F$5:$F$504,'PERGERAKAN STOK'!$C$5:$C$504,A6,'PERGERAKAN STOK'!$E$5:$E$504,"Penyesuaian",'PERGERAKAN STOK'!$K$5:$K$504,"Disetujui"))</f>
        <v>0</v>
      </c>
      <c r="H6" s="18" t="n">
        <f aca="false">IF(A6="","",C6+D6-E6-F6+G6-L6)</f>
        <v>8080</v>
      </c>
      <c r="I6" s="18" t="n">
        <f aca="false">IF(A6="","",'MASTER BAHAN'!F6)</f>
        <v>2000</v>
      </c>
      <c r="J6" s="18" t="str">
        <f aca="false">IF(A6="","",IF(H6&lt;=0,"Habis",IF(H6&lt;=I6,"Menipis","Aman")))</f>
        <v>Aman</v>
      </c>
      <c r="K6" s="19" t="n">
        <f aca="false">IF(A6="","",IF(NOT(ISNUMBER('MASTER BAHAN'!I6)),"BELUM LENGKAP",ROUND(H6*'MASTER BAHAN'!I6,0)))</f>
        <v>193920</v>
      </c>
      <c r="L6" s="18" t="n">
        <f aca="false">IF(A6="","",SUMIFS('PERGERAKAN STOK'!$F$5:$F$504,'PERGERAKAN STOK'!$C$5:$C$504,A6,'PERGERAKAN STOK'!$E$5:$E$504,"Retur",'PERGERAKAN STOK'!$K$5:$K$504,"Disetujui"))</f>
        <v>0</v>
      </c>
    </row>
    <row r="7" customFormat="false" ht="27" hidden="false" customHeight="true" outlineLevel="0" collapsed="false">
      <c r="A7" s="25" t="str">
        <f aca="false">IF('MASTER BAHAN'!A7="","",'MASTER BAHAN'!A7)</f>
        <v>CONTOH-B03</v>
      </c>
      <c r="B7" s="18" t="str">
        <f aca="false">IF(A7="","",'MASTER BAHAN'!B7)</f>
        <v>Gula aren</v>
      </c>
      <c r="C7" s="18" t="n">
        <f aca="false">IF(A7="","",'MASTER BAHAN'!E7)</f>
        <v>2000</v>
      </c>
      <c r="D7" s="18" t="n">
        <f aca="false">IF(A7="","",SUMIFS('STOK MASUK'!$G$5:$G$504,'STOK MASUK'!$E$5:$E$504,A7))</f>
        <v>100</v>
      </c>
      <c r="E7" s="18" t="n">
        <f aca="false">IF(A7="","",SUMIFS('PERGERAKAN STOK'!$F$5:$F$504,'PERGERAKAN STOK'!$C$5:$C$504,A7,'PERGERAKAN STOK'!$E$5:$E$504,"Pemakaian",'PERGERAKAN STOK'!$K$5:$K$504,"Disetujui"))</f>
        <v>10</v>
      </c>
      <c r="F7" s="18" t="n">
        <f aca="false">IF(A7="","",SUMIFS('PERGERAKAN STOK'!$F$5:$F$504,'PERGERAKAN STOK'!$C$5:$C$504,A7,'PERGERAKAN STOK'!$E$5:$E$504,"Waste",'PERGERAKAN STOK'!$K$5:$K$504,"Disetujui"))</f>
        <v>0</v>
      </c>
      <c r="G7" s="18" t="n">
        <f aca="false">IF(A7="","",SUMIFS('PERGERAKAN STOK'!$F$5:$F$504,'PERGERAKAN STOK'!$C$5:$C$504,A7,'PERGERAKAN STOK'!$E$5:$E$504,"Penyesuaian",'PERGERAKAN STOK'!$K$5:$K$504,"Disetujui"))</f>
        <v>0</v>
      </c>
      <c r="H7" s="18" t="n">
        <f aca="false">IF(A7="","",C7+D7-E7-F7+G7-L7)</f>
        <v>2090</v>
      </c>
      <c r="I7" s="18" t="n">
        <f aca="false">IF(A7="","",'MASTER BAHAN'!F7)</f>
        <v>500</v>
      </c>
      <c r="J7" s="18" t="str">
        <f aca="false">IF(A7="","",IF(H7&lt;=0,"Habis",IF(H7&lt;=I7,"Menipis","Aman")))</f>
        <v>Aman</v>
      </c>
      <c r="K7" s="19" t="n">
        <f aca="false">IF(A7="","",IF(NOT(ISNUMBER('MASTER BAHAN'!I7)),"BELUM LENGKAP",ROUND(H7*'MASTER BAHAN'!I7,0)))</f>
        <v>83600</v>
      </c>
      <c r="L7" s="18" t="n">
        <f aca="false">IF(A7="","",SUMIFS('PERGERAKAN STOK'!$F$5:$F$504,'PERGERAKAN STOK'!$C$5:$C$504,A7,'PERGERAKAN STOK'!$E$5:$E$504,"Retur",'PERGERAKAN STOK'!$K$5:$K$504,"Disetujui"))</f>
        <v>0</v>
      </c>
    </row>
    <row r="8" customFormat="false" ht="27" hidden="false" customHeight="true" outlineLevel="0" collapsed="false">
      <c r="A8" s="25" t="str">
        <f aca="false">IF('MASTER BAHAN'!A8="","",'MASTER BAHAN'!A8)</f>
        <v>CONTOH-B04</v>
      </c>
      <c r="B8" s="18" t="str">
        <f aca="false">IF(A8="","",'MASTER BAHAN'!B8)</f>
        <v>Air mineral</v>
      </c>
      <c r="C8" s="18" t="n">
        <f aca="false">IF(A8="","",'MASTER BAHAN'!E8)</f>
        <v>20000</v>
      </c>
      <c r="D8" s="18" t="n">
        <f aca="false">IF(A8="","",SUMIFS('STOK MASUK'!$G$5:$G$504,'STOK MASUK'!$E$5:$E$504,A8))</f>
        <v>100</v>
      </c>
      <c r="E8" s="18" t="n">
        <f aca="false">IF(A8="","",SUMIFS('PERGERAKAN STOK'!$F$5:$F$504,'PERGERAKAN STOK'!$C$5:$C$504,A8,'PERGERAKAN STOK'!$E$5:$E$504,"Pemakaian",'PERGERAKAN STOK'!$K$5:$K$504,"Disetujui"))</f>
        <v>10</v>
      </c>
      <c r="F8" s="18" t="n">
        <f aca="false">IF(A8="","",SUMIFS('PERGERAKAN STOK'!$F$5:$F$504,'PERGERAKAN STOK'!$C$5:$C$504,A8,'PERGERAKAN STOK'!$E$5:$E$504,"Waste",'PERGERAKAN STOK'!$K$5:$K$504,"Disetujui"))</f>
        <v>0</v>
      </c>
      <c r="G8" s="18" t="n">
        <f aca="false">IF(A8="","",SUMIFS('PERGERAKAN STOK'!$F$5:$F$504,'PERGERAKAN STOK'!$C$5:$C$504,A8,'PERGERAKAN STOK'!$E$5:$E$504,"Penyesuaian",'PERGERAKAN STOK'!$K$5:$K$504,"Disetujui"))</f>
        <v>0</v>
      </c>
      <c r="H8" s="18" t="n">
        <f aca="false">IF(A8="","",C8+D8-E8-F8+G8-L8)</f>
        <v>20090</v>
      </c>
      <c r="I8" s="18" t="n">
        <f aca="false">IF(A8="","",'MASTER BAHAN'!F8)</f>
        <v>3000</v>
      </c>
      <c r="J8" s="18" t="str">
        <f aca="false">IF(A8="","",IF(H8&lt;=0,"Habis",IF(H8&lt;=I8,"Menipis","Aman")))</f>
        <v>Aman</v>
      </c>
      <c r="K8" s="19" t="n">
        <f aca="false">IF(A8="","",IF(NOT(ISNUMBER('MASTER BAHAN'!I8)),"BELUM LENGKAP",ROUND(H8*'MASTER BAHAN'!I8,0)))</f>
        <v>16072</v>
      </c>
      <c r="L8" s="18" t="n">
        <f aca="false">IF(A8="","",SUMIFS('PERGERAKAN STOK'!$F$5:$F$504,'PERGERAKAN STOK'!$C$5:$C$504,A8,'PERGERAKAN STOK'!$E$5:$E$504,"Retur",'PERGERAKAN STOK'!$K$5:$K$504,"Disetujui"))</f>
        <v>0</v>
      </c>
    </row>
    <row r="9" customFormat="false" ht="27" hidden="false" customHeight="true" outlineLevel="0" collapsed="false">
      <c r="A9" s="25" t="str">
        <f aca="false">IF('MASTER BAHAN'!A9="","",'MASTER BAHAN'!A9)</f>
        <v>CONTOH-B05</v>
      </c>
      <c r="B9" s="18" t="str">
        <f aca="false">IF(A9="","",'MASTER BAHAN'!B9)</f>
        <v>Bubuk matcha</v>
      </c>
      <c r="C9" s="18" t="n">
        <f aca="false">IF(A9="","",'MASTER BAHAN'!E9)</f>
        <v>500</v>
      </c>
      <c r="D9" s="18" t="n">
        <f aca="false">IF(A9="","",SUMIFS('STOK MASUK'!$G$5:$G$504,'STOK MASUK'!$E$5:$E$504,A9))</f>
        <v>100</v>
      </c>
      <c r="E9" s="18" t="n">
        <f aca="false">IF(A9="","",SUMIFS('PERGERAKAN STOK'!$F$5:$F$504,'PERGERAKAN STOK'!$C$5:$C$504,A9,'PERGERAKAN STOK'!$E$5:$E$504,"Pemakaian",'PERGERAKAN STOK'!$K$5:$K$504,"Disetujui"))</f>
        <v>10</v>
      </c>
      <c r="F9" s="18" t="n">
        <f aca="false">IF(A9="","",SUMIFS('PERGERAKAN STOK'!$F$5:$F$504,'PERGERAKAN STOK'!$C$5:$C$504,A9,'PERGERAKAN STOK'!$E$5:$E$504,"Waste",'PERGERAKAN STOK'!$K$5:$K$504,"Disetujui"))</f>
        <v>0</v>
      </c>
      <c r="G9" s="18" t="n">
        <f aca="false">IF(A9="","",SUMIFS('PERGERAKAN STOK'!$F$5:$F$504,'PERGERAKAN STOK'!$C$5:$C$504,A9,'PERGERAKAN STOK'!$E$5:$E$504,"Penyesuaian",'PERGERAKAN STOK'!$K$5:$K$504,"Disetujui"))</f>
        <v>0</v>
      </c>
      <c r="H9" s="18" t="n">
        <f aca="false">IF(A9="","",C9+D9-E9-F9+G9-L9)</f>
        <v>590</v>
      </c>
      <c r="I9" s="18" t="n">
        <f aca="false">IF(A9="","",'MASTER BAHAN'!F9)</f>
        <v>100</v>
      </c>
      <c r="J9" s="18" t="str">
        <f aca="false">IF(A9="","",IF(H9&lt;=0,"Habis",IF(H9&lt;=I9,"Menipis","Aman")))</f>
        <v>Aman</v>
      </c>
      <c r="K9" s="19" t="n">
        <f aca="false">IF(A9="","",IF(NOT(ISNUMBER('MASTER BAHAN'!I9)),"BELUM LENGKAP",ROUND(H9*'MASTER BAHAN'!I9,0)))</f>
        <v>129800</v>
      </c>
      <c r="L9" s="18" t="n">
        <f aca="false">IF(A9="","",SUMIFS('PERGERAKAN STOK'!$F$5:$F$504,'PERGERAKAN STOK'!$C$5:$C$504,A9,'PERGERAKAN STOK'!$E$5:$E$504,"Retur",'PERGERAKAN STOK'!$K$5:$K$504,"Disetujui"))</f>
        <v>0</v>
      </c>
    </row>
    <row r="10" customFormat="false" ht="27" hidden="false" customHeight="true" outlineLevel="0" collapsed="false">
      <c r="A10" s="25" t="str">
        <f aca="false">IF('MASTER BAHAN'!A10="","",'MASTER BAHAN'!A10)</f>
        <v>CONTOH-B06</v>
      </c>
      <c r="B10" s="18" t="str">
        <f aca="false">IF(A10="","",'MASTER BAHAN'!B10)</f>
        <v>Teh celup</v>
      </c>
      <c r="C10" s="18" t="n">
        <f aca="false">IF(A10="","",'MASTER BAHAN'!E10)</f>
        <v>120</v>
      </c>
      <c r="D10" s="18" t="n">
        <f aca="false">IF(A10="","",SUMIFS('STOK MASUK'!$G$5:$G$504,'STOK MASUK'!$E$5:$E$504,A10))</f>
        <v>100</v>
      </c>
      <c r="E10" s="18" t="n">
        <f aca="false">IF(A10="","",SUMIFS('PERGERAKAN STOK'!$F$5:$F$504,'PERGERAKAN STOK'!$C$5:$C$504,A10,'PERGERAKAN STOK'!$E$5:$E$504,"Pemakaian",'PERGERAKAN STOK'!$K$5:$K$504,"Disetujui"))</f>
        <v>10</v>
      </c>
      <c r="F10" s="18" t="n">
        <f aca="false">IF(A10="","",SUMIFS('PERGERAKAN STOK'!$F$5:$F$504,'PERGERAKAN STOK'!$C$5:$C$504,A10,'PERGERAKAN STOK'!$E$5:$E$504,"Waste",'PERGERAKAN STOK'!$K$5:$K$504,"Disetujui"))</f>
        <v>0</v>
      </c>
      <c r="G10" s="18" t="n">
        <f aca="false">IF(A10="","",SUMIFS('PERGERAKAN STOK'!$F$5:$F$504,'PERGERAKAN STOK'!$C$5:$C$504,A10,'PERGERAKAN STOK'!$E$5:$E$504,"Penyesuaian",'PERGERAKAN STOK'!$K$5:$K$504,"Disetujui"))</f>
        <v>0</v>
      </c>
      <c r="H10" s="18" t="n">
        <f aca="false">IF(A10="","",C10+D10-E10-F10+G10-L10)</f>
        <v>210</v>
      </c>
      <c r="I10" s="18" t="n">
        <f aca="false">IF(A10="","",'MASTER BAHAN'!F10)</f>
        <v>20</v>
      </c>
      <c r="J10" s="18" t="str">
        <f aca="false">IF(A10="","",IF(H10&lt;=0,"Habis",IF(H10&lt;=I10,"Menipis","Aman")))</f>
        <v>Aman</v>
      </c>
      <c r="K10" s="19" t="n">
        <f aca="false">IF(A10="","",IF(NOT(ISNUMBER('MASTER BAHAN'!I10)),"BELUM LENGKAP",ROUND(H10*'MASTER BAHAN'!I10,0)))</f>
        <v>84000</v>
      </c>
      <c r="L10" s="18" t="n">
        <f aca="false">IF(A10="","",SUMIFS('PERGERAKAN STOK'!$F$5:$F$504,'PERGERAKAN STOK'!$C$5:$C$504,A10,'PERGERAKAN STOK'!$E$5:$E$504,"Retur",'PERGERAKAN STOK'!$K$5:$K$504,"Disetujui"))</f>
        <v>0</v>
      </c>
    </row>
    <row r="11" customFormat="false" ht="27" hidden="false" customHeight="true" outlineLevel="0" collapsed="false">
      <c r="A11" s="25" t="str">
        <f aca="false">IF('MASTER BAHAN'!A11="","",'MASTER BAHAN'!A11)</f>
        <v>CONTOH-B07</v>
      </c>
      <c r="B11" s="18" t="str">
        <f aca="false">IF(A11="","",'MASTER BAHAN'!B11)</f>
        <v>Lemon</v>
      </c>
      <c r="C11" s="18" t="n">
        <f aca="false">IF(A11="","",'MASTER BAHAN'!E11)</f>
        <v>1500</v>
      </c>
      <c r="D11" s="18" t="n">
        <f aca="false">IF(A11="","",SUMIFS('STOK MASUK'!$G$5:$G$504,'STOK MASUK'!$E$5:$E$504,A11))</f>
        <v>100</v>
      </c>
      <c r="E11" s="18" t="n">
        <f aca="false">IF(A11="","",SUMIFS('PERGERAKAN STOK'!$F$5:$F$504,'PERGERAKAN STOK'!$C$5:$C$504,A11,'PERGERAKAN STOK'!$E$5:$E$504,"Pemakaian",'PERGERAKAN STOK'!$K$5:$K$504,"Disetujui"))</f>
        <v>10</v>
      </c>
      <c r="F11" s="18" t="n">
        <f aca="false">IF(A11="","",SUMIFS('PERGERAKAN STOK'!$F$5:$F$504,'PERGERAKAN STOK'!$C$5:$C$504,A11,'PERGERAKAN STOK'!$E$5:$E$504,"Waste",'PERGERAKAN STOK'!$K$5:$K$504,"Disetujui"))</f>
        <v>0</v>
      </c>
      <c r="G11" s="18" t="n">
        <f aca="false">IF(A11="","",SUMIFS('PERGERAKAN STOK'!$F$5:$F$504,'PERGERAKAN STOK'!$C$5:$C$504,A11,'PERGERAKAN STOK'!$E$5:$E$504,"Penyesuaian",'PERGERAKAN STOK'!$K$5:$K$504,"Disetujui"))</f>
        <v>0</v>
      </c>
      <c r="H11" s="18" t="n">
        <f aca="false">IF(A11="","",C11+D11-E11-F11+G11-L11)</f>
        <v>1590</v>
      </c>
      <c r="I11" s="18" t="n">
        <f aca="false">IF(A11="","",'MASTER BAHAN'!F11)</f>
        <v>200</v>
      </c>
      <c r="J11" s="18" t="str">
        <f aca="false">IF(A11="","",IF(H11&lt;=0,"Habis",IF(H11&lt;=I11,"Menipis","Aman")))</f>
        <v>Aman</v>
      </c>
      <c r="K11" s="19" t="n">
        <f aca="false">IF(A11="","",IF(NOT(ISNUMBER('MASTER BAHAN'!I11)),"BELUM LENGKAP",ROUND(H11*'MASTER BAHAN'!I11,0)))</f>
        <v>47700</v>
      </c>
      <c r="L11" s="18" t="n">
        <f aca="false">IF(A11="","",SUMIFS('PERGERAKAN STOK'!$F$5:$F$504,'PERGERAKAN STOK'!$C$5:$C$504,A11,'PERGERAKAN STOK'!$E$5:$E$504,"Retur",'PERGERAKAN STOK'!$K$5:$K$504,"Disetujui"))</f>
        <v>0</v>
      </c>
    </row>
    <row r="12" customFormat="false" ht="27" hidden="false" customHeight="true" outlineLevel="0" collapsed="false">
      <c r="A12" s="25" t="str">
        <f aca="false">IF('MASTER BAHAN'!A12="","",'MASTER BAHAN'!A12)</f>
        <v>CONTOH-B08</v>
      </c>
      <c r="B12" s="18" t="str">
        <f aca="false">IF(A12="","",'MASTER BAHAN'!B12)</f>
        <v>Croissant beku</v>
      </c>
      <c r="C12" s="18" t="n">
        <f aca="false">IF(A12="","",'MASTER BAHAN'!E12)</f>
        <v>30</v>
      </c>
      <c r="D12" s="18" t="n">
        <f aca="false">IF(A12="","",SUMIFS('STOK MASUK'!$G$5:$G$504,'STOK MASUK'!$E$5:$E$504,A12))</f>
        <v>100</v>
      </c>
      <c r="E12" s="18" t="n">
        <f aca="false">IF(A12="","",SUMIFS('PERGERAKAN STOK'!$F$5:$F$504,'PERGERAKAN STOK'!$C$5:$C$504,A12,'PERGERAKAN STOK'!$E$5:$E$504,"Pemakaian",'PERGERAKAN STOK'!$K$5:$K$504,"Disetujui"))</f>
        <v>10</v>
      </c>
      <c r="F12" s="18" t="n">
        <f aca="false">IF(A12="","",SUMIFS('PERGERAKAN STOK'!$F$5:$F$504,'PERGERAKAN STOK'!$C$5:$C$504,A12,'PERGERAKAN STOK'!$E$5:$E$504,"Waste",'PERGERAKAN STOK'!$K$5:$K$504,"Disetujui"))</f>
        <v>0</v>
      </c>
      <c r="G12" s="18" t="n">
        <f aca="false">IF(A12="","",SUMIFS('PERGERAKAN STOK'!$F$5:$F$504,'PERGERAKAN STOK'!$C$5:$C$504,A12,'PERGERAKAN STOK'!$E$5:$E$504,"Penyesuaian",'PERGERAKAN STOK'!$K$5:$K$504,"Disetujui"))</f>
        <v>0</v>
      </c>
      <c r="H12" s="18" t="n">
        <f aca="false">IF(A12="","",C12+D12-E12-F12+G12-L12)</f>
        <v>120</v>
      </c>
      <c r="I12" s="18" t="n">
        <f aca="false">IF(A12="","",'MASTER BAHAN'!F12)</f>
        <v>8</v>
      </c>
      <c r="J12" s="18" t="str">
        <f aca="false">IF(A12="","",IF(H12&lt;=0,"Habis",IF(H12&lt;=I12,"Menipis","Aman")))</f>
        <v>Aman</v>
      </c>
      <c r="K12" s="19" t="n">
        <f aca="false">IF(A12="","",IF(NOT(ISNUMBER('MASTER BAHAN'!I12)),"BELUM LENGKAP",ROUND(H12*'MASTER BAHAN'!I12,0)))</f>
        <v>900000</v>
      </c>
      <c r="L12" s="18" t="n">
        <f aca="false">IF(A12="","",SUMIFS('PERGERAKAN STOK'!$F$5:$F$504,'PERGERAKAN STOK'!$C$5:$C$504,A12,'PERGERAKAN STOK'!$E$5:$E$504,"Retur",'PERGERAKAN STOK'!$K$5:$K$504,"Disetujui"))</f>
        <v>0</v>
      </c>
    </row>
    <row r="13" customFormat="false" ht="27" hidden="false" customHeight="true" outlineLevel="0" collapsed="false">
      <c r="A13" s="25" t="str">
        <f aca="false">IF('MASTER BAHAN'!A13="","",'MASTER BAHAN'!A13)</f>
        <v>CONTOH-B09</v>
      </c>
      <c r="B13" s="18" t="str">
        <f aca="false">IF(A13="","",'MASTER BAHAN'!B13)</f>
        <v>Beras</v>
      </c>
      <c r="C13" s="18" t="n">
        <f aca="false">IF(A13="","",'MASTER BAHAN'!E13)</f>
        <v>5000</v>
      </c>
      <c r="D13" s="18" t="n">
        <f aca="false">IF(A13="","",SUMIFS('STOK MASUK'!$G$5:$G$504,'STOK MASUK'!$E$5:$E$504,A13))</f>
        <v>100</v>
      </c>
      <c r="E13" s="18" t="n">
        <f aca="false">IF(A13="","",SUMIFS('PERGERAKAN STOK'!$F$5:$F$504,'PERGERAKAN STOK'!$C$5:$C$504,A13,'PERGERAKAN STOK'!$E$5:$E$504,"Pemakaian",'PERGERAKAN STOK'!$K$5:$K$504,"Disetujui"))</f>
        <v>10</v>
      </c>
      <c r="F13" s="18" t="n">
        <f aca="false">IF(A13="","",SUMIFS('PERGERAKAN STOK'!$F$5:$F$504,'PERGERAKAN STOK'!$C$5:$C$504,A13,'PERGERAKAN STOK'!$E$5:$E$504,"Waste",'PERGERAKAN STOK'!$K$5:$K$504,"Disetujui"))</f>
        <v>0</v>
      </c>
      <c r="G13" s="18" t="n">
        <f aca="false">IF(A13="","",SUMIFS('PERGERAKAN STOK'!$F$5:$F$504,'PERGERAKAN STOK'!$C$5:$C$504,A13,'PERGERAKAN STOK'!$E$5:$E$504,"Penyesuaian",'PERGERAKAN STOK'!$K$5:$K$504,"Disetujui"))</f>
        <v>0</v>
      </c>
      <c r="H13" s="18" t="n">
        <f aca="false">IF(A13="","",C13+D13-E13-F13+G13-L13)</f>
        <v>5090</v>
      </c>
      <c r="I13" s="18" t="n">
        <f aca="false">IF(A13="","",'MASTER BAHAN'!F13)</f>
        <v>1000</v>
      </c>
      <c r="J13" s="18" t="str">
        <f aca="false">IF(A13="","",IF(H13&lt;=0,"Habis",IF(H13&lt;=I13,"Menipis","Aman")))</f>
        <v>Aman</v>
      </c>
      <c r="K13" s="19" t="n">
        <f aca="false">IF(A13="","",IF(NOT(ISNUMBER('MASTER BAHAN'!I13)),"BELUM LENGKAP",ROUND(H13*'MASTER BAHAN'!I13,0)))</f>
        <v>86530</v>
      </c>
      <c r="L13" s="18" t="n">
        <f aca="false">IF(A13="","",SUMIFS('PERGERAKAN STOK'!$F$5:$F$504,'PERGERAKAN STOK'!$C$5:$C$504,A13,'PERGERAKAN STOK'!$E$5:$E$504,"Retur",'PERGERAKAN STOK'!$K$5:$K$504,"Disetujui"))</f>
        <v>0</v>
      </c>
    </row>
    <row r="14" customFormat="false" ht="27" hidden="false" customHeight="true" outlineLevel="0" collapsed="false">
      <c r="A14" s="25" t="str">
        <f aca="false">IF('MASTER BAHAN'!A14="","",'MASTER BAHAN'!A14)</f>
        <v>CONTOH-B10</v>
      </c>
      <c r="B14" s="18" t="str">
        <f aca="false">IF(A14="","",'MASTER BAHAN'!B14)</f>
        <v>Telur</v>
      </c>
      <c r="C14" s="18" t="n">
        <f aca="false">IF(A14="","",'MASTER BAHAN'!E14)</f>
        <v>80</v>
      </c>
      <c r="D14" s="18" t="n">
        <f aca="false">IF(A14="","",SUMIFS('STOK MASUK'!$G$5:$G$504,'STOK MASUK'!$E$5:$E$504,A14))</f>
        <v>100</v>
      </c>
      <c r="E14" s="18" t="n">
        <f aca="false">IF(A14="","",SUMIFS('PERGERAKAN STOK'!$F$5:$F$504,'PERGERAKAN STOK'!$C$5:$C$504,A14,'PERGERAKAN STOK'!$E$5:$E$504,"Pemakaian",'PERGERAKAN STOK'!$K$5:$K$504,"Disetujui"))</f>
        <v>10</v>
      </c>
      <c r="F14" s="18" t="n">
        <f aca="false">IF(A14="","",SUMIFS('PERGERAKAN STOK'!$F$5:$F$504,'PERGERAKAN STOK'!$C$5:$C$504,A14,'PERGERAKAN STOK'!$E$5:$E$504,"Waste",'PERGERAKAN STOK'!$K$5:$K$504,"Disetujui"))</f>
        <v>0</v>
      </c>
      <c r="G14" s="18" t="n">
        <f aca="false">IF(A14="","",SUMIFS('PERGERAKAN STOK'!$F$5:$F$504,'PERGERAKAN STOK'!$C$5:$C$504,A14,'PERGERAKAN STOK'!$E$5:$E$504,"Penyesuaian",'PERGERAKAN STOK'!$K$5:$K$504,"Disetujui"))</f>
        <v>0</v>
      </c>
      <c r="H14" s="18" t="n">
        <f aca="false">IF(A14="","",C14+D14-E14-F14+G14-L14)</f>
        <v>170</v>
      </c>
      <c r="I14" s="18" t="n">
        <f aca="false">IF(A14="","",'MASTER BAHAN'!F14)</f>
        <v>15</v>
      </c>
      <c r="J14" s="18" t="str">
        <f aca="false">IF(A14="","",IF(H14&lt;=0,"Habis",IF(H14&lt;=I14,"Menipis","Aman")))</f>
        <v>Aman</v>
      </c>
      <c r="K14" s="19" t="n">
        <f aca="false">IF(A14="","",IF(NOT(ISNUMBER('MASTER BAHAN'!I14)),"BELUM LENGKAP",ROUND(H14*'MASTER BAHAN'!I14,0)))</f>
        <v>170000</v>
      </c>
      <c r="L14" s="18" t="n">
        <f aca="false">IF(A14="","",SUMIFS('PERGERAKAN STOK'!$F$5:$F$504,'PERGERAKAN STOK'!$C$5:$C$504,A14,'PERGERAKAN STOK'!$E$5:$E$504,"Retur",'PERGERAKAN STOK'!$K$5:$K$504,"Disetujui"))</f>
        <v>0</v>
      </c>
    </row>
    <row r="15" customFormat="false" ht="27" hidden="false" customHeight="true" outlineLevel="0" collapsed="false">
      <c r="A15" s="25" t="str">
        <f aca="false">IF('MASTER BAHAN'!A15="","",'MASTER BAHAN'!A15)</f>
        <v>CONTOH-B11</v>
      </c>
      <c r="B15" s="18" t="str">
        <f aca="false">IF(A15="","",'MASTER BAHAN'!B15)</f>
        <v>Kentang beku</v>
      </c>
      <c r="C15" s="18" t="n">
        <f aca="false">IF(A15="","",'MASTER BAHAN'!E15)</f>
        <v>3000</v>
      </c>
      <c r="D15" s="18" t="n">
        <f aca="false">IF(A15="","",SUMIFS('STOK MASUK'!$G$5:$G$504,'STOK MASUK'!$E$5:$E$504,A15))</f>
        <v>0</v>
      </c>
      <c r="E15" s="18" t="n">
        <f aca="false">IF(A15="","",SUMIFS('PERGERAKAN STOK'!$F$5:$F$504,'PERGERAKAN STOK'!$C$5:$C$504,A15,'PERGERAKAN STOK'!$E$5:$E$504,"Pemakaian",'PERGERAKAN STOK'!$K$5:$K$504,"Disetujui"))</f>
        <v>0</v>
      </c>
      <c r="F15" s="18" t="n">
        <f aca="false">IF(A15="","",SUMIFS('PERGERAKAN STOK'!$F$5:$F$504,'PERGERAKAN STOK'!$C$5:$C$504,A15,'PERGERAKAN STOK'!$E$5:$E$504,"Waste",'PERGERAKAN STOK'!$K$5:$K$504,"Disetujui"))</f>
        <v>0</v>
      </c>
      <c r="G15" s="18" t="n">
        <f aca="false">IF(A15="","",SUMIFS('PERGERAKAN STOK'!$F$5:$F$504,'PERGERAKAN STOK'!$C$5:$C$504,A15,'PERGERAKAN STOK'!$E$5:$E$504,"Penyesuaian",'PERGERAKAN STOK'!$K$5:$K$504,"Disetujui"))</f>
        <v>0</v>
      </c>
      <c r="H15" s="18" t="n">
        <f aca="false">IF(A15="","",C15+D15-E15-F15+G15-L15)</f>
        <v>3000</v>
      </c>
      <c r="I15" s="18" t="n">
        <f aca="false">IF(A15="","",'MASTER BAHAN'!F15)</f>
        <v>500</v>
      </c>
      <c r="J15" s="18" t="str">
        <f aca="false">IF(A15="","",IF(H15&lt;=0,"Habis",IF(H15&lt;=I15,"Menipis","Aman")))</f>
        <v>Aman</v>
      </c>
      <c r="K15" s="19" t="n">
        <f aca="false">IF(A15="","",IF(NOT(ISNUMBER('MASTER BAHAN'!I15)),"BELUM LENGKAP",ROUND(H15*'MASTER BAHAN'!I15,0)))</f>
        <v>150000</v>
      </c>
      <c r="L15" s="18" t="n">
        <f aca="false">IF(A15="","",SUMIFS('PERGERAKAN STOK'!$F$5:$F$504,'PERGERAKAN STOK'!$C$5:$C$504,A15,'PERGERAKAN STOK'!$E$5:$E$504,"Retur",'PERGERAKAN STOK'!$K$5:$K$504,"Disetujui"))</f>
        <v>0</v>
      </c>
    </row>
    <row r="16" customFormat="false" ht="27" hidden="false" customHeight="true" outlineLevel="0" collapsed="false">
      <c r="A16" s="25" t="str">
        <f aca="false">IF('MASTER BAHAN'!A16="","",'MASTER BAHAN'!A16)</f>
        <v>CONTOH-B12</v>
      </c>
      <c r="B16" s="18" t="str">
        <f aca="false">IF(A16="","",'MASTER BAHAN'!B16)</f>
        <v>Roti</v>
      </c>
      <c r="C16" s="18" t="n">
        <f aca="false">IF(A16="","",'MASTER BAHAN'!E16)</f>
        <v>35</v>
      </c>
      <c r="D16" s="18" t="n">
        <f aca="false">IF(A16="","",SUMIFS('STOK MASUK'!$G$5:$G$504,'STOK MASUK'!$E$5:$E$504,A16))</f>
        <v>0</v>
      </c>
      <c r="E16" s="18" t="n">
        <f aca="false">IF(A16="","",SUMIFS('PERGERAKAN STOK'!$F$5:$F$504,'PERGERAKAN STOK'!$C$5:$C$504,A16,'PERGERAKAN STOK'!$E$5:$E$504,"Pemakaian",'PERGERAKAN STOK'!$K$5:$K$504,"Disetujui"))</f>
        <v>0</v>
      </c>
      <c r="F16" s="18" t="n">
        <f aca="false">IF(A16="","",SUMIFS('PERGERAKAN STOK'!$F$5:$F$504,'PERGERAKAN STOK'!$C$5:$C$504,A16,'PERGERAKAN STOK'!$E$5:$E$504,"Waste",'PERGERAKAN STOK'!$K$5:$K$504,"Disetujui"))</f>
        <v>0</v>
      </c>
      <c r="G16" s="18" t="n">
        <f aca="false">IF(A16="","",SUMIFS('PERGERAKAN STOK'!$F$5:$F$504,'PERGERAKAN STOK'!$C$5:$C$504,A16,'PERGERAKAN STOK'!$E$5:$E$504,"Penyesuaian",'PERGERAKAN STOK'!$K$5:$K$504,"Disetujui"))</f>
        <v>0</v>
      </c>
      <c r="H16" s="18" t="n">
        <f aca="false">IF(A16="","",C16+D16-E16-F16+G16-L16)</f>
        <v>35</v>
      </c>
      <c r="I16" s="18" t="n">
        <f aca="false">IF(A16="","",'MASTER BAHAN'!F16)</f>
        <v>10</v>
      </c>
      <c r="J16" s="18" t="str">
        <f aca="false">IF(A16="","",IF(H16&lt;=0,"Habis",IF(H16&lt;=I16,"Menipis","Aman")))</f>
        <v>Aman</v>
      </c>
      <c r="K16" s="19" t="n">
        <f aca="false">IF(A16="","",IF(NOT(ISNUMBER('MASTER BAHAN'!I16)),"BELUM LENGKAP",ROUND(H16*'MASTER BAHAN'!I16,0)))</f>
        <v>87500</v>
      </c>
      <c r="L16" s="18" t="n">
        <f aca="false">IF(A16="","",SUMIFS('PERGERAKAN STOK'!$F$5:$F$504,'PERGERAKAN STOK'!$C$5:$C$504,A16,'PERGERAKAN STOK'!$E$5:$E$504,"Retur",'PERGERAKAN STOK'!$K$5:$K$504,"Disetujui"))</f>
        <v>0</v>
      </c>
    </row>
    <row r="17" customFormat="false" ht="27" hidden="false" customHeight="true" outlineLevel="0" collapsed="false">
      <c r="A17" s="25" t="str">
        <f aca="false">IF('MASTER BAHAN'!A17="","",'MASTER BAHAN'!A17)</f>
        <v/>
      </c>
      <c r="B17" s="18" t="str">
        <f aca="false">IF(A17="","",'MASTER BAHAN'!B17)</f>
        <v/>
      </c>
      <c r="C17" s="18" t="str">
        <f aca="false">IF(A17="","",'MASTER BAHAN'!E17)</f>
        <v/>
      </c>
      <c r="D17" s="18" t="str">
        <f aca="false">IF(A17="","",SUMIFS('STOK MASUK'!$G$5:$G$504,'STOK MASUK'!$E$5:$E$504,A17))</f>
        <v/>
      </c>
      <c r="E17" s="18" t="str">
        <f aca="false">IF(A17="","",SUMIFS('PERGERAKAN STOK'!$F$5:$F$504,'PERGERAKAN STOK'!$C$5:$C$504,A17,'PERGERAKAN STOK'!$E$5:$E$504,"Pemakaian",'PERGERAKAN STOK'!$K$5:$K$504,"Disetujui"))</f>
        <v/>
      </c>
      <c r="F17" s="18" t="str">
        <f aca="false">IF(A17="","",SUMIFS('PERGERAKAN STOK'!$F$5:$F$504,'PERGERAKAN STOK'!$C$5:$C$504,A17,'PERGERAKAN STOK'!$E$5:$E$504,"Waste",'PERGERAKAN STOK'!$K$5:$K$504,"Disetujui"))</f>
        <v/>
      </c>
      <c r="G17" s="18" t="str">
        <f aca="false">IF(A17="","",SUMIFS('PERGERAKAN STOK'!$F$5:$F$504,'PERGERAKAN STOK'!$C$5:$C$504,A17,'PERGERAKAN STOK'!$E$5:$E$504,"Penyesuaian",'PERGERAKAN STOK'!$K$5:$K$504,"Disetujui"))</f>
        <v/>
      </c>
      <c r="H17" s="18" t="str">
        <f aca="false">IF(A17="","",C17+D17-E17-F17+G17-L17)</f>
        <v/>
      </c>
      <c r="I17" s="18" t="str">
        <f aca="false">IF(A17="","",'MASTER BAHAN'!F17)</f>
        <v/>
      </c>
      <c r="J17" s="18" t="str">
        <f aca="false">IF(A17="","",IF(H17&lt;=0,"Habis",IF(H17&lt;=I17,"Menipis","Aman")))</f>
        <v/>
      </c>
      <c r="K17" s="19" t="str">
        <f aca="false">IF(A17="","",IF(NOT(ISNUMBER('MASTER BAHAN'!I17)),"BELUM LENGKAP",ROUND(H17*'MASTER BAHAN'!I17,0)))</f>
        <v/>
      </c>
      <c r="L17" s="18" t="str">
        <f aca="false">IF(A17="","",SUMIFS('PERGERAKAN STOK'!$F$5:$F$504,'PERGERAKAN STOK'!$C$5:$C$504,A17,'PERGERAKAN STOK'!$E$5:$E$504,"Retur",'PERGERAKAN STOK'!$K$5:$K$504,"Disetujui"))</f>
        <v/>
      </c>
    </row>
    <row r="18" customFormat="false" ht="27" hidden="false" customHeight="true" outlineLevel="0" collapsed="false">
      <c r="A18" s="25" t="str">
        <f aca="false">IF('MASTER BAHAN'!A18="","",'MASTER BAHAN'!A18)</f>
        <v/>
      </c>
      <c r="B18" s="18" t="str">
        <f aca="false">IF(A18="","",'MASTER BAHAN'!B18)</f>
        <v/>
      </c>
      <c r="C18" s="18" t="str">
        <f aca="false">IF(A18="","",'MASTER BAHAN'!E18)</f>
        <v/>
      </c>
      <c r="D18" s="18" t="str">
        <f aca="false">IF(A18="","",SUMIFS('STOK MASUK'!$G$5:$G$504,'STOK MASUK'!$E$5:$E$504,A18))</f>
        <v/>
      </c>
      <c r="E18" s="18" t="str">
        <f aca="false">IF(A18="","",SUMIFS('PERGERAKAN STOK'!$F$5:$F$504,'PERGERAKAN STOK'!$C$5:$C$504,A18,'PERGERAKAN STOK'!$E$5:$E$504,"Pemakaian",'PERGERAKAN STOK'!$K$5:$K$504,"Disetujui"))</f>
        <v/>
      </c>
      <c r="F18" s="18" t="str">
        <f aca="false">IF(A18="","",SUMIFS('PERGERAKAN STOK'!$F$5:$F$504,'PERGERAKAN STOK'!$C$5:$C$504,A18,'PERGERAKAN STOK'!$E$5:$E$504,"Waste",'PERGERAKAN STOK'!$K$5:$K$504,"Disetujui"))</f>
        <v/>
      </c>
      <c r="G18" s="18" t="str">
        <f aca="false">IF(A18="","",SUMIFS('PERGERAKAN STOK'!$F$5:$F$504,'PERGERAKAN STOK'!$C$5:$C$504,A18,'PERGERAKAN STOK'!$E$5:$E$504,"Penyesuaian",'PERGERAKAN STOK'!$K$5:$K$504,"Disetujui"))</f>
        <v/>
      </c>
      <c r="H18" s="18" t="str">
        <f aca="false">IF(A18="","",C18+D18-E18-F18+G18-L18)</f>
        <v/>
      </c>
      <c r="I18" s="18" t="str">
        <f aca="false">IF(A18="","",'MASTER BAHAN'!F18)</f>
        <v/>
      </c>
      <c r="J18" s="18" t="str">
        <f aca="false">IF(A18="","",IF(H18&lt;=0,"Habis",IF(H18&lt;=I18,"Menipis","Aman")))</f>
        <v/>
      </c>
      <c r="K18" s="19" t="str">
        <f aca="false">IF(A18="","",IF(NOT(ISNUMBER('MASTER BAHAN'!I18)),"BELUM LENGKAP",ROUND(H18*'MASTER BAHAN'!I18,0)))</f>
        <v/>
      </c>
      <c r="L18" s="18" t="str">
        <f aca="false">IF(A18="","",SUMIFS('PERGERAKAN STOK'!$F$5:$F$504,'PERGERAKAN STOK'!$C$5:$C$504,A18,'PERGERAKAN STOK'!$E$5:$E$504,"Retur",'PERGERAKAN STOK'!$K$5:$K$504,"Disetujui"))</f>
        <v/>
      </c>
    </row>
    <row r="19" customFormat="false" ht="27" hidden="false" customHeight="true" outlineLevel="0" collapsed="false">
      <c r="A19" s="25" t="str">
        <f aca="false">IF('MASTER BAHAN'!A19="","",'MASTER BAHAN'!A19)</f>
        <v/>
      </c>
      <c r="B19" s="18" t="str">
        <f aca="false">IF(A19="","",'MASTER BAHAN'!B19)</f>
        <v/>
      </c>
      <c r="C19" s="18" t="str">
        <f aca="false">IF(A19="","",'MASTER BAHAN'!E19)</f>
        <v/>
      </c>
      <c r="D19" s="18" t="str">
        <f aca="false">IF(A19="","",SUMIFS('STOK MASUK'!$G$5:$G$504,'STOK MASUK'!$E$5:$E$504,A19))</f>
        <v/>
      </c>
      <c r="E19" s="18" t="str">
        <f aca="false">IF(A19="","",SUMIFS('PERGERAKAN STOK'!$F$5:$F$504,'PERGERAKAN STOK'!$C$5:$C$504,A19,'PERGERAKAN STOK'!$E$5:$E$504,"Pemakaian",'PERGERAKAN STOK'!$K$5:$K$504,"Disetujui"))</f>
        <v/>
      </c>
      <c r="F19" s="18" t="str">
        <f aca="false">IF(A19="","",SUMIFS('PERGERAKAN STOK'!$F$5:$F$504,'PERGERAKAN STOK'!$C$5:$C$504,A19,'PERGERAKAN STOK'!$E$5:$E$504,"Waste",'PERGERAKAN STOK'!$K$5:$K$504,"Disetujui"))</f>
        <v/>
      </c>
      <c r="G19" s="18" t="str">
        <f aca="false">IF(A19="","",SUMIFS('PERGERAKAN STOK'!$F$5:$F$504,'PERGERAKAN STOK'!$C$5:$C$504,A19,'PERGERAKAN STOK'!$E$5:$E$504,"Penyesuaian",'PERGERAKAN STOK'!$K$5:$K$504,"Disetujui"))</f>
        <v/>
      </c>
      <c r="H19" s="18" t="str">
        <f aca="false">IF(A19="","",C19+D19-E19-F19+G19-L19)</f>
        <v/>
      </c>
      <c r="I19" s="18" t="str">
        <f aca="false">IF(A19="","",'MASTER BAHAN'!F19)</f>
        <v/>
      </c>
      <c r="J19" s="18" t="str">
        <f aca="false">IF(A19="","",IF(H19&lt;=0,"Habis",IF(H19&lt;=I19,"Menipis","Aman")))</f>
        <v/>
      </c>
      <c r="K19" s="19" t="str">
        <f aca="false">IF(A19="","",IF(NOT(ISNUMBER('MASTER BAHAN'!I19)),"BELUM LENGKAP",ROUND(H19*'MASTER BAHAN'!I19,0)))</f>
        <v/>
      </c>
      <c r="L19" s="18" t="str">
        <f aca="false">IF(A19="","",SUMIFS('PERGERAKAN STOK'!$F$5:$F$504,'PERGERAKAN STOK'!$C$5:$C$504,A19,'PERGERAKAN STOK'!$E$5:$E$504,"Retur",'PERGERAKAN STOK'!$K$5:$K$504,"Disetujui"))</f>
        <v/>
      </c>
    </row>
    <row r="20" customFormat="false" ht="27" hidden="false" customHeight="true" outlineLevel="0" collapsed="false">
      <c r="A20" s="25" t="str">
        <f aca="false">IF('MASTER BAHAN'!A20="","",'MASTER BAHAN'!A20)</f>
        <v/>
      </c>
      <c r="B20" s="18" t="str">
        <f aca="false">IF(A20="","",'MASTER BAHAN'!B20)</f>
        <v/>
      </c>
      <c r="C20" s="18" t="str">
        <f aca="false">IF(A20="","",'MASTER BAHAN'!E20)</f>
        <v/>
      </c>
      <c r="D20" s="18" t="str">
        <f aca="false">IF(A20="","",SUMIFS('STOK MASUK'!$G$5:$G$504,'STOK MASUK'!$E$5:$E$504,A20))</f>
        <v/>
      </c>
      <c r="E20" s="18" t="str">
        <f aca="false">IF(A20="","",SUMIFS('PERGERAKAN STOK'!$F$5:$F$504,'PERGERAKAN STOK'!$C$5:$C$504,A20,'PERGERAKAN STOK'!$E$5:$E$504,"Pemakaian",'PERGERAKAN STOK'!$K$5:$K$504,"Disetujui"))</f>
        <v/>
      </c>
      <c r="F20" s="18" t="str">
        <f aca="false">IF(A20="","",SUMIFS('PERGERAKAN STOK'!$F$5:$F$504,'PERGERAKAN STOK'!$C$5:$C$504,A20,'PERGERAKAN STOK'!$E$5:$E$504,"Waste",'PERGERAKAN STOK'!$K$5:$K$504,"Disetujui"))</f>
        <v/>
      </c>
      <c r="G20" s="18" t="str">
        <f aca="false">IF(A20="","",SUMIFS('PERGERAKAN STOK'!$F$5:$F$504,'PERGERAKAN STOK'!$C$5:$C$504,A20,'PERGERAKAN STOK'!$E$5:$E$504,"Penyesuaian",'PERGERAKAN STOK'!$K$5:$K$504,"Disetujui"))</f>
        <v/>
      </c>
      <c r="H20" s="18" t="str">
        <f aca="false">IF(A20="","",C20+D20-E20-F20+G20-L20)</f>
        <v/>
      </c>
      <c r="I20" s="18" t="str">
        <f aca="false">IF(A20="","",'MASTER BAHAN'!F20)</f>
        <v/>
      </c>
      <c r="J20" s="18" t="str">
        <f aca="false">IF(A20="","",IF(H20&lt;=0,"Habis",IF(H20&lt;=I20,"Menipis","Aman")))</f>
        <v/>
      </c>
      <c r="K20" s="19" t="str">
        <f aca="false">IF(A20="","",IF(NOT(ISNUMBER('MASTER BAHAN'!I20)),"BELUM LENGKAP",ROUND(H20*'MASTER BAHAN'!I20,0)))</f>
        <v/>
      </c>
      <c r="L20" s="18" t="str">
        <f aca="false">IF(A20="","",SUMIFS('PERGERAKAN STOK'!$F$5:$F$504,'PERGERAKAN STOK'!$C$5:$C$504,A20,'PERGERAKAN STOK'!$E$5:$E$504,"Retur",'PERGERAKAN STOK'!$K$5:$K$504,"Disetujui"))</f>
        <v/>
      </c>
    </row>
    <row r="21" customFormat="false" ht="27" hidden="false" customHeight="true" outlineLevel="0" collapsed="false">
      <c r="A21" s="25" t="str">
        <f aca="false">IF('MASTER BAHAN'!A21="","",'MASTER BAHAN'!A21)</f>
        <v/>
      </c>
      <c r="B21" s="18" t="str">
        <f aca="false">IF(A21="","",'MASTER BAHAN'!B21)</f>
        <v/>
      </c>
      <c r="C21" s="18" t="str">
        <f aca="false">IF(A21="","",'MASTER BAHAN'!E21)</f>
        <v/>
      </c>
      <c r="D21" s="18" t="str">
        <f aca="false">IF(A21="","",SUMIFS('STOK MASUK'!$G$5:$G$504,'STOK MASUK'!$E$5:$E$504,A21))</f>
        <v/>
      </c>
      <c r="E21" s="18" t="str">
        <f aca="false">IF(A21="","",SUMIFS('PERGERAKAN STOK'!$F$5:$F$504,'PERGERAKAN STOK'!$C$5:$C$504,A21,'PERGERAKAN STOK'!$E$5:$E$504,"Pemakaian",'PERGERAKAN STOK'!$K$5:$K$504,"Disetujui"))</f>
        <v/>
      </c>
      <c r="F21" s="18" t="str">
        <f aca="false">IF(A21="","",SUMIFS('PERGERAKAN STOK'!$F$5:$F$504,'PERGERAKAN STOK'!$C$5:$C$504,A21,'PERGERAKAN STOK'!$E$5:$E$504,"Waste",'PERGERAKAN STOK'!$K$5:$K$504,"Disetujui"))</f>
        <v/>
      </c>
      <c r="G21" s="18" t="str">
        <f aca="false">IF(A21="","",SUMIFS('PERGERAKAN STOK'!$F$5:$F$504,'PERGERAKAN STOK'!$C$5:$C$504,A21,'PERGERAKAN STOK'!$E$5:$E$504,"Penyesuaian",'PERGERAKAN STOK'!$K$5:$K$504,"Disetujui"))</f>
        <v/>
      </c>
      <c r="H21" s="18" t="str">
        <f aca="false">IF(A21="","",C21+D21-E21-F21+G21-L21)</f>
        <v/>
      </c>
      <c r="I21" s="18" t="str">
        <f aca="false">IF(A21="","",'MASTER BAHAN'!F21)</f>
        <v/>
      </c>
      <c r="J21" s="18" t="str">
        <f aca="false">IF(A21="","",IF(H21&lt;=0,"Habis",IF(H21&lt;=I21,"Menipis","Aman")))</f>
        <v/>
      </c>
      <c r="K21" s="19" t="str">
        <f aca="false">IF(A21="","",IF(NOT(ISNUMBER('MASTER BAHAN'!I21)),"BELUM LENGKAP",ROUND(H21*'MASTER BAHAN'!I21,0)))</f>
        <v/>
      </c>
      <c r="L21" s="18" t="str">
        <f aca="false">IF(A21="","",SUMIFS('PERGERAKAN STOK'!$F$5:$F$504,'PERGERAKAN STOK'!$C$5:$C$504,A21,'PERGERAKAN STOK'!$E$5:$E$504,"Retur",'PERGERAKAN STOK'!$K$5:$K$504,"Disetujui"))</f>
        <v/>
      </c>
    </row>
    <row r="22" customFormat="false" ht="27" hidden="false" customHeight="true" outlineLevel="0" collapsed="false">
      <c r="A22" s="25" t="str">
        <f aca="false">IF('MASTER BAHAN'!A22="","",'MASTER BAHAN'!A22)</f>
        <v/>
      </c>
      <c r="B22" s="18" t="str">
        <f aca="false">IF(A22="","",'MASTER BAHAN'!B22)</f>
        <v/>
      </c>
      <c r="C22" s="18" t="str">
        <f aca="false">IF(A22="","",'MASTER BAHAN'!E22)</f>
        <v/>
      </c>
      <c r="D22" s="18" t="str">
        <f aca="false">IF(A22="","",SUMIFS('STOK MASUK'!$G$5:$G$504,'STOK MASUK'!$E$5:$E$504,A22))</f>
        <v/>
      </c>
      <c r="E22" s="18" t="str">
        <f aca="false">IF(A22="","",SUMIFS('PERGERAKAN STOK'!$F$5:$F$504,'PERGERAKAN STOK'!$C$5:$C$504,A22,'PERGERAKAN STOK'!$E$5:$E$504,"Pemakaian",'PERGERAKAN STOK'!$K$5:$K$504,"Disetujui"))</f>
        <v/>
      </c>
      <c r="F22" s="18" t="str">
        <f aca="false">IF(A22="","",SUMIFS('PERGERAKAN STOK'!$F$5:$F$504,'PERGERAKAN STOK'!$C$5:$C$504,A22,'PERGERAKAN STOK'!$E$5:$E$504,"Waste",'PERGERAKAN STOK'!$K$5:$K$504,"Disetujui"))</f>
        <v/>
      </c>
      <c r="G22" s="18" t="str">
        <f aca="false">IF(A22="","",SUMIFS('PERGERAKAN STOK'!$F$5:$F$504,'PERGERAKAN STOK'!$C$5:$C$504,A22,'PERGERAKAN STOK'!$E$5:$E$504,"Penyesuaian",'PERGERAKAN STOK'!$K$5:$K$504,"Disetujui"))</f>
        <v/>
      </c>
      <c r="H22" s="18" t="str">
        <f aca="false">IF(A22="","",C22+D22-E22-F22+G22-L22)</f>
        <v/>
      </c>
      <c r="I22" s="18" t="str">
        <f aca="false">IF(A22="","",'MASTER BAHAN'!F22)</f>
        <v/>
      </c>
      <c r="J22" s="18" t="str">
        <f aca="false">IF(A22="","",IF(H22&lt;=0,"Habis",IF(H22&lt;=I22,"Menipis","Aman")))</f>
        <v/>
      </c>
      <c r="K22" s="19" t="str">
        <f aca="false">IF(A22="","",IF(NOT(ISNUMBER('MASTER BAHAN'!I22)),"BELUM LENGKAP",ROUND(H22*'MASTER BAHAN'!I22,0)))</f>
        <v/>
      </c>
      <c r="L22" s="18" t="str">
        <f aca="false">IF(A22="","",SUMIFS('PERGERAKAN STOK'!$F$5:$F$504,'PERGERAKAN STOK'!$C$5:$C$504,A22,'PERGERAKAN STOK'!$E$5:$E$504,"Retur",'PERGERAKAN STOK'!$K$5:$K$504,"Disetujui"))</f>
        <v/>
      </c>
    </row>
    <row r="23" customFormat="false" ht="27" hidden="false" customHeight="true" outlineLevel="0" collapsed="false">
      <c r="A23" s="25" t="str">
        <f aca="false">IF('MASTER BAHAN'!A23="","",'MASTER BAHAN'!A23)</f>
        <v/>
      </c>
      <c r="B23" s="18" t="str">
        <f aca="false">IF(A23="","",'MASTER BAHAN'!B23)</f>
        <v/>
      </c>
      <c r="C23" s="18" t="str">
        <f aca="false">IF(A23="","",'MASTER BAHAN'!E23)</f>
        <v/>
      </c>
      <c r="D23" s="18" t="str">
        <f aca="false">IF(A23="","",SUMIFS('STOK MASUK'!$G$5:$G$504,'STOK MASUK'!$E$5:$E$504,A23))</f>
        <v/>
      </c>
      <c r="E23" s="18" t="str">
        <f aca="false">IF(A23="","",SUMIFS('PERGERAKAN STOK'!$F$5:$F$504,'PERGERAKAN STOK'!$C$5:$C$504,A23,'PERGERAKAN STOK'!$E$5:$E$504,"Pemakaian",'PERGERAKAN STOK'!$K$5:$K$504,"Disetujui"))</f>
        <v/>
      </c>
      <c r="F23" s="18" t="str">
        <f aca="false">IF(A23="","",SUMIFS('PERGERAKAN STOK'!$F$5:$F$504,'PERGERAKAN STOK'!$C$5:$C$504,A23,'PERGERAKAN STOK'!$E$5:$E$504,"Waste",'PERGERAKAN STOK'!$K$5:$K$504,"Disetujui"))</f>
        <v/>
      </c>
      <c r="G23" s="18" t="str">
        <f aca="false">IF(A23="","",SUMIFS('PERGERAKAN STOK'!$F$5:$F$504,'PERGERAKAN STOK'!$C$5:$C$504,A23,'PERGERAKAN STOK'!$E$5:$E$504,"Penyesuaian",'PERGERAKAN STOK'!$K$5:$K$504,"Disetujui"))</f>
        <v/>
      </c>
      <c r="H23" s="18" t="str">
        <f aca="false">IF(A23="","",C23+D23-E23-F23+G23-L23)</f>
        <v/>
      </c>
      <c r="I23" s="18" t="str">
        <f aca="false">IF(A23="","",'MASTER BAHAN'!F23)</f>
        <v/>
      </c>
      <c r="J23" s="18" t="str">
        <f aca="false">IF(A23="","",IF(H23&lt;=0,"Habis",IF(H23&lt;=I23,"Menipis","Aman")))</f>
        <v/>
      </c>
      <c r="K23" s="19" t="str">
        <f aca="false">IF(A23="","",IF(NOT(ISNUMBER('MASTER BAHAN'!I23)),"BELUM LENGKAP",ROUND(H23*'MASTER BAHAN'!I23,0)))</f>
        <v/>
      </c>
      <c r="L23" s="18" t="str">
        <f aca="false">IF(A23="","",SUMIFS('PERGERAKAN STOK'!$F$5:$F$504,'PERGERAKAN STOK'!$C$5:$C$504,A23,'PERGERAKAN STOK'!$E$5:$E$504,"Retur",'PERGERAKAN STOK'!$K$5:$K$504,"Disetujui"))</f>
        <v/>
      </c>
    </row>
    <row r="24" customFormat="false" ht="27" hidden="false" customHeight="true" outlineLevel="0" collapsed="false">
      <c r="A24" s="25" t="str">
        <f aca="false">IF('MASTER BAHAN'!A24="","",'MASTER BAHAN'!A24)</f>
        <v/>
      </c>
      <c r="B24" s="18" t="str">
        <f aca="false">IF(A24="","",'MASTER BAHAN'!B24)</f>
        <v/>
      </c>
      <c r="C24" s="18" t="str">
        <f aca="false">IF(A24="","",'MASTER BAHAN'!E24)</f>
        <v/>
      </c>
      <c r="D24" s="18" t="str">
        <f aca="false">IF(A24="","",SUMIFS('STOK MASUK'!$G$5:$G$504,'STOK MASUK'!$E$5:$E$504,A24))</f>
        <v/>
      </c>
      <c r="E24" s="18" t="str">
        <f aca="false">IF(A24="","",SUMIFS('PERGERAKAN STOK'!$F$5:$F$504,'PERGERAKAN STOK'!$C$5:$C$504,A24,'PERGERAKAN STOK'!$E$5:$E$504,"Pemakaian",'PERGERAKAN STOK'!$K$5:$K$504,"Disetujui"))</f>
        <v/>
      </c>
      <c r="F24" s="18" t="str">
        <f aca="false">IF(A24="","",SUMIFS('PERGERAKAN STOK'!$F$5:$F$504,'PERGERAKAN STOK'!$C$5:$C$504,A24,'PERGERAKAN STOK'!$E$5:$E$504,"Waste",'PERGERAKAN STOK'!$K$5:$K$504,"Disetujui"))</f>
        <v/>
      </c>
      <c r="G24" s="18" t="str">
        <f aca="false">IF(A24="","",SUMIFS('PERGERAKAN STOK'!$F$5:$F$504,'PERGERAKAN STOK'!$C$5:$C$504,A24,'PERGERAKAN STOK'!$E$5:$E$504,"Penyesuaian",'PERGERAKAN STOK'!$K$5:$K$504,"Disetujui"))</f>
        <v/>
      </c>
      <c r="H24" s="18" t="str">
        <f aca="false">IF(A24="","",C24+D24-E24-F24+G24-L24)</f>
        <v/>
      </c>
      <c r="I24" s="18" t="str">
        <f aca="false">IF(A24="","",'MASTER BAHAN'!F24)</f>
        <v/>
      </c>
      <c r="J24" s="18" t="str">
        <f aca="false">IF(A24="","",IF(H24&lt;=0,"Habis",IF(H24&lt;=I24,"Menipis","Aman")))</f>
        <v/>
      </c>
      <c r="K24" s="19" t="str">
        <f aca="false">IF(A24="","",IF(NOT(ISNUMBER('MASTER BAHAN'!I24)),"BELUM LENGKAP",ROUND(H24*'MASTER BAHAN'!I24,0)))</f>
        <v/>
      </c>
      <c r="L24" s="18" t="str">
        <f aca="false">IF(A24="","",SUMIFS('PERGERAKAN STOK'!$F$5:$F$504,'PERGERAKAN STOK'!$C$5:$C$504,A24,'PERGERAKAN STOK'!$E$5:$E$504,"Retur",'PERGERAKAN STOK'!$K$5:$K$504,"Disetujui"))</f>
        <v/>
      </c>
    </row>
    <row r="25" customFormat="false" ht="27" hidden="false" customHeight="true" outlineLevel="0" collapsed="false">
      <c r="A25" s="25" t="str">
        <f aca="false">IF('MASTER BAHAN'!A25="","",'MASTER BAHAN'!A25)</f>
        <v/>
      </c>
      <c r="B25" s="18" t="str">
        <f aca="false">IF(A25="","",'MASTER BAHAN'!B25)</f>
        <v/>
      </c>
      <c r="C25" s="18" t="str">
        <f aca="false">IF(A25="","",'MASTER BAHAN'!E25)</f>
        <v/>
      </c>
      <c r="D25" s="18" t="str">
        <f aca="false">IF(A25="","",SUMIFS('STOK MASUK'!$G$5:$G$504,'STOK MASUK'!$E$5:$E$504,A25))</f>
        <v/>
      </c>
      <c r="E25" s="18" t="str">
        <f aca="false">IF(A25="","",SUMIFS('PERGERAKAN STOK'!$F$5:$F$504,'PERGERAKAN STOK'!$C$5:$C$504,A25,'PERGERAKAN STOK'!$E$5:$E$504,"Pemakaian",'PERGERAKAN STOK'!$K$5:$K$504,"Disetujui"))</f>
        <v/>
      </c>
      <c r="F25" s="18" t="str">
        <f aca="false">IF(A25="","",SUMIFS('PERGERAKAN STOK'!$F$5:$F$504,'PERGERAKAN STOK'!$C$5:$C$504,A25,'PERGERAKAN STOK'!$E$5:$E$504,"Waste",'PERGERAKAN STOK'!$K$5:$K$504,"Disetujui"))</f>
        <v/>
      </c>
      <c r="G25" s="18" t="str">
        <f aca="false">IF(A25="","",SUMIFS('PERGERAKAN STOK'!$F$5:$F$504,'PERGERAKAN STOK'!$C$5:$C$504,A25,'PERGERAKAN STOK'!$E$5:$E$504,"Penyesuaian",'PERGERAKAN STOK'!$K$5:$K$504,"Disetujui"))</f>
        <v/>
      </c>
      <c r="H25" s="18" t="str">
        <f aca="false">IF(A25="","",C25+D25-E25-F25+G25-L25)</f>
        <v/>
      </c>
      <c r="I25" s="18" t="str">
        <f aca="false">IF(A25="","",'MASTER BAHAN'!F25)</f>
        <v/>
      </c>
      <c r="J25" s="18" t="str">
        <f aca="false">IF(A25="","",IF(H25&lt;=0,"Habis",IF(H25&lt;=I25,"Menipis","Aman")))</f>
        <v/>
      </c>
      <c r="K25" s="19" t="str">
        <f aca="false">IF(A25="","",IF(NOT(ISNUMBER('MASTER BAHAN'!I25)),"BELUM LENGKAP",ROUND(H25*'MASTER BAHAN'!I25,0)))</f>
        <v/>
      </c>
      <c r="L25" s="18" t="str">
        <f aca="false">IF(A25="","",SUMIFS('PERGERAKAN STOK'!$F$5:$F$504,'PERGERAKAN STOK'!$C$5:$C$504,A25,'PERGERAKAN STOK'!$E$5:$E$504,"Retur",'PERGERAKAN STOK'!$K$5:$K$504,"Disetujui"))</f>
        <v/>
      </c>
    </row>
    <row r="26" customFormat="false" ht="27" hidden="false" customHeight="true" outlineLevel="0" collapsed="false">
      <c r="A26" s="25" t="str">
        <f aca="false">IF('MASTER BAHAN'!A26="","",'MASTER BAHAN'!A26)</f>
        <v/>
      </c>
      <c r="B26" s="18" t="str">
        <f aca="false">IF(A26="","",'MASTER BAHAN'!B26)</f>
        <v/>
      </c>
      <c r="C26" s="18" t="str">
        <f aca="false">IF(A26="","",'MASTER BAHAN'!E26)</f>
        <v/>
      </c>
      <c r="D26" s="18" t="str">
        <f aca="false">IF(A26="","",SUMIFS('STOK MASUK'!$G$5:$G$504,'STOK MASUK'!$E$5:$E$504,A26))</f>
        <v/>
      </c>
      <c r="E26" s="18" t="str">
        <f aca="false">IF(A26="","",SUMIFS('PERGERAKAN STOK'!$F$5:$F$504,'PERGERAKAN STOK'!$C$5:$C$504,A26,'PERGERAKAN STOK'!$E$5:$E$504,"Pemakaian",'PERGERAKAN STOK'!$K$5:$K$504,"Disetujui"))</f>
        <v/>
      </c>
      <c r="F26" s="18" t="str">
        <f aca="false">IF(A26="","",SUMIFS('PERGERAKAN STOK'!$F$5:$F$504,'PERGERAKAN STOK'!$C$5:$C$504,A26,'PERGERAKAN STOK'!$E$5:$E$504,"Waste",'PERGERAKAN STOK'!$K$5:$K$504,"Disetujui"))</f>
        <v/>
      </c>
      <c r="G26" s="18" t="str">
        <f aca="false">IF(A26="","",SUMIFS('PERGERAKAN STOK'!$F$5:$F$504,'PERGERAKAN STOK'!$C$5:$C$504,A26,'PERGERAKAN STOK'!$E$5:$E$504,"Penyesuaian",'PERGERAKAN STOK'!$K$5:$K$504,"Disetujui"))</f>
        <v/>
      </c>
      <c r="H26" s="18" t="str">
        <f aca="false">IF(A26="","",C26+D26-E26-F26+G26-L26)</f>
        <v/>
      </c>
      <c r="I26" s="18" t="str">
        <f aca="false">IF(A26="","",'MASTER BAHAN'!F26)</f>
        <v/>
      </c>
      <c r="J26" s="18" t="str">
        <f aca="false">IF(A26="","",IF(H26&lt;=0,"Habis",IF(H26&lt;=I26,"Menipis","Aman")))</f>
        <v/>
      </c>
      <c r="K26" s="19" t="str">
        <f aca="false">IF(A26="","",IF(NOT(ISNUMBER('MASTER BAHAN'!I26)),"BELUM LENGKAP",ROUND(H26*'MASTER BAHAN'!I26,0)))</f>
        <v/>
      </c>
      <c r="L26" s="18" t="str">
        <f aca="false">IF(A26="","",SUMIFS('PERGERAKAN STOK'!$F$5:$F$504,'PERGERAKAN STOK'!$C$5:$C$504,A26,'PERGERAKAN STOK'!$E$5:$E$504,"Retur",'PERGERAKAN STOK'!$K$5:$K$504,"Disetujui"))</f>
        <v/>
      </c>
    </row>
    <row r="27" customFormat="false" ht="27" hidden="false" customHeight="true" outlineLevel="0" collapsed="false">
      <c r="A27" s="25" t="str">
        <f aca="false">IF('MASTER BAHAN'!A27="","",'MASTER BAHAN'!A27)</f>
        <v/>
      </c>
      <c r="B27" s="18" t="str">
        <f aca="false">IF(A27="","",'MASTER BAHAN'!B27)</f>
        <v/>
      </c>
      <c r="C27" s="18" t="str">
        <f aca="false">IF(A27="","",'MASTER BAHAN'!E27)</f>
        <v/>
      </c>
      <c r="D27" s="18" t="str">
        <f aca="false">IF(A27="","",SUMIFS('STOK MASUK'!$G$5:$G$504,'STOK MASUK'!$E$5:$E$504,A27))</f>
        <v/>
      </c>
      <c r="E27" s="18" t="str">
        <f aca="false">IF(A27="","",SUMIFS('PERGERAKAN STOK'!$F$5:$F$504,'PERGERAKAN STOK'!$C$5:$C$504,A27,'PERGERAKAN STOK'!$E$5:$E$504,"Pemakaian",'PERGERAKAN STOK'!$K$5:$K$504,"Disetujui"))</f>
        <v/>
      </c>
      <c r="F27" s="18" t="str">
        <f aca="false">IF(A27="","",SUMIFS('PERGERAKAN STOK'!$F$5:$F$504,'PERGERAKAN STOK'!$C$5:$C$504,A27,'PERGERAKAN STOK'!$E$5:$E$504,"Waste",'PERGERAKAN STOK'!$K$5:$K$504,"Disetujui"))</f>
        <v/>
      </c>
      <c r="G27" s="18" t="str">
        <f aca="false">IF(A27="","",SUMIFS('PERGERAKAN STOK'!$F$5:$F$504,'PERGERAKAN STOK'!$C$5:$C$504,A27,'PERGERAKAN STOK'!$E$5:$E$504,"Penyesuaian",'PERGERAKAN STOK'!$K$5:$K$504,"Disetujui"))</f>
        <v/>
      </c>
      <c r="H27" s="18" t="str">
        <f aca="false">IF(A27="","",C27+D27-E27-F27+G27-L27)</f>
        <v/>
      </c>
      <c r="I27" s="18" t="str">
        <f aca="false">IF(A27="","",'MASTER BAHAN'!F27)</f>
        <v/>
      </c>
      <c r="J27" s="18" t="str">
        <f aca="false">IF(A27="","",IF(H27&lt;=0,"Habis",IF(H27&lt;=I27,"Menipis","Aman")))</f>
        <v/>
      </c>
      <c r="K27" s="19" t="str">
        <f aca="false">IF(A27="","",IF(NOT(ISNUMBER('MASTER BAHAN'!I27)),"BELUM LENGKAP",ROUND(H27*'MASTER BAHAN'!I27,0)))</f>
        <v/>
      </c>
      <c r="L27" s="18" t="str">
        <f aca="false">IF(A27="","",SUMIFS('PERGERAKAN STOK'!$F$5:$F$504,'PERGERAKAN STOK'!$C$5:$C$504,A27,'PERGERAKAN STOK'!$E$5:$E$504,"Retur",'PERGERAKAN STOK'!$K$5:$K$504,"Disetujui"))</f>
        <v/>
      </c>
    </row>
    <row r="28" customFormat="false" ht="27" hidden="false" customHeight="true" outlineLevel="0" collapsed="false">
      <c r="A28" s="25" t="str">
        <f aca="false">IF('MASTER BAHAN'!A28="","",'MASTER BAHAN'!A28)</f>
        <v/>
      </c>
      <c r="B28" s="18" t="str">
        <f aca="false">IF(A28="","",'MASTER BAHAN'!B28)</f>
        <v/>
      </c>
      <c r="C28" s="18" t="str">
        <f aca="false">IF(A28="","",'MASTER BAHAN'!E28)</f>
        <v/>
      </c>
      <c r="D28" s="18" t="str">
        <f aca="false">IF(A28="","",SUMIFS('STOK MASUK'!$G$5:$G$504,'STOK MASUK'!$E$5:$E$504,A28))</f>
        <v/>
      </c>
      <c r="E28" s="18" t="str">
        <f aca="false">IF(A28="","",SUMIFS('PERGERAKAN STOK'!$F$5:$F$504,'PERGERAKAN STOK'!$C$5:$C$504,A28,'PERGERAKAN STOK'!$E$5:$E$504,"Pemakaian",'PERGERAKAN STOK'!$K$5:$K$504,"Disetujui"))</f>
        <v/>
      </c>
      <c r="F28" s="18" t="str">
        <f aca="false">IF(A28="","",SUMIFS('PERGERAKAN STOK'!$F$5:$F$504,'PERGERAKAN STOK'!$C$5:$C$504,A28,'PERGERAKAN STOK'!$E$5:$E$504,"Waste",'PERGERAKAN STOK'!$K$5:$K$504,"Disetujui"))</f>
        <v/>
      </c>
      <c r="G28" s="18" t="str">
        <f aca="false">IF(A28="","",SUMIFS('PERGERAKAN STOK'!$F$5:$F$504,'PERGERAKAN STOK'!$C$5:$C$504,A28,'PERGERAKAN STOK'!$E$5:$E$504,"Penyesuaian",'PERGERAKAN STOK'!$K$5:$K$504,"Disetujui"))</f>
        <v/>
      </c>
      <c r="H28" s="18" t="str">
        <f aca="false">IF(A28="","",C28+D28-E28-F28+G28-L28)</f>
        <v/>
      </c>
      <c r="I28" s="18" t="str">
        <f aca="false">IF(A28="","",'MASTER BAHAN'!F28)</f>
        <v/>
      </c>
      <c r="J28" s="18" t="str">
        <f aca="false">IF(A28="","",IF(H28&lt;=0,"Habis",IF(H28&lt;=I28,"Menipis","Aman")))</f>
        <v/>
      </c>
      <c r="K28" s="19" t="str">
        <f aca="false">IF(A28="","",IF(NOT(ISNUMBER('MASTER BAHAN'!I28)),"BELUM LENGKAP",ROUND(H28*'MASTER BAHAN'!I28,0)))</f>
        <v/>
      </c>
      <c r="L28" s="18" t="str">
        <f aca="false">IF(A28="","",SUMIFS('PERGERAKAN STOK'!$F$5:$F$504,'PERGERAKAN STOK'!$C$5:$C$504,A28,'PERGERAKAN STOK'!$E$5:$E$504,"Retur",'PERGERAKAN STOK'!$K$5:$K$504,"Disetujui"))</f>
        <v/>
      </c>
    </row>
    <row r="29" customFormat="false" ht="27" hidden="false" customHeight="true" outlineLevel="0" collapsed="false">
      <c r="A29" s="25" t="str">
        <f aca="false">IF('MASTER BAHAN'!A29="","",'MASTER BAHAN'!A29)</f>
        <v/>
      </c>
      <c r="B29" s="18" t="str">
        <f aca="false">IF(A29="","",'MASTER BAHAN'!B29)</f>
        <v/>
      </c>
      <c r="C29" s="18" t="str">
        <f aca="false">IF(A29="","",'MASTER BAHAN'!E29)</f>
        <v/>
      </c>
      <c r="D29" s="18" t="str">
        <f aca="false">IF(A29="","",SUMIFS('STOK MASUK'!$G$5:$G$504,'STOK MASUK'!$E$5:$E$504,A29))</f>
        <v/>
      </c>
      <c r="E29" s="18" t="str">
        <f aca="false">IF(A29="","",SUMIFS('PERGERAKAN STOK'!$F$5:$F$504,'PERGERAKAN STOK'!$C$5:$C$504,A29,'PERGERAKAN STOK'!$E$5:$E$504,"Pemakaian",'PERGERAKAN STOK'!$K$5:$K$504,"Disetujui"))</f>
        <v/>
      </c>
      <c r="F29" s="18" t="str">
        <f aca="false">IF(A29="","",SUMIFS('PERGERAKAN STOK'!$F$5:$F$504,'PERGERAKAN STOK'!$C$5:$C$504,A29,'PERGERAKAN STOK'!$E$5:$E$504,"Waste",'PERGERAKAN STOK'!$K$5:$K$504,"Disetujui"))</f>
        <v/>
      </c>
      <c r="G29" s="18" t="str">
        <f aca="false">IF(A29="","",SUMIFS('PERGERAKAN STOK'!$F$5:$F$504,'PERGERAKAN STOK'!$C$5:$C$504,A29,'PERGERAKAN STOK'!$E$5:$E$504,"Penyesuaian",'PERGERAKAN STOK'!$K$5:$K$504,"Disetujui"))</f>
        <v/>
      </c>
      <c r="H29" s="18" t="str">
        <f aca="false">IF(A29="","",C29+D29-E29-F29+G29-L29)</f>
        <v/>
      </c>
      <c r="I29" s="18" t="str">
        <f aca="false">IF(A29="","",'MASTER BAHAN'!F29)</f>
        <v/>
      </c>
      <c r="J29" s="18" t="str">
        <f aca="false">IF(A29="","",IF(H29&lt;=0,"Habis",IF(H29&lt;=I29,"Menipis","Aman")))</f>
        <v/>
      </c>
      <c r="K29" s="19" t="str">
        <f aca="false">IF(A29="","",IF(NOT(ISNUMBER('MASTER BAHAN'!I29)),"BELUM LENGKAP",ROUND(H29*'MASTER BAHAN'!I29,0)))</f>
        <v/>
      </c>
      <c r="L29" s="18" t="str">
        <f aca="false">IF(A29="","",SUMIFS('PERGERAKAN STOK'!$F$5:$F$504,'PERGERAKAN STOK'!$C$5:$C$504,A29,'PERGERAKAN STOK'!$E$5:$E$504,"Retur",'PERGERAKAN STOK'!$K$5:$K$504,"Disetujui"))</f>
        <v/>
      </c>
    </row>
    <row r="30" customFormat="false" ht="27" hidden="false" customHeight="true" outlineLevel="0" collapsed="false">
      <c r="A30" s="25" t="str">
        <f aca="false">IF('MASTER BAHAN'!A30="","",'MASTER BAHAN'!A30)</f>
        <v/>
      </c>
      <c r="B30" s="18" t="str">
        <f aca="false">IF(A30="","",'MASTER BAHAN'!B30)</f>
        <v/>
      </c>
      <c r="C30" s="18" t="str">
        <f aca="false">IF(A30="","",'MASTER BAHAN'!E30)</f>
        <v/>
      </c>
      <c r="D30" s="18" t="str">
        <f aca="false">IF(A30="","",SUMIFS('STOK MASUK'!$G$5:$G$504,'STOK MASUK'!$E$5:$E$504,A30))</f>
        <v/>
      </c>
      <c r="E30" s="18" t="str">
        <f aca="false">IF(A30="","",SUMIFS('PERGERAKAN STOK'!$F$5:$F$504,'PERGERAKAN STOK'!$C$5:$C$504,A30,'PERGERAKAN STOK'!$E$5:$E$504,"Pemakaian",'PERGERAKAN STOK'!$K$5:$K$504,"Disetujui"))</f>
        <v/>
      </c>
      <c r="F30" s="18" t="str">
        <f aca="false">IF(A30="","",SUMIFS('PERGERAKAN STOK'!$F$5:$F$504,'PERGERAKAN STOK'!$C$5:$C$504,A30,'PERGERAKAN STOK'!$E$5:$E$504,"Waste",'PERGERAKAN STOK'!$K$5:$K$504,"Disetujui"))</f>
        <v/>
      </c>
      <c r="G30" s="18" t="str">
        <f aca="false">IF(A30="","",SUMIFS('PERGERAKAN STOK'!$F$5:$F$504,'PERGERAKAN STOK'!$C$5:$C$504,A30,'PERGERAKAN STOK'!$E$5:$E$504,"Penyesuaian",'PERGERAKAN STOK'!$K$5:$K$504,"Disetujui"))</f>
        <v/>
      </c>
      <c r="H30" s="18" t="str">
        <f aca="false">IF(A30="","",C30+D30-E30-F30+G30-L30)</f>
        <v/>
      </c>
      <c r="I30" s="18" t="str">
        <f aca="false">IF(A30="","",'MASTER BAHAN'!F30)</f>
        <v/>
      </c>
      <c r="J30" s="18" t="str">
        <f aca="false">IF(A30="","",IF(H30&lt;=0,"Habis",IF(H30&lt;=I30,"Menipis","Aman")))</f>
        <v/>
      </c>
      <c r="K30" s="19" t="str">
        <f aca="false">IF(A30="","",IF(NOT(ISNUMBER('MASTER BAHAN'!I30)),"BELUM LENGKAP",ROUND(H30*'MASTER BAHAN'!I30,0)))</f>
        <v/>
      </c>
      <c r="L30" s="18" t="str">
        <f aca="false">IF(A30="","",SUMIFS('PERGERAKAN STOK'!$F$5:$F$504,'PERGERAKAN STOK'!$C$5:$C$504,A30,'PERGERAKAN STOK'!$E$5:$E$504,"Retur",'PERGERAKAN STOK'!$K$5:$K$504,"Disetujui"))</f>
        <v/>
      </c>
    </row>
    <row r="31" customFormat="false" ht="27" hidden="false" customHeight="true" outlineLevel="0" collapsed="false">
      <c r="A31" s="25" t="str">
        <f aca="false">IF('MASTER BAHAN'!A31="","",'MASTER BAHAN'!A31)</f>
        <v/>
      </c>
      <c r="B31" s="18" t="str">
        <f aca="false">IF(A31="","",'MASTER BAHAN'!B31)</f>
        <v/>
      </c>
      <c r="C31" s="18" t="str">
        <f aca="false">IF(A31="","",'MASTER BAHAN'!E31)</f>
        <v/>
      </c>
      <c r="D31" s="18" t="str">
        <f aca="false">IF(A31="","",SUMIFS('STOK MASUK'!$G$5:$G$504,'STOK MASUK'!$E$5:$E$504,A31))</f>
        <v/>
      </c>
      <c r="E31" s="18" t="str">
        <f aca="false">IF(A31="","",SUMIFS('PERGERAKAN STOK'!$F$5:$F$504,'PERGERAKAN STOK'!$C$5:$C$504,A31,'PERGERAKAN STOK'!$E$5:$E$504,"Pemakaian",'PERGERAKAN STOK'!$K$5:$K$504,"Disetujui"))</f>
        <v/>
      </c>
      <c r="F31" s="18" t="str">
        <f aca="false">IF(A31="","",SUMIFS('PERGERAKAN STOK'!$F$5:$F$504,'PERGERAKAN STOK'!$C$5:$C$504,A31,'PERGERAKAN STOK'!$E$5:$E$504,"Waste",'PERGERAKAN STOK'!$K$5:$K$504,"Disetujui"))</f>
        <v/>
      </c>
      <c r="G31" s="18" t="str">
        <f aca="false">IF(A31="","",SUMIFS('PERGERAKAN STOK'!$F$5:$F$504,'PERGERAKAN STOK'!$C$5:$C$504,A31,'PERGERAKAN STOK'!$E$5:$E$504,"Penyesuaian",'PERGERAKAN STOK'!$K$5:$K$504,"Disetujui"))</f>
        <v/>
      </c>
      <c r="H31" s="18" t="str">
        <f aca="false">IF(A31="","",C31+D31-E31-F31+G31-L31)</f>
        <v/>
      </c>
      <c r="I31" s="18" t="str">
        <f aca="false">IF(A31="","",'MASTER BAHAN'!F31)</f>
        <v/>
      </c>
      <c r="J31" s="18" t="str">
        <f aca="false">IF(A31="","",IF(H31&lt;=0,"Habis",IF(H31&lt;=I31,"Menipis","Aman")))</f>
        <v/>
      </c>
      <c r="K31" s="19" t="str">
        <f aca="false">IF(A31="","",IF(NOT(ISNUMBER('MASTER BAHAN'!I31)),"BELUM LENGKAP",ROUND(H31*'MASTER BAHAN'!I31,0)))</f>
        <v/>
      </c>
      <c r="L31" s="18" t="str">
        <f aca="false">IF(A31="","",SUMIFS('PERGERAKAN STOK'!$F$5:$F$504,'PERGERAKAN STOK'!$C$5:$C$504,A31,'PERGERAKAN STOK'!$E$5:$E$504,"Retur",'PERGERAKAN STOK'!$K$5:$K$504,"Disetujui"))</f>
        <v/>
      </c>
    </row>
    <row r="32" customFormat="false" ht="27" hidden="false" customHeight="true" outlineLevel="0" collapsed="false">
      <c r="A32" s="25" t="str">
        <f aca="false">IF('MASTER BAHAN'!A32="","",'MASTER BAHAN'!A32)</f>
        <v/>
      </c>
      <c r="B32" s="18" t="str">
        <f aca="false">IF(A32="","",'MASTER BAHAN'!B32)</f>
        <v/>
      </c>
      <c r="C32" s="18" t="str">
        <f aca="false">IF(A32="","",'MASTER BAHAN'!E32)</f>
        <v/>
      </c>
      <c r="D32" s="18" t="str">
        <f aca="false">IF(A32="","",SUMIFS('STOK MASUK'!$G$5:$G$504,'STOK MASUK'!$E$5:$E$504,A32))</f>
        <v/>
      </c>
      <c r="E32" s="18" t="str">
        <f aca="false">IF(A32="","",SUMIFS('PERGERAKAN STOK'!$F$5:$F$504,'PERGERAKAN STOK'!$C$5:$C$504,A32,'PERGERAKAN STOK'!$E$5:$E$504,"Pemakaian",'PERGERAKAN STOK'!$K$5:$K$504,"Disetujui"))</f>
        <v/>
      </c>
      <c r="F32" s="18" t="str">
        <f aca="false">IF(A32="","",SUMIFS('PERGERAKAN STOK'!$F$5:$F$504,'PERGERAKAN STOK'!$C$5:$C$504,A32,'PERGERAKAN STOK'!$E$5:$E$504,"Waste",'PERGERAKAN STOK'!$K$5:$K$504,"Disetujui"))</f>
        <v/>
      </c>
      <c r="G32" s="18" t="str">
        <f aca="false">IF(A32="","",SUMIFS('PERGERAKAN STOK'!$F$5:$F$504,'PERGERAKAN STOK'!$C$5:$C$504,A32,'PERGERAKAN STOK'!$E$5:$E$504,"Penyesuaian",'PERGERAKAN STOK'!$K$5:$K$504,"Disetujui"))</f>
        <v/>
      </c>
      <c r="H32" s="18" t="str">
        <f aca="false">IF(A32="","",C32+D32-E32-F32+G32-L32)</f>
        <v/>
      </c>
      <c r="I32" s="18" t="str">
        <f aca="false">IF(A32="","",'MASTER BAHAN'!F32)</f>
        <v/>
      </c>
      <c r="J32" s="18" t="str">
        <f aca="false">IF(A32="","",IF(H32&lt;=0,"Habis",IF(H32&lt;=I32,"Menipis","Aman")))</f>
        <v/>
      </c>
      <c r="K32" s="19" t="str">
        <f aca="false">IF(A32="","",IF(NOT(ISNUMBER('MASTER BAHAN'!I32)),"BELUM LENGKAP",ROUND(H32*'MASTER BAHAN'!I32,0)))</f>
        <v/>
      </c>
      <c r="L32" s="18" t="str">
        <f aca="false">IF(A32="","",SUMIFS('PERGERAKAN STOK'!$F$5:$F$504,'PERGERAKAN STOK'!$C$5:$C$504,A32,'PERGERAKAN STOK'!$E$5:$E$504,"Retur",'PERGERAKAN STOK'!$K$5:$K$504,"Disetujui"))</f>
        <v/>
      </c>
    </row>
    <row r="33" customFormat="false" ht="27" hidden="false" customHeight="true" outlineLevel="0" collapsed="false">
      <c r="A33" s="25" t="str">
        <f aca="false">IF('MASTER BAHAN'!A33="","",'MASTER BAHAN'!A33)</f>
        <v/>
      </c>
      <c r="B33" s="18" t="str">
        <f aca="false">IF(A33="","",'MASTER BAHAN'!B33)</f>
        <v/>
      </c>
      <c r="C33" s="18" t="str">
        <f aca="false">IF(A33="","",'MASTER BAHAN'!E33)</f>
        <v/>
      </c>
      <c r="D33" s="18" t="str">
        <f aca="false">IF(A33="","",SUMIFS('STOK MASUK'!$G$5:$G$504,'STOK MASUK'!$E$5:$E$504,A33))</f>
        <v/>
      </c>
      <c r="E33" s="18" t="str">
        <f aca="false">IF(A33="","",SUMIFS('PERGERAKAN STOK'!$F$5:$F$504,'PERGERAKAN STOK'!$C$5:$C$504,A33,'PERGERAKAN STOK'!$E$5:$E$504,"Pemakaian",'PERGERAKAN STOK'!$K$5:$K$504,"Disetujui"))</f>
        <v/>
      </c>
      <c r="F33" s="18" t="str">
        <f aca="false">IF(A33="","",SUMIFS('PERGERAKAN STOK'!$F$5:$F$504,'PERGERAKAN STOK'!$C$5:$C$504,A33,'PERGERAKAN STOK'!$E$5:$E$504,"Waste",'PERGERAKAN STOK'!$K$5:$K$504,"Disetujui"))</f>
        <v/>
      </c>
      <c r="G33" s="18" t="str">
        <f aca="false">IF(A33="","",SUMIFS('PERGERAKAN STOK'!$F$5:$F$504,'PERGERAKAN STOK'!$C$5:$C$504,A33,'PERGERAKAN STOK'!$E$5:$E$504,"Penyesuaian",'PERGERAKAN STOK'!$K$5:$K$504,"Disetujui"))</f>
        <v/>
      </c>
      <c r="H33" s="18" t="str">
        <f aca="false">IF(A33="","",C33+D33-E33-F33+G33-L33)</f>
        <v/>
      </c>
      <c r="I33" s="18" t="str">
        <f aca="false">IF(A33="","",'MASTER BAHAN'!F33)</f>
        <v/>
      </c>
      <c r="J33" s="18" t="str">
        <f aca="false">IF(A33="","",IF(H33&lt;=0,"Habis",IF(H33&lt;=I33,"Menipis","Aman")))</f>
        <v/>
      </c>
      <c r="K33" s="19" t="str">
        <f aca="false">IF(A33="","",IF(NOT(ISNUMBER('MASTER BAHAN'!I33)),"BELUM LENGKAP",ROUND(H33*'MASTER BAHAN'!I33,0)))</f>
        <v/>
      </c>
      <c r="L33" s="18" t="str">
        <f aca="false">IF(A33="","",SUMIFS('PERGERAKAN STOK'!$F$5:$F$504,'PERGERAKAN STOK'!$C$5:$C$504,A33,'PERGERAKAN STOK'!$E$5:$E$504,"Retur",'PERGERAKAN STOK'!$K$5:$K$504,"Disetujui"))</f>
        <v/>
      </c>
    </row>
    <row r="34" customFormat="false" ht="27" hidden="false" customHeight="true" outlineLevel="0" collapsed="false">
      <c r="A34" s="25" t="str">
        <f aca="false">IF('MASTER BAHAN'!A34="","",'MASTER BAHAN'!A34)</f>
        <v/>
      </c>
      <c r="B34" s="18" t="str">
        <f aca="false">IF(A34="","",'MASTER BAHAN'!B34)</f>
        <v/>
      </c>
      <c r="C34" s="18" t="str">
        <f aca="false">IF(A34="","",'MASTER BAHAN'!E34)</f>
        <v/>
      </c>
      <c r="D34" s="18" t="str">
        <f aca="false">IF(A34="","",SUMIFS('STOK MASUK'!$G$5:$G$504,'STOK MASUK'!$E$5:$E$504,A34))</f>
        <v/>
      </c>
      <c r="E34" s="18" t="str">
        <f aca="false">IF(A34="","",SUMIFS('PERGERAKAN STOK'!$F$5:$F$504,'PERGERAKAN STOK'!$C$5:$C$504,A34,'PERGERAKAN STOK'!$E$5:$E$504,"Pemakaian",'PERGERAKAN STOK'!$K$5:$K$504,"Disetujui"))</f>
        <v/>
      </c>
      <c r="F34" s="18" t="str">
        <f aca="false">IF(A34="","",SUMIFS('PERGERAKAN STOK'!$F$5:$F$504,'PERGERAKAN STOK'!$C$5:$C$504,A34,'PERGERAKAN STOK'!$E$5:$E$504,"Waste",'PERGERAKAN STOK'!$K$5:$K$504,"Disetujui"))</f>
        <v/>
      </c>
      <c r="G34" s="18" t="str">
        <f aca="false">IF(A34="","",SUMIFS('PERGERAKAN STOK'!$F$5:$F$504,'PERGERAKAN STOK'!$C$5:$C$504,A34,'PERGERAKAN STOK'!$E$5:$E$504,"Penyesuaian",'PERGERAKAN STOK'!$K$5:$K$504,"Disetujui"))</f>
        <v/>
      </c>
      <c r="H34" s="18" t="str">
        <f aca="false">IF(A34="","",C34+D34-E34-F34+G34-L34)</f>
        <v/>
      </c>
      <c r="I34" s="18" t="str">
        <f aca="false">IF(A34="","",'MASTER BAHAN'!F34)</f>
        <v/>
      </c>
      <c r="J34" s="18" t="str">
        <f aca="false">IF(A34="","",IF(H34&lt;=0,"Habis",IF(H34&lt;=I34,"Menipis","Aman")))</f>
        <v/>
      </c>
      <c r="K34" s="19" t="str">
        <f aca="false">IF(A34="","",IF(NOT(ISNUMBER('MASTER BAHAN'!I34)),"BELUM LENGKAP",ROUND(H34*'MASTER BAHAN'!I34,0)))</f>
        <v/>
      </c>
      <c r="L34" s="18" t="str">
        <f aca="false">IF(A34="","",SUMIFS('PERGERAKAN STOK'!$F$5:$F$504,'PERGERAKAN STOK'!$C$5:$C$504,A34,'PERGERAKAN STOK'!$E$5:$E$504,"Retur",'PERGERAKAN STOK'!$K$5:$K$504,"Disetujui"))</f>
        <v/>
      </c>
    </row>
    <row r="35" customFormat="false" ht="27" hidden="false" customHeight="true" outlineLevel="0" collapsed="false">
      <c r="A35" s="25" t="str">
        <f aca="false">IF('MASTER BAHAN'!A35="","",'MASTER BAHAN'!A35)</f>
        <v/>
      </c>
      <c r="B35" s="18" t="str">
        <f aca="false">IF(A35="","",'MASTER BAHAN'!B35)</f>
        <v/>
      </c>
      <c r="C35" s="18" t="str">
        <f aca="false">IF(A35="","",'MASTER BAHAN'!E35)</f>
        <v/>
      </c>
      <c r="D35" s="18" t="str">
        <f aca="false">IF(A35="","",SUMIFS('STOK MASUK'!$G$5:$G$504,'STOK MASUK'!$E$5:$E$504,A35))</f>
        <v/>
      </c>
      <c r="E35" s="18" t="str">
        <f aca="false">IF(A35="","",SUMIFS('PERGERAKAN STOK'!$F$5:$F$504,'PERGERAKAN STOK'!$C$5:$C$504,A35,'PERGERAKAN STOK'!$E$5:$E$504,"Pemakaian",'PERGERAKAN STOK'!$K$5:$K$504,"Disetujui"))</f>
        <v/>
      </c>
      <c r="F35" s="18" t="str">
        <f aca="false">IF(A35="","",SUMIFS('PERGERAKAN STOK'!$F$5:$F$504,'PERGERAKAN STOK'!$C$5:$C$504,A35,'PERGERAKAN STOK'!$E$5:$E$504,"Waste",'PERGERAKAN STOK'!$K$5:$K$504,"Disetujui"))</f>
        <v/>
      </c>
      <c r="G35" s="18" t="str">
        <f aca="false">IF(A35="","",SUMIFS('PERGERAKAN STOK'!$F$5:$F$504,'PERGERAKAN STOK'!$C$5:$C$504,A35,'PERGERAKAN STOK'!$E$5:$E$504,"Penyesuaian",'PERGERAKAN STOK'!$K$5:$K$504,"Disetujui"))</f>
        <v/>
      </c>
      <c r="H35" s="18" t="str">
        <f aca="false">IF(A35="","",C35+D35-E35-F35+G35-L35)</f>
        <v/>
      </c>
      <c r="I35" s="18" t="str">
        <f aca="false">IF(A35="","",'MASTER BAHAN'!F35)</f>
        <v/>
      </c>
      <c r="J35" s="18" t="str">
        <f aca="false">IF(A35="","",IF(H35&lt;=0,"Habis",IF(H35&lt;=I35,"Menipis","Aman")))</f>
        <v/>
      </c>
      <c r="K35" s="19" t="str">
        <f aca="false">IF(A35="","",IF(NOT(ISNUMBER('MASTER BAHAN'!I35)),"BELUM LENGKAP",ROUND(H35*'MASTER BAHAN'!I35,0)))</f>
        <v/>
      </c>
      <c r="L35" s="18" t="str">
        <f aca="false">IF(A35="","",SUMIFS('PERGERAKAN STOK'!$F$5:$F$504,'PERGERAKAN STOK'!$C$5:$C$504,A35,'PERGERAKAN STOK'!$E$5:$E$504,"Retur",'PERGERAKAN STOK'!$K$5:$K$504,"Disetujui"))</f>
        <v/>
      </c>
    </row>
    <row r="36" customFormat="false" ht="27" hidden="false" customHeight="true" outlineLevel="0" collapsed="false">
      <c r="A36" s="25" t="str">
        <f aca="false">IF('MASTER BAHAN'!A36="","",'MASTER BAHAN'!A36)</f>
        <v/>
      </c>
      <c r="B36" s="18" t="str">
        <f aca="false">IF(A36="","",'MASTER BAHAN'!B36)</f>
        <v/>
      </c>
      <c r="C36" s="18" t="str">
        <f aca="false">IF(A36="","",'MASTER BAHAN'!E36)</f>
        <v/>
      </c>
      <c r="D36" s="18" t="str">
        <f aca="false">IF(A36="","",SUMIFS('STOK MASUK'!$G$5:$G$504,'STOK MASUK'!$E$5:$E$504,A36))</f>
        <v/>
      </c>
      <c r="E36" s="18" t="str">
        <f aca="false">IF(A36="","",SUMIFS('PERGERAKAN STOK'!$F$5:$F$504,'PERGERAKAN STOK'!$C$5:$C$504,A36,'PERGERAKAN STOK'!$E$5:$E$504,"Pemakaian",'PERGERAKAN STOK'!$K$5:$K$504,"Disetujui"))</f>
        <v/>
      </c>
      <c r="F36" s="18" t="str">
        <f aca="false">IF(A36="","",SUMIFS('PERGERAKAN STOK'!$F$5:$F$504,'PERGERAKAN STOK'!$C$5:$C$504,A36,'PERGERAKAN STOK'!$E$5:$E$504,"Waste",'PERGERAKAN STOK'!$K$5:$K$504,"Disetujui"))</f>
        <v/>
      </c>
      <c r="G36" s="18" t="str">
        <f aca="false">IF(A36="","",SUMIFS('PERGERAKAN STOK'!$F$5:$F$504,'PERGERAKAN STOK'!$C$5:$C$504,A36,'PERGERAKAN STOK'!$E$5:$E$504,"Penyesuaian",'PERGERAKAN STOK'!$K$5:$K$504,"Disetujui"))</f>
        <v/>
      </c>
      <c r="H36" s="18" t="str">
        <f aca="false">IF(A36="","",C36+D36-E36-F36+G36-L36)</f>
        <v/>
      </c>
      <c r="I36" s="18" t="str">
        <f aca="false">IF(A36="","",'MASTER BAHAN'!F36)</f>
        <v/>
      </c>
      <c r="J36" s="18" t="str">
        <f aca="false">IF(A36="","",IF(H36&lt;=0,"Habis",IF(H36&lt;=I36,"Menipis","Aman")))</f>
        <v/>
      </c>
      <c r="K36" s="19" t="str">
        <f aca="false">IF(A36="","",IF(NOT(ISNUMBER('MASTER BAHAN'!I36)),"BELUM LENGKAP",ROUND(H36*'MASTER BAHAN'!I36,0)))</f>
        <v/>
      </c>
      <c r="L36" s="18" t="str">
        <f aca="false">IF(A36="","",SUMIFS('PERGERAKAN STOK'!$F$5:$F$504,'PERGERAKAN STOK'!$C$5:$C$504,A36,'PERGERAKAN STOK'!$E$5:$E$504,"Retur",'PERGERAKAN STOK'!$K$5:$K$504,"Disetujui"))</f>
        <v/>
      </c>
    </row>
    <row r="37" customFormat="false" ht="27" hidden="false" customHeight="true" outlineLevel="0" collapsed="false">
      <c r="A37" s="25" t="str">
        <f aca="false">IF('MASTER BAHAN'!A37="","",'MASTER BAHAN'!A37)</f>
        <v/>
      </c>
      <c r="B37" s="18" t="str">
        <f aca="false">IF(A37="","",'MASTER BAHAN'!B37)</f>
        <v/>
      </c>
      <c r="C37" s="18" t="str">
        <f aca="false">IF(A37="","",'MASTER BAHAN'!E37)</f>
        <v/>
      </c>
      <c r="D37" s="18" t="str">
        <f aca="false">IF(A37="","",SUMIFS('STOK MASUK'!$G$5:$G$504,'STOK MASUK'!$E$5:$E$504,A37))</f>
        <v/>
      </c>
      <c r="E37" s="18" t="str">
        <f aca="false">IF(A37="","",SUMIFS('PERGERAKAN STOK'!$F$5:$F$504,'PERGERAKAN STOK'!$C$5:$C$504,A37,'PERGERAKAN STOK'!$E$5:$E$504,"Pemakaian",'PERGERAKAN STOK'!$K$5:$K$504,"Disetujui"))</f>
        <v/>
      </c>
      <c r="F37" s="18" t="str">
        <f aca="false">IF(A37="","",SUMIFS('PERGERAKAN STOK'!$F$5:$F$504,'PERGERAKAN STOK'!$C$5:$C$504,A37,'PERGERAKAN STOK'!$E$5:$E$504,"Waste",'PERGERAKAN STOK'!$K$5:$K$504,"Disetujui"))</f>
        <v/>
      </c>
      <c r="G37" s="18" t="str">
        <f aca="false">IF(A37="","",SUMIFS('PERGERAKAN STOK'!$F$5:$F$504,'PERGERAKAN STOK'!$C$5:$C$504,A37,'PERGERAKAN STOK'!$E$5:$E$504,"Penyesuaian",'PERGERAKAN STOK'!$K$5:$K$504,"Disetujui"))</f>
        <v/>
      </c>
      <c r="H37" s="18" t="str">
        <f aca="false">IF(A37="","",C37+D37-E37-F37+G37-L37)</f>
        <v/>
      </c>
      <c r="I37" s="18" t="str">
        <f aca="false">IF(A37="","",'MASTER BAHAN'!F37)</f>
        <v/>
      </c>
      <c r="J37" s="18" t="str">
        <f aca="false">IF(A37="","",IF(H37&lt;=0,"Habis",IF(H37&lt;=I37,"Menipis","Aman")))</f>
        <v/>
      </c>
      <c r="K37" s="19" t="str">
        <f aca="false">IF(A37="","",IF(NOT(ISNUMBER('MASTER BAHAN'!I37)),"BELUM LENGKAP",ROUND(H37*'MASTER BAHAN'!I37,0)))</f>
        <v/>
      </c>
      <c r="L37" s="18" t="str">
        <f aca="false">IF(A37="","",SUMIFS('PERGERAKAN STOK'!$F$5:$F$504,'PERGERAKAN STOK'!$C$5:$C$504,A37,'PERGERAKAN STOK'!$E$5:$E$504,"Retur",'PERGERAKAN STOK'!$K$5:$K$504,"Disetujui"))</f>
        <v/>
      </c>
    </row>
    <row r="38" customFormat="false" ht="27" hidden="false" customHeight="true" outlineLevel="0" collapsed="false">
      <c r="A38" s="25" t="str">
        <f aca="false">IF('MASTER BAHAN'!A38="","",'MASTER BAHAN'!A38)</f>
        <v/>
      </c>
      <c r="B38" s="18" t="str">
        <f aca="false">IF(A38="","",'MASTER BAHAN'!B38)</f>
        <v/>
      </c>
      <c r="C38" s="18" t="str">
        <f aca="false">IF(A38="","",'MASTER BAHAN'!E38)</f>
        <v/>
      </c>
      <c r="D38" s="18" t="str">
        <f aca="false">IF(A38="","",SUMIFS('STOK MASUK'!$G$5:$G$504,'STOK MASUK'!$E$5:$E$504,A38))</f>
        <v/>
      </c>
      <c r="E38" s="18" t="str">
        <f aca="false">IF(A38="","",SUMIFS('PERGERAKAN STOK'!$F$5:$F$504,'PERGERAKAN STOK'!$C$5:$C$504,A38,'PERGERAKAN STOK'!$E$5:$E$504,"Pemakaian",'PERGERAKAN STOK'!$K$5:$K$504,"Disetujui"))</f>
        <v/>
      </c>
      <c r="F38" s="18" t="str">
        <f aca="false">IF(A38="","",SUMIFS('PERGERAKAN STOK'!$F$5:$F$504,'PERGERAKAN STOK'!$C$5:$C$504,A38,'PERGERAKAN STOK'!$E$5:$E$504,"Waste",'PERGERAKAN STOK'!$K$5:$K$504,"Disetujui"))</f>
        <v/>
      </c>
      <c r="G38" s="18" t="str">
        <f aca="false">IF(A38="","",SUMIFS('PERGERAKAN STOK'!$F$5:$F$504,'PERGERAKAN STOK'!$C$5:$C$504,A38,'PERGERAKAN STOK'!$E$5:$E$504,"Penyesuaian",'PERGERAKAN STOK'!$K$5:$K$504,"Disetujui"))</f>
        <v/>
      </c>
      <c r="H38" s="18" t="str">
        <f aca="false">IF(A38="","",C38+D38-E38-F38+G38-L38)</f>
        <v/>
      </c>
      <c r="I38" s="18" t="str">
        <f aca="false">IF(A38="","",'MASTER BAHAN'!F38)</f>
        <v/>
      </c>
      <c r="J38" s="18" t="str">
        <f aca="false">IF(A38="","",IF(H38&lt;=0,"Habis",IF(H38&lt;=I38,"Menipis","Aman")))</f>
        <v/>
      </c>
      <c r="K38" s="19" t="str">
        <f aca="false">IF(A38="","",IF(NOT(ISNUMBER('MASTER BAHAN'!I38)),"BELUM LENGKAP",ROUND(H38*'MASTER BAHAN'!I38,0)))</f>
        <v/>
      </c>
      <c r="L38" s="18" t="str">
        <f aca="false">IF(A38="","",SUMIFS('PERGERAKAN STOK'!$F$5:$F$504,'PERGERAKAN STOK'!$C$5:$C$504,A38,'PERGERAKAN STOK'!$E$5:$E$504,"Retur",'PERGERAKAN STOK'!$K$5:$K$504,"Disetujui"))</f>
        <v/>
      </c>
    </row>
    <row r="39" customFormat="false" ht="27" hidden="false" customHeight="true" outlineLevel="0" collapsed="false">
      <c r="A39" s="25" t="str">
        <f aca="false">IF('MASTER BAHAN'!A39="","",'MASTER BAHAN'!A39)</f>
        <v/>
      </c>
      <c r="B39" s="18" t="str">
        <f aca="false">IF(A39="","",'MASTER BAHAN'!B39)</f>
        <v/>
      </c>
      <c r="C39" s="18" t="str">
        <f aca="false">IF(A39="","",'MASTER BAHAN'!E39)</f>
        <v/>
      </c>
      <c r="D39" s="18" t="str">
        <f aca="false">IF(A39="","",SUMIFS('STOK MASUK'!$G$5:$G$504,'STOK MASUK'!$E$5:$E$504,A39))</f>
        <v/>
      </c>
      <c r="E39" s="18" t="str">
        <f aca="false">IF(A39="","",SUMIFS('PERGERAKAN STOK'!$F$5:$F$504,'PERGERAKAN STOK'!$C$5:$C$504,A39,'PERGERAKAN STOK'!$E$5:$E$504,"Pemakaian",'PERGERAKAN STOK'!$K$5:$K$504,"Disetujui"))</f>
        <v/>
      </c>
      <c r="F39" s="18" t="str">
        <f aca="false">IF(A39="","",SUMIFS('PERGERAKAN STOK'!$F$5:$F$504,'PERGERAKAN STOK'!$C$5:$C$504,A39,'PERGERAKAN STOK'!$E$5:$E$504,"Waste",'PERGERAKAN STOK'!$K$5:$K$504,"Disetujui"))</f>
        <v/>
      </c>
      <c r="G39" s="18" t="str">
        <f aca="false">IF(A39="","",SUMIFS('PERGERAKAN STOK'!$F$5:$F$504,'PERGERAKAN STOK'!$C$5:$C$504,A39,'PERGERAKAN STOK'!$E$5:$E$504,"Penyesuaian",'PERGERAKAN STOK'!$K$5:$K$504,"Disetujui"))</f>
        <v/>
      </c>
      <c r="H39" s="18" t="str">
        <f aca="false">IF(A39="","",C39+D39-E39-F39+G39-L39)</f>
        <v/>
      </c>
      <c r="I39" s="18" t="str">
        <f aca="false">IF(A39="","",'MASTER BAHAN'!F39)</f>
        <v/>
      </c>
      <c r="J39" s="18" t="str">
        <f aca="false">IF(A39="","",IF(H39&lt;=0,"Habis",IF(H39&lt;=I39,"Menipis","Aman")))</f>
        <v/>
      </c>
      <c r="K39" s="19" t="str">
        <f aca="false">IF(A39="","",IF(NOT(ISNUMBER('MASTER BAHAN'!I39)),"BELUM LENGKAP",ROUND(H39*'MASTER BAHAN'!I39,0)))</f>
        <v/>
      </c>
      <c r="L39" s="18" t="str">
        <f aca="false">IF(A39="","",SUMIFS('PERGERAKAN STOK'!$F$5:$F$504,'PERGERAKAN STOK'!$C$5:$C$504,A39,'PERGERAKAN STOK'!$E$5:$E$504,"Retur",'PERGERAKAN STOK'!$K$5:$K$504,"Disetujui"))</f>
        <v/>
      </c>
    </row>
    <row r="40" customFormat="false" ht="27" hidden="false" customHeight="true" outlineLevel="0" collapsed="false">
      <c r="A40" s="25" t="str">
        <f aca="false">IF('MASTER BAHAN'!A40="","",'MASTER BAHAN'!A40)</f>
        <v/>
      </c>
      <c r="B40" s="18" t="str">
        <f aca="false">IF(A40="","",'MASTER BAHAN'!B40)</f>
        <v/>
      </c>
      <c r="C40" s="18" t="str">
        <f aca="false">IF(A40="","",'MASTER BAHAN'!E40)</f>
        <v/>
      </c>
      <c r="D40" s="18" t="str">
        <f aca="false">IF(A40="","",SUMIFS('STOK MASUK'!$G$5:$G$504,'STOK MASUK'!$E$5:$E$504,A40))</f>
        <v/>
      </c>
      <c r="E40" s="18" t="str">
        <f aca="false">IF(A40="","",SUMIFS('PERGERAKAN STOK'!$F$5:$F$504,'PERGERAKAN STOK'!$C$5:$C$504,A40,'PERGERAKAN STOK'!$E$5:$E$504,"Pemakaian",'PERGERAKAN STOK'!$K$5:$K$504,"Disetujui"))</f>
        <v/>
      </c>
      <c r="F40" s="18" t="str">
        <f aca="false">IF(A40="","",SUMIFS('PERGERAKAN STOK'!$F$5:$F$504,'PERGERAKAN STOK'!$C$5:$C$504,A40,'PERGERAKAN STOK'!$E$5:$E$504,"Waste",'PERGERAKAN STOK'!$K$5:$K$504,"Disetujui"))</f>
        <v/>
      </c>
      <c r="G40" s="18" t="str">
        <f aca="false">IF(A40="","",SUMIFS('PERGERAKAN STOK'!$F$5:$F$504,'PERGERAKAN STOK'!$C$5:$C$504,A40,'PERGERAKAN STOK'!$E$5:$E$504,"Penyesuaian",'PERGERAKAN STOK'!$K$5:$K$504,"Disetujui"))</f>
        <v/>
      </c>
      <c r="H40" s="18" t="str">
        <f aca="false">IF(A40="","",C40+D40-E40-F40+G40-L40)</f>
        <v/>
      </c>
      <c r="I40" s="18" t="str">
        <f aca="false">IF(A40="","",'MASTER BAHAN'!F40)</f>
        <v/>
      </c>
      <c r="J40" s="18" t="str">
        <f aca="false">IF(A40="","",IF(H40&lt;=0,"Habis",IF(H40&lt;=I40,"Menipis","Aman")))</f>
        <v/>
      </c>
      <c r="K40" s="19" t="str">
        <f aca="false">IF(A40="","",IF(NOT(ISNUMBER('MASTER BAHAN'!I40)),"BELUM LENGKAP",ROUND(H40*'MASTER BAHAN'!I40,0)))</f>
        <v/>
      </c>
      <c r="L40" s="18" t="str">
        <f aca="false">IF(A40="","",SUMIFS('PERGERAKAN STOK'!$F$5:$F$504,'PERGERAKAN STOK'!$C$5:$C$504,A40,'PERGERAKAN STOK'!$E$5:$E$504,"Retur",'PERGERAKAN STOK'!$K$5:$K$504,"Disetujui"))</f>
        <v/>
      </c>
    </row>
    <row r="41" customFormat="false" ht="27" hidden="false" customHeight="true" outlineLevel="0" collapsed="false">
      <c r="A41" s="25" t="str">
        <f aca="false">IF('MASTER BAHAN'!A41="","",'MASTER BAHAN'!A41)</f>
        <v/>
      </c>
      <c r="B41" s="18" t="str">
        <f aca="false">IF(A41="","",'MASTER BAHAN'!B41)</f>
        <v/>
      </c>
      <c r="C41" s="18" t="str">
        <f aca="false">IF(A41="","",'MASTER BAHAN'!E41)</f>
        <v/>
      </c>
      <c r="D41" s="18" t="str">
        <f aca="false">IF(A41="","",SUMIFS('STOK MASUK'!$G$5:$G$504,'STOK MASUK'!$E$5:$E$504,A41))</f>
        <v/>
      </c>
      <c r="E41" s="18" t="str">
        <f aca="false">IF(A41="","",SUMIFS('PERGERAKAN STOK'!$F$5:$F$504,'PERGERAKAN STOK'!$C$5:$C$504,A41,'PERGERAKAN STOK'!$E$5:$E$504,"Pemakaian",'PERGERAKAN STOK'!$K$5:$K$504,"Disetujui"))</f>
        <v/>
      </c>
      <c r="F41" s="18" t="str">
        <f aca="false">IF(A41="","",SUMIFS('PERGERAKAN STOK'!$F$5:$F$504,'PERGERAKAN STOK'!$C$5:$C$504,A41,'PERGERAKAN STOK'!$E$5:$E$504,"Waste",'PERGERAKAN STOK'!$K$5:$K$504,"Disetujui"))</f>
        <v/>
      </c>
      <c r="G41" s="18" t="str">
        <f aca="false">IF(A41="","",SUMIFS('PERGERAKAN STOK'!$F$5:$F$504,'PERGERAKAN STOK'!$C$5:$C$504,A41,'PERGERAKAN STOK'!$E$5:$E$504,"Penyesuaian",'PERGERAKAN STOK'!$K$5:$K$504,"Disetujui"))</f>
        <v/>
      </c>
      <c r="H41" s="18" t="str">
        <f aca="false">IF(A41="","",C41+D41-E41-F41+G41-L41)</f>
        <v/>
      </c>
      <c r="I41" s="18" t="str">
        <f aca="false">IF(A41="","",'MASTER BAHAN'!F41)</f>
        <v/>
      </c>
      <c r="J41" s="18" t="str">
        <f aca="false">IF(A41="","",IF(H41&lt;=0,"Habis",IF(H41&lt;=I41,"Menipis","Aman")))</f>
        <v/>
      </c>
      <c r="K41" s="19" t="str">
        <f aca="false">IF(A41="","",IF(NOT(ISNUMBER('MASTER BAHAN'!I41)),"BELUM LENGKAP",ROUND(H41*'MASTER BAHAN'!I41,0)))</f>
        <v/>
      </c>
      <c r="L41" s="18" t="str">
        <f aca="false">IF(A41="","",SUMIFS('PERGERAKAN STOK'!$F$5:$F$504,'PERGERAKAN STOK'!$C$5:$C$504,A41,'PERGERAKAN STOK'!$E$5:$E$504,"Retur",'PERGERAKAN STOK'!$K$5:$K$504,"Disetujui"))</f>
        <v/>
      </c>
    </row>
    <row r="42" customFormat="false" ht="27" hidden="false" customHeight="true" outlineLevel="0" collapsed="false">
      <c r="A42" s="25" t="str">
        <f aca="false">IF('MASTER BAHAN'!A42="","",'MASTER BAHAN'!A42)</f>
        <v/>
      </c>
      <c r="B42" s="18" t="str">
        <f aca="false">IF(A42="","",'MASTER BAHAN'!B42)</f>
        <v/>
      </c>
      <c r="C42" s="18" t="str">
        <f aca="false">IF(A42="","",'MASTER BAHAN'!E42)</f>
        <v/>
      </c>
      <c r="D42" s="18" t="str">
        <f aca="false">IF(A42="","",SUMIFS('STOK MASUK'!$G$5:$G$504,'STOK MASUK'!$E$5:$E$504,A42))</f>
        <v/>
      </c>
      <c r="E42" s="18" t="str">
        <f aca="false">IF(A42="","",SUMIFS('PERGERAKAN STOK'!$F$5:$F$504,'PERGERAKAN STOK'!$C$5:$C$504,A42,'PERGERAKAN STOK'!$E$5:$E$504,"Pemakaian",'PERGERAKAN STOK'!$K$5:$K$504,"Disetujui"))</f>
        <v/>
      </c>
      <c r="F42" s="18" t="str">
        <f aca="false">IF(A42="","",SUMIFS('PERGERAKAN STOK'!$F$5:$F$504,'PERGERAKAN STOK'!$C$5:$C$504,A42,'PERGERAKAN STOK'!$E$5:$E$504,"Waste",'PERGERAKAN STOK'!$K$5:$K$504,"Disetujui"))</f>
        <v/>
      </c>
      <c r="G42" s="18" t="str">
        <f aca="false">IF(A42="","",SUMIFS('PERGERAKAN STOK'!$F$5:$F$504,'PERGERAKAN STOK'!$C$5:$C$504,A42,'PERGERAKAN STOK'!$E$5:$E$504,"Penyesuaian",'PERGERAKAN STOK'!$K$5:$K$504,"Disetujui"))</f>
        <v/>
      </c>
      <c r="H42" s="18" t="str">
        <f aca="false">IF(A42="","",C42+D42-E42-F42+G42-L42)</f>
        <v/>
      </c>
      <c r="I42" s="18" t="str">
        <f aca="false">IF(A42="","",'MASTER BAHAN'!F42)</f>
        <v/>
      </c>
      <c r="J42" s="18" t="str">
        <f aca="false">IF(A42="","",IF(H42&lt;=0,"Habis",IF(H42&lt;=I42,"Menipis","Aman")))</f>
        <v/>
      </c>
      <c r="K42" s="19" t="str">
        <f aca="false">IF(A42="","",IF(NOT(ISNUMBER('MASTER BAHAN'!I42)),"BELUM LENGKAP",ROUND(H42*'MASTER BAHAN'!I42,0)))</f>
        <v/>
      </c>
      <c r="L42" s="18" t="str">
        <f aca="false">IF(A42="","",SUMIFS('PERGERAKAN STOK'!$F$5:$F$504,'PERGERAKAN STOK'!$C$5:$C$504,A42,'PERGERAKAN STOK'!$E$5:$E$504,"Retur",'PERGERAKAN STOK'!$K$5:$K$504,"Disetujui"))</f>
        <v/>
      </c>
    </row>
    <row r="43" customFormat="false" ht="27" hidden="false" customHeight="true" outlineLevel="0" collapsed="false">
      <c r="A43" s="25" t="str">
        <f aca="false">IF('MASTER BAHAN'!A43="","",'MASTER BAHAN'!A43)</f>
        <v/>
      </c>
      <c r="B43" s="18" t="str">
        <f aca="false">IF(A43="","",'MASTER BAHAN'!B43)</f>
        <v/>
      </c>
      <c r="C43" s="18" t="str">
        <f aca="false">IF(A43="","",'MASTER BAHAN'!E43)</f>
        <v/>
      </c>
      <c r="D43" s="18" t="str">
        <f aca="false">IF(A43="","",SUMIFS('STOK MASUK'!$G$5:$G$504,'STOK MASUK'!$E$5:$E$504,A43))</f>
        <v/>
      </c>
      <c r="E43" s="18" t="str">
        <f aca="false">IF(A43="","",SUMIFS('PERGERAKAN STOK'!$F$5:$F$504,'PERGERAKAN STOK'!$C$5:$C$504,A43,'PERGERAKAN STOK'!$E$5:$E$504,"Pemakaian",'PERGERAKAN STOK'!$K$5:$K$504,"Disetujui"))</f>
        <v/>
      </c>
      <c r="F43" s="18" t="str">
        <f aca="false">IF(A43="","",SUMIFS('PERGERAKAN STOK'!$F$5:$F$504,'PERGERAKAN STOK'!$C$5:$C$504,A43,'PERGERAKAN STOK'!$E$5:$E$504,"Waste",'PERGERAKAN STOK'!$K$5:$K$504,"Disetujui"))</f>
        <v/>
      </c>
      <c r="G43" s="18" t="str">
        <f aca="false">IF(A43="","",SUMIFS('PERGERAKAN STOK'!$F$5:$F$504,'PERGERAKAN STOK'!$C$5:$C$504,A43,'PERGERAKAN STOK'!$E$5:$E$504,"Penyesuaian",'PERGERAKAN STOK'!$K$5:$K$504,"Disetujui"))</f>
        <v/>
      </c>
      <c r="H43" s="18" t="str">
        <f aca="false">IF(A43="","",C43+D43-E43-F43+G43-L43)</f>
        <v/>
      </c>
      <c r="I43" s="18" t="str">
        <f aca="false">IF(A43="","",'MASTER BAHAN'!F43)</f>
        <v/>
      </c>
      <c r="J43" s="18" t="str">
        <f aca="false">IF(A43="","",IF(H43&lt;=0,"Habis",IF(H43&lt;=I43,"Menipis","Aman")))</f>
        <v/>
      </c>
      <c r="K43" s="19" t="str">
        <f aca="false">IF(A43="","",IF(NOT(ISNUMBER('MASTER BAHAN'!I43)),"BELUM LENGKAP",ROUND(H43*'MASTER BAHAN'!I43,0)))</f>
        <v/>
      </c>
      <c r="L43" s="18" t="str">
        <f aca="false">IF(A43="","",SUMIFS('PERGERAKAN STOK'!$F$5:$F$504,'PERGERAKAN STOK'!$C$5:$C$504,A43,'PERGERAKAN STOK'!$E$5:$E$504,"Retur",'PERGERAKAN STOK'!$K$5:$K$504,"Disetujui"))</f>
        <v/>
      </c>
    </row>
    <row r="44" customFormat="false" ht="27" hidden="false" customHeight="true" outlineLevel="0" collapsed="false">
      <c r="A44" s="25" t="str">
        <f aca="false">IF('MASTER BAHAN'!A44="","",'MASTER BAHAN'!A44)</f>
        <v/>
      </c>
      <c r="B44" s="18" t="str">
        <f aca="false">IF(A44="","",'MASTER BAHAN'!B44)</f>
        <v/>
      </c>
      <c r="C44" s="18" t="str">
        <f aca="false">IF(A44="","",'MASTER BAHAN'!E44)</f>
        <v/>
      </c>
      <c r="D44" s="18" t="str">
        <f aca="false">IF(A44="","",SUMIFS('STOK MASUK'!$G$5:$G$504,'STOK MASUK'!$E$5:$E$504,A44))</f>
        <v/>
      </c>
      <c r="E44" s="18" t="str">
        <f aca="false">IF(A44="","",SUMIFS('PERGERAKAN STOK'!$F$5:$F$504,'PERGERAKAN STOK'!$C$5:$C$504,A44,'PERGERAKAN STOK'!$E$5:$E$504,"Pemakaian",'PERGERAKAN STOK'!$K$5:$K$504,"Disetujui"))</f>
        <v/>
      </c>
      <c r="F44" s="18" t="str">
        <f aca="false">IF(A44="","",SUMIFS('PERGERAKAN STOK'!$F$5:$F$504,'PERGERAKAN STOK'!$C$5:$C$504,A44,'PERGERAKAN STOK'!$E$5:$E$504,"Waste",'PERGERAKAN STOK'!$K$5:$K$504,"Disetujui"))</f>
        <v/>
      </c>
      <c r="G44" s="18" t="str">
        <f aca="false">IF(A44="","",SUMIFS('PERGERAKAN STOK'!$F$5:$F$504,'PERGERAKAN STOK'!$C$5:$C$504,A44,'PERGERAKAN STOK'!$E$5:$E$504,"Penyesuaian",'PERGERAKAN STOK'!$K$5:$K$504,"Disetujui"))</f>
        <v/>
      </c>
      <c r="H44" s="18" t="str">
        <f aca="false">IF(A44="","",C44+D44-E44-F44+G44-L44)</f>
        <v/>
      </c>
      <c r="I44" s="18" t="str">
        <f aca="false">IF(A44="","",'MASTER BAHAN'!F44)</f>
        <v/>
      </c>
      <c r="J44" s="18" t="str">
        <f aca="false">IF(A44="","",IF(H44&lt;=0,"Habis",IF(H44&lt;=I44,"Menipis","Aman")))</f>
        <v/>
      </c>
      <c r="K44" s="19" t="str">
        <f aca="false">IF(A44="","",IF(NOT(ISNUMBER('MASTER BAHAN'!I44)),"BELUM LENGKAP",ROUND(H44*'MASTER BAHAN'!I44,0)))</f>
        <v/>
      </c>
      <c r="L44" s="18" t="str">
        <f aca="false">IF(A44="","",SUMIFS('PERGERAKAN STOK'!$F$5:$F$504,'PERGERAKAN STOK'!$C$5:$C$504,A44,'PERGERAKAN STOK'!$E$5:$E$504,"Retur",'PERGERAKAN STOK'!$K$5:$K$504,"Disetujui"))</f>
        <v/>
      </c>
    </row>
    <row r="45" customFormat="false" ht="27" hidden="false" customHeight="true" outlineLevel="0" collapsed="false">
      <c r="A45" s="25" t="str">
        <f aca="false">IF('MASTER BAHAN'!A45="","",'MASTER BAHAN'!A45)</f>
        <v/>
      </c>
      <c r="B45" s="18" t="str">
        <f aca="false">IF(A45="","",'MASTER BAHAN'!B45)</f>
        <v/>
      </c>
      <c r="C45" s="18" t="str">
        <f aca="false">IF(A45="","",'MASTER BAHAN'!E45)</f>
        <v/>
      </c>
      <c r="D45" s="18" t="str">
        <f aca="false">IF(A45="","",SUMIFS('STOK MASUK'!$G$5:$G$504,'STOK MASUK'!$E$5:$E$504,A45))</f>
        <v/>
      </c>
      <c r="E45" s="18" t="str">
        <f aca="false">IF(A45="","",SUMIFS('PERGERAKAN STOK'!$F$5:$F$504,'PERGERAKAN STOK'!$C$5:$C$504,A45,'PERGERAKAN STOK'!$E$5:$E$504,"Pemakaian",'PERGERAKAN STOK'!$K$5:$K$504,"Disetujui"))</f>
        <v/>
      </c>
      <c r="F45" s="18" t="str">
        <f aca="false">IF(A45="","",SUMIFS('PERGERAKAN STOK'!$F$5:$F$504,'PERGERAKAN STOK'!$C$5:$C$504,A45,'PERGERAKAN STOK'!$E$5:$E$504,"Waste",'PERGERAKAN STOK'!$K$5:$K$504,"Disetujui"))</f>
        <v/>
      </c>
      <c r="G45" s="18" t="str">
        <f aca="false">IF(A45="","",SUMIFS('PERGERAKAN STOK'!$F$5:$F$504,'PERGERAKAN STOK'!$C$5:$C$504,A45,'PERGERAKAN STOK'!$E$5:$E$504,"Penyesuaian",'PERGERAKAN STOK'!$K$5:$K$504,"Disetujui"))</f>
        <v/>
      </c>
      <c r="H45" s="18" t="str">
        <f aca="false">IF(A45="","",C45+D45-E45-F45+G45-L45)</f>
        <v/>
      </c>
      <c r="I45" s="18" t="str">
        <f aca="false">IF(A45="","",'MASTER BAHAN'!F45)</f>
        <v/>
      </c>
      <c r="J45" s="18" t="str">
        <f aca="false">IF(A45="","",IF(H45&lt;=0,"Habis",IF(H45&lt;=I45,"Menipis","Aman")))</f>
        <v/>
      </c>
      <c r="K45" s="19" t="str">
        <f aca="false">IF(A45="","",IF(NOT(ISNUMBER('MASTER BAHAN'!I45)),"BELUM LENGKAP",ROUND(H45*'MASTER BAHAN'!I45,0)))</f>
        <v/>
      </c>
      <c r="L45" s="18" t="str">
        <f aca="false">IF(A45="","",SUMIFS('PERGERAKAN STOK'!$F$5:$F$504,'PERGERAKAN STOK'!$C$5:$C$504,A45,'PERGERAKAN STOK'!$E$5:$E$504,"Retur",'PERGERAKAN STOK'!$K$5:$K$504,"Disetujui"))</f>
        <v/>
      </c>
    </row>
    <row r="46" customFormat="false" ht="27" hidden="false" customHeight="true" outlineLevel="0" collapsed="false">
      <c r="A46" s="25" t="str">
        <f aca="false">IF('MASTER BAHAN'!A46="","",'MASTER BAHAN'!A46)</f>
        <v/>
      </c>
      <c r="B46" s="18" t="str">
        <f aca="false">IF(A46="","",'MASTER BAHAN'!B46)</f>
        <v/>
      </c>
      <c r="C46" s="18" t="str">
        <f aca="false">IF(A46="","",'MASTER BAHAN'!E46)</f>
        <v/>
      </c>
      <c r="D46" s="18" t="str">
        <f aca="false">IF(A46="","",SUMIFS('STOK MASUK'!$G$5:$G$504,'STOK MASUK'!$E$5:$E$504,A46))</f>
        <v/>
      </c>
      <c r="E46" s="18" t="str">
        <f aca="false">IF(A46="","",SUMIFS('PERGERAKAN STOK'!$F$5:$F$504,'PERGERAKAN STOK'!$C$5:$C$504,A46,'PERGERAKAN STOK'!$E$5:$E$504,"Pemakaian",'PERGERAKAN STOK'!$K$5:$K$504,"Disetujui"))</f>
        <v/>
      </c>
      <c r="F46" s="18" t="str">
        <f aca="false">IF(A46="","",SUMIFS('PERGERAKAN STOK'!$F$5:$F$504,'PERGERAKAN STOK'!$C$5:$C$504,A46,'PERGERAKAN STOK'!$E$5:$E$504,"Waste",'PERGERAKAN STOK'!$K$5:$K$504,"Disetujui"))</f>
        <v/>
      </c>
      <c r="G46" s="18" t="str">
        <f aca="false">IF(A46="","",SUMIFS('PERGERAKAN STOK'!$F$5:$F$504,'PERGERAKAN STOK'!$C$5:$C$504,A46,'PERGERAKAN STOK'!$E$5:$E$504,"Penyesuaian",'PERGERAKAN STOK'!$K$5:$K$504,"Disetujui"))</f>
        <v/>
      </c>
      <c r="H46" s="18" t="str">
        <f aca="false">IF(A46="","",C46+D46-E46-F46+G46-L46)</f>
        <v/>
      </c>
      <c r="I46" s="18" t="str">
        <f aca="false">IF(A46="","",'MASTER BAHAN'!F46)</f>
        <v/>
      </c>
      <c r="J46" s="18" t="str">
        <f aca="false">IF(A46="","",IF(H46&lt;=0,"Habis",IF(H46&lt;=I46,"Menipis","Aman")))</f>
        <v/>
      </c>
      <c r="K46" s="19" t="str">
        <f aca="false">IF(A46="","",IF(NOT(ISNUMBER('MASTER BAHAN'!I46)),"BELUM LENGKAP",ROUND(H46*'MASTER BAHAN'!I46,0)))</f>
        <v/>
      </c>
      <c r="L46" s="18" t="str">
        <f aca="false">IF(A46="","",SUMIFS('PERGERAKAN STOK'!$F$5:$F$504,'PERGERAKAN STOK'!$C$5:$C$504,A46,'PERGERAKAN STOK'!$E$5:$E$504,"Retur",'PERGERAKAN STOK'!$K$5:$K$504,"Disetujui"))</f>
        <v/>
      </c>
    </row>
    <row r="47" customFormat="false" ht="27" hidden="false" customHeight="true" outlineLevel="0" collapsed="false">
      <c r="A47" s="25" t="str">
        <f aca="false">IF('MASTER BAHAN'!A47="","",'MASTER BAHAN'!A47)</f>
        <v/>
      </c>
      <c r="B47" s="18" t="str">
        <f aca="false">IF(A47="","",'MASTER BAHAN'!B47)</f>
        <v/>
      </c>
      <c r="C47" s="18" t="str">
        <f aca="false">IF(A47="","",'MASTER BAHAN'!E47)</f>
        <v/>
      </c>
      <c r="D47" s="18" t="str">
        <f aca="false">IF(A47="","",SUMIFS('STOK MASUK'!$G$5:$G$504,'STOK MASUK'!$E$5:$E$504,A47))</f>
        <v/>
      </c>
      <c r="E47" s="18" t="str">
        <f aca="false">IF(A47="","",SUMIFS('PERGERAKAN STOK'!$F$5:$F$504,'PERGERAKAN STOK'!$C$5:$C$504,A47,'PERGERAKAN STOK'!$E$5:$E$504,"Pemakaian",'PERGERAKAN STOK'!$K$5:$K$504,"Disetujui"))</f>
        <v/>
      </c>
      <c r="F47" s="18" t="str">
        <f aca="false">IF(A47="","",SUMIFS('PERGERAKAN STOK'!$F$5:$F$504,'PERGERAKAN STOK'!$C$5:$C$504,A47,'PERGERAKAN STOK'!$E$5:$E$504,"Waste",'PERGERAKAN STOK'!$K$5:$K$504,"Disetujui"))</f>
        <v/>
      </c>
      <c r="G47" s="18" t="str">
        <f aca="false">IF(A47="","",SUMIFS('PERGERAKAN STOK'!$F$5:$F$504,'PERGERAKAN STOK'!$C$5:$C$504,A47,'PERGERAKAN STOK'!$E$5:$E$504,"Penyesuaian",'PERGERAKAN STOK'!$K$5:$K$504,"Disetujui"))</f>
        <v/>
      </c>
      <c r="H47" s="18" t="str">
        <f aca="false">IF(A47="","",C47+D47-E47-F47+G47-L47)</f>
        <v/>
      </c>
      <c r="I47" s="18" t="str">
        <f aca="false">IF(A47="","",'MASTER BAHAN'!F47)</f>
        <v/>
      </c>
      <c r="J47" s="18" t="str">
        <f aca="false">IF(A47="","",IF(H47&lt;=0,"Habis",IF(H47&lt;=I47,"Menipis","Aman")))</f>
        <v/>
      </c>
      <c r="K47" s="19" t="str">
        <f aca="false">IF(A47="","",IF(NOT(ISNUMBER('MASTER BAHAN'!I47)),"BELUM LENGKAP",ROUND(H47*'MASTER BAHAN'!I47,0)))</f>
        <v/>
      </c>
      <c r="L47" s="18" t="str">
        <f aca="false">IF(A47="","",SUMIFS('PERGERAKAN STOK'!$F$5:$F$504,'PERGERAKAN STOK'!$C$5:$C$504,A47,'PERGERAKAN STOK'!$E$5:$E$504,"Retur",'PERGERAKAN STOK'!$K$5:$K$504,"Disetujui"))</f>
        <v/>
      </c>
    </row>
    <row r="48" customFormat="false" ht="27" hidden="false" customHeight="true" outlineLevel="0" collapsed="false">
      <c r="A48" s="25" t="str">
        <f aca="false">IF('MASTER BAHAN'!A48="","",'MASTER BAHAN'!A48)</f>
        <v/>
      </c>
      <c r="B48" s="18" t="str">
        <f aca="false">IF(A48="","",'MASTER BAHAN'!B48)</f>
        <v/>
      </c>
      <c r="C48" s="18" t="str">
        <f aca="false">IF(A48="","",'MASTER BAHAN'!E48)</f>
        <v/>
      </c>
      <c r="D48" s="18" t="str">
        <f aca="false">IF(A48="","",SUMIFS('STOK MASUK'!$G$5:$G$504,'STOK MASUK'!$E$5:$E$504,A48))</f>
        <v/>
      </c>
      <c r="E48" s="18" t="str">
        <f aca="false">IF(A48="","",SUMIFS('PERGERAKAN STOK'!$F$5:$F$504,'PERGERAKAN STOK'!$C$5:$C$504,A48,'PERGERAKAN STOK'!$E$5:$E$504,"Pemakaian",'PERGERAKAN STOK'!$K$5:$K$504,"Disetujui"))</f>
        <v/>
      </c>
      <c r="F48" s="18" t="str">
        <f aca="false">IF(A48="","",SUMIFS('PERGERAKAN STOK'!$F$5:$F$504,'PERGERAKAN STOK'!$C$5:$C$504,A48,'PERGERAKAN STOK'!$E$5:$E$504,"Waste",'PERGERAKAN STOK'!$K$5:$K$504,"Disetujui"))</f>
        <v/>
      </c>
      <c r="G48" s="18" t="str">
        <f aca="false">IF(A48="","",SUMIFS('PERGERAKAN STOK'!$F$5:$F$504,'PERGERAKAN STOK'!$C$5:$C$504,A48,'PERGERAKAN STOK'!$E$5:$E$504,"Penyesuaian",'PERGERAKAN STOK'!$K$5:$K$504,"Disetujui"))</f>
        <v/>
      </c>
      <c r="H48" s="18" t="str">
        <f aca="false">IF(A48="","",C48+D48-E48-F48+G48-L48)</f>
        <v/>
      </c>
      <c r="I48" s="18" t="str">
        <f aca="false">IF(A48="","",'MASTER BAHAN'!F48)</f>
        <v/>
      </c>
      <c r="J48" s="18" t="str">
        <f aca="false">IF(A48="","",IF(H48&lt;=0,"Habis",IF(H48&lt;=I48,"Menipis","Aman")))</f>
        <v/>
      </c>
      <c r="K48" s="19" t="str">
        <f aca="false">IF(A48="","",IF(NOT(ISNUMBER('MASTER BAHAN'!I48)),"BELUM LENGKAP",ROUND(H48*'MASTER BAHAN'!I48,0)))</f>
        <v/>
      </c>
      <c r="L48" s="18" t="str">
        <f aca="false">IF(A48="","",SUMIFS('PERGERAKAN STOK'!$F$5:$F$504,'PERGERAKAN STOK'!$C$5:$C$504,A48,'PERGERAKAN STOK'!$E$5:$E$504,"Retur",'PERGERAKAN STOK'!$K$5:$K$504,"Disetujui"))</f>
        <v/>
      </c>
    </row>
    <row r="49" customFormat="false" ht="27" hidden="false" customHeight="true" outlineLevel="0" collapsed="false">
      <c r="A49" s="25" t="str">
        <f aca="false">IF('MASTER BAHAN'!A49="","",'MASTER BAHAN'!A49)</f>
        <v/>
      </c>
      <c r="B49" s="18" t="str">
        <f aca="false">IF(A49="","",'MASTER BAHAN'!B49)</f>
        <v/>
      </c>
      <c r="C49" s="18" t="str">
        <f aca="false">IF(A49="","",'MASTER BAHAN'!E49)</f>
        <v/>
      </c>
      <c r="D49" s="18" t="str">
        <f aca="false">IF(A49="","",SUMIFS('STOK MASUK'!$G$5:$G$504,'STOK MASUK'!$E$5:$E$504,A49))</f>
        <v/>
      </c>
      <c r="E49" s="18" t="str">
        <f aca="false">IF(A49="","",SUMIFS('PERGERAKAN STOK'!$F$5:$F$504,'PERGERAKAN STOK'!$C$5:$C$504,A49,'PERGERAKAN STOK'!$E$5:$E$504,"Pemakaian",'PERGERAKAN STOK'!$K$5:$K$504,"Disetujui"))</f>
        <v/>
      </c>
      <c r="F49" s="18" t="str">
        <f aca="false">IF(A49="","",SUMIFS('PERGERAKAN STOK'!$F$5:$F$504,'PERGERAKAN STOK'!$C$5:$C$504,A49,'PERGERAKAN STOK'!$E$5:$E$504,"Waste",'PERGERAKAN STOK'!$K$5:$K$504,"Disetujui"))</f>
        <v/>
      </c>
      <c r="G49" s="18" t="str">
        <f aca="false">IF(A49="","",SUMIFS('PERGERAKAN STOK'!$F$5:$F$504,'PERGERAKAN STOK'!$C$5:$C$504,A49,'PERGERAKAN STOK'!$E$5:$E$504,"Penyesuaian",'PERGERAKAN STOK'!$K$5:$K$504,"Disetujui"))</f>
        <v/>
      </c>
      <c r="H49" s="18" t="str">
        <f aca="false">IF(A49="","",C49+D49-E49-F49+G49-L49)</f>
        <v/>
      </c>
      <c r="I49" s="18" t="str">
        <f aca="false">IF(A49="","",'MASTER BAHAN'!F49)</f>
        <v/>
      </c>
      <c r="J49" s="18" t="str">
        <f aca="false">IF(A49="","",IF(H49&lt;=0,"Habis",IF(H49&lt;=I49,"Menipis","Aman")))</f>
        <v/>
      </c>
      <c r="K49" s="19" t="str">
        <f aca="false">IF(A49="","",IF(NOT(ISNUMBER('MASTER BAHAN'!I49)),"BELUM LENGKAP",ROUND(H49*'MASTER BAHAN'!I49,0)))</f>
        <v/>
      </c>
      <c r="L49" s="18" t="str">
        <f aca="false">IF(A49="","",SUMIFS('PERGERAKAN STOK'!$F$5:$F$504,'PERGERAKAN STOK'!$C$5:$C$504,A49,'PERGERAKAN STOK'!$E$5:$E$504,"Retur",'PERGERAKAN STOK'!$K$5:$K$504,"Disetujui"))</f>
        <v/>
      </c>
    </row>
    <row r="50" customFormat="false" ht="27" hidden="false" customHeight="true" outlineLevel="0" collapsed="false">
      <c r="A50" s="25" t="str">
        <f aca="false">IF('MASTER BAHAN'!A50="","",'MASTER BAHAN'!A50)</f>
        <v/>
      </c>
      <c r="B50" s="18" t="str">
        <f aca="false">IF(A50="","",'MASTER BAHAN'!B50)</f>
        <v/>
      </c>
      <c r="C50" s="18" t="str">
        <f aca="false">IF(A50="","",'MASTER BAHAN'!E50)</f>
        <v/>
      </c>
      <c r="D50" s="18" t="str">
        <f aca="false">IF(A50="","",SUMIFS('STOK MASUK'!$G$5:$G$504,'STOK MASUK'!$E$5:$E$504,A50))</f>
        <v/>
      </c>
      <c r="E50" s="18" t="str">
        <f aca="false">IF(A50="","",SUMIFS('PERGERAKAN STOK'!$F$5:$F$504,'PERGERAKAN STOK'!$C$5:$C$504,A50,'PERGERAKAN STOK'!$E$5:$E$504,"Pemakaian",'PERGERAKAN STOK'!$K$5:$K$504,"Disetujui"))</f>
        <v/>
      </c>
      <c r="F50" s="18" t="str">
        <f aca="false">IF(A50="","",SUMIFS('PERGERAKAN STOK'!$F$5:$F$504,'PERGERAKAN STOK'!$C$5:$C$504,A50,'PERGERAKAN STOK'!$E$5:$E$504,"Waste",'PERGERAKAN STOK'!$K$5:$K$504,"Disetujui"))</f>
        <v/>
      </c>
      <c r="G50" s="18" t="str">
        <f aca="false">IF(A50="","",SUMIFS('PERGERAKAN STOK'!$F$5:$F$504,'PERGERAKAN STOK'!$C$5:$C$504,A50,'PERGERAKAN STOK'!$E$5:$E$504,"Penyesuaian",'PERGERAKAN STOK'!$K$5:$K$504,"Disetujui"))</f>
        <v/>
      </c>
      <c r="H50" s="18" t="str">
        <f aca="false">IF(A50="","",C50+D50-E50-F50+G50-L50)</f>
        <v/>
      </c>
      <c r="I50" s="18" t="str">
        <f aca="false">IF(A50="","",'MASTER BAHAN'!F50)</f>
        <v/>
      </c>
      <c r="J50" s="18" t="str">
        <f aca="false">IF(A50="","",IF(H50&lt;=0,"Habis",IF(H50&lt;=I50,"Menipis","Aman")))</f>
        <v/>
      </c>
      <c r="K50" s="19" t="str">
        <f aca="false">IF(A50="","",IF(NOT(ISNUMBER('MASTER BAHAN'!I50)),"BELUM LENGKAP",ROUND(H50*'MASTER BAHAN'!I50,0)))</f>
        <v/>
      </c>
      <c r="L50" s="18" t="str">
        <f aca="false">IF(A50="","",SUMIFS('PERGERAKAN STOK'!$F$5:$F$504,'PERGERAKAN STOK'!$C$5:$C$504,A50,'PERGERAKAN STOK'!$E$5:$E$504,"Retur",'PERGERAKAN STOK'!$K$5:$K$504,"Disetujui"))</f>
        <v/>
      </c>
    </row>
    <row r="51" customFormat="false" ht="27" hidden="false" customHeight="true" outlineLevel="0" collapsed="false">
      <c r="A51" s="25" t="str">
        <f aca="false">IF('MASTER BAHAN'!A51="","",'MASTER BAHAN'!A51)</f>
        <v/>
      </c>
      <c r="B51" s="18" t="str">
        <f aca="false">IF(A51="","",'MASTER BAHAN'!B51)</f>
        <v/>
      </c>
      <c r="C51" s="18" t="str">
        <f aca="false">IF(A51="","",'MASTER BAHAN'!E51)</f>
        <v/>
      </c>
      <c r="D51" s="18" t="str">
        <f aca="false">IF(A51="","",SUMIFS('STOK MASUK'!$G$5:$G$504,'STOK MASUK'!$E$5:$E$504,A51))</f>
        <v/>
      </c>
      <c r="E51" s="18" t="str">
        <f aca="false">IF(A51="","",SUMIFS('PERGERAKAN STOK'!$F$5:$F$504,'PERGERAKAN STOK'!$C$5:$C$504,A51,'PERGERAKAN STOK'!$E$5:$E$504,"Pemakaian",'PERGERAKAN STOK'!$K$5:$K$504,"Disetujui"))</f>
        <v/>
      </c>
      <c r="F51" s="18" t="str">
        <f aca="false">IF(A51="","",SUMIFS('PERGERAKAN STOK'!$F$5:$F$504,'PERGERAKAN STOK'!$C$5:$C$504,A51,'PERGERAKAN STOK'!$E$5:$E$504,"Waste",'PERGERAKAN STOK'!$K$5:$K$504,"Disetujui"))</f>
        <v/>
      </c>
      <c r="G51" s="18" t="str">
        <f aca="false">IF(A51="","",SUMIFS('PERGERAKAN STOK'!$F$5:$F$504,'PERGERAKAN STOK'!$C$5:$C$504,A51,'PERGERAKAN STOK'!$E$5:$E$504,"Penyesuaian",'PERGERAKAN STOK'!$K$5:$K$504,"Disetujui"))</f>
        <v/>
      </c>
      <c r="H51" s="18" t="str">
        <f aca="false">IF(A51="","",C51+D51-E51-F51+G51-L51)</f>
        <v/>
      </c>
      <c r="I51" s="18" t="str">
        <f aca="false">IF(A51="","",'MASTER BAHAN'!F51)</f>
        <v/>
      </c>
      <c r="J51" s="18" t="str">
        <f aca="false">IF(A51="","",IF(H51&lt;=0,"Habis",IF(H51&lt;=I51,"Menipis","Aman")))</f>
        <v/>
      </c>
      <c r="K51" s="19" t="str">
        <f aca="false">IF(A51="","",IF(NOT(ISNUMBER('MASTER BAHAN'!I51)),"BELUM LENGKAP",ROUND(H51*'MASTER BAHAN'!I51,0)))</f>
        <v/>
      </c>
      <c r="L51" s="18" t="str">
        <f aca="false">IF(A51="","",SUMIFS('PERGERAKAN STOK'!$F$5:$F$504,'PERGERAKAN STOK'!$C$5:$C$504,A51,'PERGERAKAN STOK'!$E$5:$E$504,"Retur",'PERGERAKAN STOK'!$K$5:$K$504,"Disetujui"))</f>
        <v/>
      </c>
    </row>
    <row r="52" customFormat="false" ht="27" hidden="false" customHeight="true" outlineLevel="0" collapsed="false">
      <c r="A52" s="25" t="str">
        <f aca="false">IF('MASTER BAHAN'!A52="","",'MASTER BAHAN'!A52)</f>
        <v/>
      </c>
      <c r="B52" s="18" t="str">
        <f aca="false">IF(A52="","",'MASTER BAHAN'!B52)</f>
        <v/>
      </c>
      <c r="C52" s="18" t="str">
        <f aca="false">IF(A52="","",'MASTER BAHAN'!E52)</f>
        <v/>
      </c>
      <c r="D52" s="18" t="str">
        <f aca="false">IF(A52="","",SUMIFS('STOK MASUK'!$G$5:$G$504,'STOK MASUK'!$E$5:$E$504,A52))</f>
        <v/>
      </c>
      <c r="E52" s="18" t="str">
        <f aca="false">IF(A52="","",SUMIFS('PERGERAKAN STOK'!$F$5:$F$504,'PERGERAKAN STOK'!$C$5:$C$504,A52,'PERGERAKAN STOK'!$E$5:$E$504,"Pemakaian",'PERGERAKAN STOK'!$K$5:$K$504,"Disetujui"))</f>
        <v/>
      </c>
      <c r="F52" s="18" t="str">
        <f aca="false">IF(A52="","",SUMIFS('PERGERAKAN STOK'!$F$5:$F$504,'PERGERAKAN STOK'!$C$5:$C$504,A52,'PERGERAKAN STOK'!$E$5:$E$504,"Waste",'PERGERAKAN STOK'!$K$5:$K$504,"Disetujui"))</f>
        <v/>
      </c>
      <c r="G52" s="18" t="str">
        <f aca="false">IF(A52="","",SUMIFS('PERGERAKAN STOK'!$F$5:$F$504,'PERGERAKAN STOK'!$C$5:$C$504,A52,'PERGERAKAN STOK'!$E$5:$E$504,"Penyesuaian",'PERGERAKAN STOK'!$K$5:$K$504,"Disetujui"))</f>
        <v/>
      </c>
      <c r="H52" s="18" t="str">
        <f aca="false">IF(A52="","",C52+D52-E52-F52+G52-L52)</f>
        <v/>
      </c>
      <c r="I52" s="18" t="str">
        <f aca="false">IF(A52="","",'MASTER BAHAN'!F52)</f>
        <v/>
      </c>
      <c r="J52" s="18" t="str">
        <f aca="false">IF(A52="","",IF(H52&lt;=0,"Habis",IF(H52&lt;=I52,"Menipis","Aman")))</f>
        <v/>
      </c>
      <c r="K52" s="19" t="str">
        <f aca="false">IF(A52="","",IF(NOT(ISNUMBER('MASTER BAHAN'!I52)),"BELUM LENGKAP",ROUND(H52*'MASTER BAHAN'!I52,0)))</f>
        <v/>
      </c>
      <c r="L52" s="18" t="str">
        <f aca="false">IF(A52="","",SUMIFS('PERGERAKAN STOK'!$F$5:$F$504,'PERGERAKAN STOK'!$C$5:$C$504,A52,'PERGERAKAN STOK'!$E$5:$E$504,"Retur",'PERGERAKAN STOK'!$K$5:$K$504,"Disetujui"))</f>
        <v/>
      </c>
    </row>
    <row r="53" customFormat="false" ht="27" hidden="false" customHeight="true" outlineLevel="0" collapsed="false">
      <c r="A53" s="25" t="str">
        <f aca="false">IF('MASTER BAHAN'!A53="","",'MASTER BAHAN'!A53)</f>
        <v/>
      </c>
      <c r="B53" s="18" t="str">
        <f aca="false">IF(A53="","",'MASTER BAHAN'!B53)</f>
        <v/>
      </c>
      <c r="C53" s="18" t="str">
        <f aca="false">IF(A53="","",'MASTER BAHAN'!E53)</f>
        <v/>
      </c>
      <c r="D53" s="18" t="str">
        <f aca="false">IF(A53="","",SUMIFS('STOK MASUK'!$G$5:$G$504,'STOK MASUK'!$E$5:$E$504,A53))</f>
        <v/>
      </c>
      <c r="E53" s="18" t="str">
        <f aca="false">IF(A53="","",SUMIFS('PERGERAKAN STOK'!$F$5:$F$504,'PERGERAKAN STOK'!$C$5:$C$504,A53,'PERGERAKAN STOK'!$E$5:$E$504,"Pemakaian",'PERGERAKAN STOK'!$K$5:$K$504,"Disetujui"))</f>
        <v/>
      </c>
      <c r="F53" s="18" t="str">
        <f aca="false">IF(A53="","",SUMIFS('PERGERAKAN STOK'!$F$5:$F$504,'PERGERAKAN STOK'!$C$5:$C$504,A53,'PERGERAKAN STOK'!$E$5:$E$504,"Waste",'PERGERAKAN STOK'!$K$5:$K$504,"Disetujui"))</f>
        <v/>
      </c>
      <c r="G53" s="18" t="str">
        <f aca="false">IF(A53="","",SUMIFS('PERGERAKAN STOK'!$F$5:$F$504,'PERGERAKAN STOK'!$C$5:$C$504,A53,'PERGERAKAN STOK'!$E$5:$E$504,"Penyesuaian",'PERGERAKAN STOK'!$K$5:$K$504,"Disetujui"))</f>
        <v/>
      </c>
      <c r="H53" s="18" t="str">
        <f aca="false">IF(A53="","",C53+D53-E53-F53+G53-L53)</f>
        <v/>
      </c>
      <c r="I53" s="18" t="str">
        <f aca="false">IF(A53="","",'MASTER BAHAN'!F53)</f>
        <v/>
      </c>
      <c r="J53" s="18" t="str">
        <f aca="false">IF(A53="","",IF(H53&lt;=0,"Habis",IF(H53&lt;=I53,"Menipis","Aman")))</f>
        <v/>
      </c>
      <c r="K53" s="19" t="str">
        <f aca="false">IF(A53="","",IF(NOT(ISNUMBER('MASTER BAHAN'!I53)),"BELUM LENGKAP",ROUND(H53*'MASTER BAHAN'!I53,0)))</f>
        <v/>
      </c>
      <c r="L53" s="18" t="str">
        <f aca="false">IF(A53="","",SUMIFS('PERGERAKAN STOK'!$F$5:$F$504,'PERGERAKAN STOK'!$C$5:$C$504,A53,'PERGERAKAN STOK'!$E$5:$E$504,"Retur",'PERGERAKAN STOK'!$K$5:$K$504,"Disetujui"))</f>
        <v/>
      </c>
    </row>
    <row r="54" customFormat="false" ht="27" hidden="false" customHeight="true" outlineLevel="0" collapsed="false">
      <c r="A54" s="25" t="str">
        <f aca="false">IF('MASTER BAHAN'!A54="","",'MASTER BAHAN'!A54)</f>
        <v/>
      </c>
      <c r="B54" s="18" t="str">
        <f aca="false">IF(A54="","",'MASTER BAHAN'!B54)</f>
        <v/>
      </c>
      <c r="C54" s="18" t="str">
        <f aca="false">IF(A54="","",'MASTER BAHAN'!E54)</f>
        <v/>
      </c>
      <c r="D54" s="18" t="str">
        <f aca="false">IF(A54="","",SUMIFS('STOK MASUK'!$G$5:$G$504,'STOK MASUK'!$E$5:$E$504,A54))</f>
        <v/>
      </c>
      <c r="E54" s="18" t="str">
        <f aca="false">IF(A54="","",SUMIFS('PERGERAKAN STOK'!$F$5:$F$504,'PERGERAKAN STOK'!$C$5:$C$504,A54,'PERGERAKAN STOK'!$E$5:$E$504,"Pemakaian",'PERGERAKAN STOK'!$K$5:$K$504,"Disetujui"))</f>
        <v/>
      </c>
      <c r="F54" s="18" t="str">
        <f aca="false">IF(A54="","",SUMIFS('PERGERAKAN STOK'!$F$5:$F$504,'PERGERAKAN STOK'!$C$5:$C$504,A54,'PERGERAKAN STOK'!$E$5:$E$504,"Waste",'PERGERAKAN STOK'!$K$5:$K$504,"Disetujui"))</f>
        <v/>
      </c>
      <c r="G54" s="18" t="str">
        <f aca="false">IF(A54="","",SUMIFS('PERGERAKAN STOK'!$F$5:$F$504,'PERGERAKAN STOK'!$C$5:$C$504,A54,'PERGERAKAN STOK'!$E$5:$E$504,"Penyesuaian",'PERGERAKAN STOK'!$K$5:$K$504,"Disetujui"))</f>
        <v/>
      </c>
      <c r="H54" s="18" t="str">
        <f aca="false">IF(A54="","",C54+D54-E54-F54+G54-L54)</f>
        <v/>
      </c>
      <c r="I54" s="18" t="str">
        <f aca="false">IF(A54="","",'MASTER BAHAN'!F54)</f>
        <v/>
      </c>
      <c r="J54" s="18" t="str">
        <f aca="false">IF(A54="","",IF(H54&lt;=0,"Habis",IF(H54&lt;=I54,"Menipis","Aman")))</f>
        <v/>
      </c>
      <c r="K54" s="19" t="str">
        <f aca="false">IF(A54="","",IF(NOT(ISNUMBER('MASTER BAHAN'!I54)),"BELUM LENGKAP",ROUND(H54*'MASTER BAHAN'!I54,0)))</f>
        <v/>
      </c>
      <c r="L54" s="18" t="str">
        <f aca="false">IF(A54="","",SUMIFS('PERGERAKAN STOK'!$F$5:$F$504,'PERGERAKAN STOK'!$C$5:$C$504,A54,'PERGERAKAN STOK'!$E$5:$E$504,"Retur",'PERGERAKAN STOK'!$K$5:$K$504,"Disetujui"))</f>
        <v/>
      </c>
    </row>
    <row r="55" customFormat="false" ht="27" hidden="false" customHeight="true" outlineLevel="0" collapsed="false">
      <c r="A55" s="25" t="str">
        <f aca="false">IF('MASTER BAHAN'!A55="","",'MASTER BAHAN'!A55)</f>
        <v/>
      </c>
      <c r="B55" s="18" t="str">
        <f aca="false">IF(A55="","",'MASTER BAHAN'!B55)</f>
        <v/>
      </c>
      <c r="C55" s="18" t="str">
        <f aca="false">IF(A55="","",'MASTER BAHAN'!E55)</f>
        <v/>
      </c>
      <c r="D55" s="18" t="str">
        <f aca="false">IF(A55="","",SUMIFS('STOK MASUK'!$G$5:$G$504,'STOK MASUK'!$E$5:$E$504,A55))</f>
        <v/>
      </c>
      <c r="E55" s="18" t="str">
        <f aca="false">IF(A55="","",SUMIFS('PERGERAKAN STOK'!$F$5:$F$504,'PERGERAKAN STOK'!$C$5:$C$504,A55,'PERGERAKAN STOK'!$E$5:$E$504,"Pemakaian",'PERGERAKAN STOK'!$K$5:$K$504,"Disetujui"))</f>
        <v/>
      </c>
      <c r="F55" s="18" t="str">
        <f aca="false">IF(A55="","",SUMIFS('PERGERAKAN STOK'!$F$5:$F$504,'PERGERAKAN STOK'!$C$5:$C$504,A55,'PERGERAKAN STOK'!$E$5:$E$504,"Waste",'PERGERAKAN STOK'!$K$5:$K$504,"Disetujui"))</f>
        <v/>
      </c>
      <c r="G55" s="18" t="str">
        <f aca="false">IF(A55="","",SUMIFS('PERGERAKAN STOK'!$F$5:$F$504,'PERGERAKAN STOK'!$C$5:$C$504,A55,'PERGERAKAN STOK'!$E$5:$E$504,"Penyesuaian",'PERGERAKAN STOK'!$K$5:$K$504,"Disetujui"))</f>
        <v/>
      </c>
      <c r="H55" s="18" t="str">
        <f aca="false">IF(A55="","",C55+D55-E55-F55+G55-L55)</f>
        <v/>
      </c>
      <c r="I55" s="18" t="str">
        <f aca="false">IF(A55="","",'MASTER BAHAN'!F55)</f>
        <v/>
      </c>
      <c r="J55" s="18" t="str">
        <f aca="false">IF(A55="","",IF(H55&lt;=0,"Habis",IF(H55&lt;=I55,"Menipis","Aman")))</f>
        <v/>
      </c>
      <c r="K55" s="19" t="str">
        <f aca="false">IF(A55="","",IF(NOT(ISNUMBER('MASTER BAHAN'!I55)),"BELUM LENGKAP",ROUND(H55*'MASTER BAHAN'!I55,0)))</f>
        <v/>
      </c>
      <c r="L55" s="18" t="str">
        <f aca="false">IF(A55="","",SUMIFS('PERGERAKAN STOK'!$F$5:$F$504,'PERGERAKAN STOK'!$C$5:$C$504,A55,'PERGERAKAN STOK'!$E$5:$E$504,"Retur",'PERGERAKAN STOK'!$K$5:$K$504,"Disetujui"))</f>
        <v/>
      </c>
    </row>
    <row r="56" customFormat="false" ht="27" hidden="false" customHeight="true" outlineLevel="0" collapsed="false">
      <c r="A56" s="25" t="str">
        <f aca="false">IF('MASTER BAHAN'!A56="","",'MASTER BAHAN'!A56)</f>
        <v/>
      </c>
      <c r="B56" s="18" t="str">
        <f aca="false">IF(A56="","",'MASTER BAHAN'!B56)</f>
        <v/>
      </c>
      <c r="C56" s="18" t="str">
        <f aca="false">IF(A56="","",'MASTER BAHAN'!E56)</f>
        <v/>
      </c>
      <c r="D56" s="18" t="str">
        <f aca="false">IF(A56="","",SUMIFS('STOK MASUK'!$G$5:$G$504,'STOK MASUK'!$E$5:$E$504,A56))</f>
        <v/>
      </c>
      <c r="E56" s="18" t="str">
        <f aca="false">IF(A56="","",SUMIFS('PERGERAKAN STOK'!$F$5:$F$504,'PERGERAKAN STOK'!$C$5:$C$504,A56,'PERGERAKAN STOK'!$E$5:$E$504,"Pemakaian",'PERGERAKAN STOK'!$K$5:$K$504,"Disetujui"))</f>
        <v/>
      </c>
      <c r="F56" s="18" t="str">
        <f aca="false">IF(A56="","",SUMIFS('PERGERAKAN STOK'!$F$5:$F$504,'PERGERAKAN STOK'!$C$5:$C$504,A56,'PERGERAKAN STOK'!$E$5:$E$504,"Waste",'PERGERAKAN STOK'!$K$5:$K$504,"Disetujui"))</f>
        <v/>
      </c>
      <c r="G56" s="18" t="str">
        <f aca="false">IF(A56="","",SUMIFS('PERGERAKAN STOK'!$F$5:$F$504,'PERGERAKAN STOK'!$C$5:$C$504,A56,'PERGERAKAN STOK'!$E$5:$E$504,"Penyesuaian",'PERGERAKAN STOK'!$K$5:$K$504,"Disetujui"))</f>
        <v/>
      </c>
      <c r="H56" s="18" t="str">
        <f aca="false">IF(A56="","",C56+D56-E56-F56+G56-L56)</f>
        <v/>
      </c>
      <c r="I56" s="18" t="str">
        <f aca="false">IF(A56="","",'MASTER BAHAN'!F56)</f>
        <v/>
      </c>
      <c r="J56" s="18" t="str">
        <f aca="false">IF(A56="","",IF(H56&lt;=0,"Habis",IF(H56&lt;=I56,"Menipis","Aman")))</f>
        <v/>
      </c>
      <c r="K56" s="19" t="str">
        <f aca="false">IF(A56="","",IF(NOT(ISNUMBER('MASTER BAHAN'!I56)),"BELUM LENGKAP",ROUND(H56*'MASTER BAHAN'!I56,0)))</f>
        <v/>
      </c>
      <c r="L56" s="18" t="str">
        <f aca="false">IF(A56="","",SUMIFS('PERGERAKAN STOK'!$F$5:$F$504,'PERGERAKAN STOK'!$C$5:$C$504,A56,'PERGERAKAN STOK'!$E$5:$E$504,"Retur",'PERGERAKAN STOK'!$K$5:$K$504,"Disetujui"))</f>
        <v/>
      </c>
    </row>
    <row r="57" customFormat="false" ht="27" hidden="false" customHeight="true" outlineLevel="0" collapsed="false">
      <c r="A57" s="25" t="str">
        <f aca="false">IF('MASTER BAHAN'!A57="","",'MASTER BAHAN'!A57)</f>
        <v/>
      </c>
      <c r="B57" s="18" t="str">
        <f aca="false">IF(A57="","",'MASTER BAHAN'!B57)</f>
        <v/>
      </c>
      <c r="C57" s="18" t="str">
        <f aca="false">IF(A57="","",'MASTER BAHAN'!E57)</f>
        <v/>
      </c>
      <c r="D57" s="18" t="str">
        <f aca="false">IF(A57="","",SUMIFS('STOK MASUK'!$G$5:$G$504,'STOK MASUK'!$E$5:$E$504,A57))</f>
        <v/>
      </c>
      <c r="E57" s="18" t="str">
        <f aca="false">IF(A57="","",SUMIFS('PERGERAKAN STOK'!$F$5:$F$504,'PERGERAKAN STOK'!$C$5:$C$504,A57,'PERGERAKAN STOK'!$E$5:$E$504,"Pemakaian",'PERGERAKAN STOK'!$K$5:$K$504,"Disetujui"))</f>
        <v/>
      </c>
      <c r="F57" s="18" t="str">
        <f aca="false">IF(A57="","",SUMIFS('PERGERAKAN STOK'!$F$5:$F$504,'PERGERAKAN STOK'!$C$5:$C$504,A57,'PERGERAKAN STOK'!$E$5:$E$504,"Waste",'PERGERAKAN STOK'!$K$5:$K$504,"Disetujui"))</f>
        <v/>
      </c>
      <c r="G57" s="18" t="str">
        <f aca="false">IF(A57="","",SUMIFS('PERGERAKAN STOK'!$F$5:$F$504,'PERGERAKAN STOK'!$C$5:$C$504,A57,'PERGERAKAN STOK'!$E$5:$E$504,"Penyesuaian",'PERGERAKAN STOK'!$K$5:$K$504,"Disetujui"))</f>
        <v/>
      </c>
      <c r="H57" s="18" t="str">
        <f aca="false">IF(A57="","",C57+D57-E57-F57+G57-L57)</f>
        <v/>
      </c>
      <c r="I57" s="18" t="str">
        <f aca="false">IF(A57="","",'MASTER BAHAN'!F57)</f>
        <v/>
      </c>
      <c r="J57" s="18" t="str">
        <f aca="false">IF(A57="","",IF(H57&lt;=0,"Habis",IF(H57&lt;=I57,"Menipis","Aman")))</f>
        <v/>
      </c>
      <c r="K57" s="19" t="str">
        <f aca="false">IF(A57="","",IF(NOT(ISNUMBER('MASTER BAHAN'!I57)),"BELUM LENGKAP",ROUND(H57*'MASTER BAHAN'!I57,0)))</f>
        <v/>
      </c>
      <c r="L57" s="18" t="str">
        <f aca="false">IF(A57="","",SUMIFS('PERGERAKAN STOK'!$F$5:$F$504,'PERGERAKAN STOK'!$C$5:$C$504,A57,'PERGERAKAN STOK'!$E$5:$E$504,"Retur",'PERGERAKAN STOK'!$K$5:$K$504,"Disetujui"))</f>
        <v/>
      </c>
    </row>
    <row r="58" customFormat="false" ht="27" hidden="false" customHeight="true" outlineLevel="0" collapsed="false">
      <c r="A58" s="25" t="str">
        <f aca="false">IF('MASTER BAHAN'!A58="","",'MASTER BAHAN'!A58)</f>
        <v/>
      </c>
      <c r="B58" s="18" t="str">
        <f aca="false">IF(A58="","",'MASTER BAHAN'!B58)</f>
        <v/>
      </c>
      <c r="C58" s="18" t="str">
        <f aca="false">IF(A58="","",'MASTER BAHAN'!E58)</f>
        <v/>
      </c>
      <c r="D58" s="18" t="str">
        <f aca="false">IF(A58="","",SUMIFS('STOK MASUK'!$G$5:$G$504,'STOK MASUK'!$E$5:$E$504,A58))</f>
        <v/>
      </c>
      <c r="E58" s="18" t="str">
        <f aca="false">IF(A58="","",SUMIFS('PERGERAKAN STOK'!$F$5:$F$504,'PERGERAKAN STOK'!$C$5:$C$504,A58,'PERGERAKAN STOK'!$E$5:$E$504,"Pemakaian",'PERGERAKAN STOK'!$K$5:$K$504,"Disetujui"))</f>
        <v/>
      </c>
      <c r="F58" s="18" t="str">
        <f aca="false">IF(A58="","",SUMIFS('PERGERAKAN STOK'!$F$5:$F$504,'PERGERAKAN STOK'!$C$5:$C$504,A58,'PERGERAKAN STOK'!$E$5:$E$504,"Waste",'PERGERAKAN STOK'!$K$5:$K$504,"Disetujui"))</f>
        <v/>
      </c>
      <c r="G58" s="18" t="str">
        <f aca="false">IF(A58="","",SUMIFS('PERGERAKAN STOK'!$F$5:$F$504,'PERGERAKAN STOK'!$C$5:$C$504,A58,'PERGERAKAN STOK'!$E$5:$E$504,"Penyesuaian",'PERGERAKAN STOK'!$K$5:$K$504,"Disetujui"))</f>
        <v/>
      </c>
      <c r="H58" s="18" t="str">
        <f aca="false">IF(A58="","",C58+D58-E58-F58+G58-L58)</f>
        <v/>
      </c>
      <c r="I58" s="18" t="str">
        <f aca="false">IF(A58="","",'MASTER BAHAN'!F58)</f>
        <v/>
      </c>
      <c r="J58" s="18" t="str">
        <f aca="false">IF(A58="","",IF(H58&lt;=0,"Habis",IF(H58&lt;=I58,"Menipis","Aman")))</f>
        <v/>
      </c>
      <c r="K58" s="19" t="str">
        <f aca="false">IF(A58="","",IF(NOT(ISNUMBER('MASTER BAHAN'!I58)),"BELUM LENGKAP",ROUND(H58*'MASTER BAHAN'!I58,0)))</f>
        <v/>
      </c>
      <c r="L58" s="18" t="str">
        <f aca="false">IF(A58="","",SUMIFS('PERGERAKAN STOK'!$F$5:$F$504,'PERGERAKAN STOK'!$C$5:$C$504,A58,'PERGERAKAN STOK'!$E$5:$E$504,"Retur",'PERGERAKAN STOK'!$K$5:$K$504,"Disetujui"))</f>
        <v/>
      </c>
    </row>
    <row r="59" customFormat="false" ht="27" hidden="false" customHeight="true" outlineLevel="0" collapsed="false">
      <c r="A59" s="25" t="str">
        <f aca="false">IF('MASTER BAHAN'!A59="","",'MASTER BAHAN'!A59)</f>
        <v/>
      </c>
      <c r="B59" s="18" t="str">
        <f aca="false">IF(A59="","",'MASTER BAHAN'!B59)</f>
        <v/>
      </c>
      <c r="C59" s="18" t="str">
        <f aca="false">IF(A59="","",'MASTER BAHAN'!E59)</f>
        <v/>
      </c>
      <c r="D59" s="18" t="str">
        <f aca="false">IF(A59="","",SUMIFS('STOK MASUK'!$G$5:$G$504,'STOK MASUK'!$E$5:$E$504,A59))</f>
        <v/>
      </c>
      <c r="E59" s="18" t="str">
        <f aca="false">IF(A59="","",SUMIFS('PERGERAKAN STOK'!$F$5:$F$504,'PERGERAKAN STOK'!$C$5:$C$504,A59,'PERGERAKAN STOK'!$E$5:$E$504,"Pemakaian",'PERGERAKAN STOK'!$K$5:$K$504,"Disetujui"))</f>
        <v/>
      </c>
      <c r="F59" s="18" t="str">
        <f aca="false">IF(A59="","",SUMIFS('PERGERAKAN STOK'!$F$5:$F$504,'PERGERAKAN STOK'!$C$5:$C$504,A59,'PERGERAKAN STOK'!$E$5:$E$504,"Waste",'PERGERAKAN STOK'!$K$5:$K$504,"Disetujui"))</f>
        <v/>
      </c>
      <c r="G59" s="18" t="str">
        <f aca="false">IF(A59="","",SUMIFS('PERGERAKAN STOK'!$F$5:$F$504,'PERGERAKAN STOK'!$C$5:$C$504,A59,'PERGERAKAN STOK'!$E$5:$E$504,"Penyesuaian",'PERGERAKAN STOK'!$K$5:$K$504,"Disetujui"))</f>
        <v/>
      </c>
      <c r="H59" s="18" t="str">
        <f aca="false">IF(A59="","",C59+D59-E59-F59+G59-L59)</f>
        <v/>
      </c>
      <c r="I59" s="18" t="str">
        <f aca="false">IF(A59="","",'MASTER BAHAN'!F59)</f>
        <v/>
      </c>
      <c r="J59" s="18" t="str">
        <f aca="false">IF(A59="","",IF(H59&lt;=0,"Habis",IF(H59&lt;=I59,"Menipis","Aman")))</f>
        <v/>
      </c>
      <c r="K59" s="19" t="str">
        <f aca="false">IF(A59="","",IF(NOT(ISNUMBER('MASTER BAHAN'!I59)),"BELUM LENGKAP",ROUND(H59*'MASTER BAHAN'!I59,0)))</f>
        <v/>
      </c>
      <c r="L59" s="18" t="str">
        <f aca="false">IF(A59="","",SUMIFS('PERGERAKAN STOK'!$F$5:$F$504,'PERGERAKAN STOK'!$C$5:$C$504,A59,'PERGERAKAN STOK'!$E$5:$E$504,"Retur",'PERGERAKAN STOK'!$K$5:$K$504,"Disetujui"))</f>
        <v/>
      </c>
    </row>
    <row r="60" customFormat="false" ht="27" hidden="false" customHeight="true" outlineLevel="0" collapsed="false">
      <c r="A60" s="25" t="str">
        <f aca="false">IF('MASTER BAHAN'!A60="","",'MASTER BAHAN'!A60)</f>
        <v/>
      </c>
      <c r="B60" s="18" t="str">
        <f aca="false">IF(A60="","",'MASTER BAHAN'!B60)</f>
        <v/>
      </c>
      <c r="C60" s="18" t="str">
        <f aca="false">IF(A60="","",'MASTER BAHAN'!E60)</f>
        <v/>
      </c>
      <c r="D60" s="18" t="str">
        <f aca="false">IF(A60="","",SUMIFS('STOK MASUK'!$G$5:$G$504,'STOK MASUK'!$E$5:$E$504,A60))</f>
        <v/>
      </c>
      <c r="E60" s="18" t="str">
        <f aca="false">IF(A60="","",SUMIFS('PERGERAKAN STOK'!$F$5:$F$504,'PERGERAKAN STOK'!$C$5:$C$504,A60,'PERGERAKAN STOK'!$E$5:$E$504,"Pemakaian",'PERGERAKAN STOK'!$K$5:$K$504,"Disetujui"))</f>
        <v/>
      </c>
      <c r="F60" s="18" t="str">
        <f aca="false">IF(A60="","",SUMIFS('PERGERAKAN STOK'!$F$5:$F$504,'PERGERAKAN STOK'!$C$5:$C$504,A60,'PERGERAKAN STOK'!$E$5:$E$504,"Waste",'PERGERAKAN STOK'!$K$5:$K$504,"Disetujui"))</f>
        <v/>
      </c>
      <c r="G60" s="18" t="str">
        <f aca="false">IF(A60="","",SUMIFS('PERGERAKAN STOK'!$F$5:$F$504,'PERGERAKAN STOK'!$C$5:$C$504,A60,'PERGERAKAN STOK'!$E$5:$E$504,"Penyesuaian",'PERGERAKAN STOK'!$K$5:$K$504,"Disetujui"))</f>
        <v/>
      </c>
      <c r="H60" s="18" t="str">
        <f aca="false">IF(A60="","",C60+D60-E60-F60+G60-L60)</f>
        <v/>
      </c>
      <c r="I60" s="18" t="str">
        <f aca="false">IF(A60="","",'MASTER BAHAN'!F60)</f>
        <v/>
      </c>
      <c r="J60" s="18" t="str">
        <f aca="false">IF(A60="","",IF(H60&lt;=0,"Habis",IF(H60&lt;=I60,"Menipis","Aman")))</f>
        <v/>
      </c>
      <c r="K60" s="19" t="str">
        <f aca="false">IF(A60="","",IF(NOT(ISNUMBER('MASTER BAHAN'!I60)),"BELUM LENGKAP",ROUND(H60*'MASTER BAHAN'!I60,0)))</f>
        <v/>
      </c>
      <c r="L60" s="18" t="str">
        <f aca="false">IF(A60="","",SUMIFS('PERGERAKAN STOK'!$F$5:$F$504,'PERGERAKAN STOK'!$C$5:$C$504,A60,'PERGERAKAN STOK'!$E$5:$E$504,"Retur",'PERGERAKAN STOK'!$K$5:$K$504,"Disetujui"))</f>
        <v/>
      </c>
    </row>
    <row r="61" customFormat="false" ht="27" hidden="false" customHeight="true" outlineLevel="0" collapsed="false">
      <c r="A61" s="25" t="str">
        <f aca="false">IF('MASTER BAHAN'!A61="","",'MASTER BAHAN'!A61)</f>
        <v/>
      </c>
      <c r="B61" s="18" t="str">
        <f aca="false">IF(A61="","",'MASTER BAHAN'!B61)</f>
        <v/>
      </c>
      <c r="C61" s="18" t="str">
        <f aca="false">IF(A61="","",'MASTER BAHAN'!E61)</f>
        <v/>
      </c>
      <c r="D61" s="18" t="str">
        <f aca="false">IF(A61="","",SUMIFS('STOK MASUK'!$G$5:$G$504,'STOK MASUK'!$E$5:$E$504,A61))</f>
        <v/>
      </c>
      <c r="E61" s="18" t="str">
        <f aca="false">IF(A61="","",SUMIFS('PERGERAKAN STOK'!$F$5:$F$504,'PERGERAKAN STOK'!$C$5:$C$504,A61,'PERGERAKAN STOK'!$E$5:$E$504,"Pemakaian",'PERGERAKAN STOK'!$K$5:$K$504,"Disetujui"))</f>
        <v/>
      </c>
      <c r="F61" s="18" t="str">
        <f aca="false">IF(A61="","",SUMIFS('PERGERAKAN STOK'!$F$5:$F$504,'PERGERAKAN STOK'!$C$5:$C$504,A61,'PERGERAKAN STOK'!$E$5:$E$504,"Waste",'PERGERAKAN STOK'!$K$5:$K$504,"Disetujui"))</f>
        <v/>
      </c>
      <c r="G61" s="18" t="str">
        <f aca="false">IF(A61="","",SUMIFS('PERGERAKAN STOK'!$F$5:$F$504,'PERGERAKAN STOK'!$C$5:$C$504,A61,'PERGERAKAN STOK'!$E$5:$E$504,"Penyesuaian",'PERGERAKAN STOK'!$K$5:$K$504,"Disetujui"))</f>
        <v/>
      </c>
      <c r="H61" s="18" t="str">
        <f aca="false">IF(A61="","",C61+D61-E61-F61+G61-L61)</f>
        <v/>
      </c>
      <c r="I61" s="18" t="str">
        <f aca="false">IF(A61="","",'MASTER BAHAN'!F61)</f>
        <v/>
      </c>
      <c r="J61" s="18" t="str">
        <f aca="false">IF(A61="","",IF(H61&lt;=0,"Habis",IF(H61&lt;=I61,"Menipis","Aman")))</f>
        <v/>
      </c>
      <c r="K61" s="19" t="str">
        <f aca="false">IF(A61="","",IF(NOT(ISNUMBER('MASTER BAHAN'!I61)),"BELUM LENGKAP",ROUND(H61*'MASTER BAHAN'!I61,0)))</f>
        <v/>
      </c>
      <c r="L61" s="18" t="str">
        <f aca="false">IF(A61="","",SUMIFS('PERGERAKAN STOK'!$F$5:$F$504,'PERGERAKAN STOK'!$C$5:$C$504,A61,'PERGERAKAN STOK'!$E$5:$E$504,"Retur",'PERGERAKAN STOK'!$K$5:$K$504,"Disetujui"))</f>
        <v/>
      </c>
    </row>
    <row r="62" customFormat="false" ht="27" hidden="false" customHeight="true" outlineLevel="0" collapsed="false">
      <c r="A62" s="25" t="str">
        <f aca="false">IF('MASTER BAHAN'!A62="","",'MASTER BAHAN'!A62)</f>
        <v/>
      </c>
      <c r="B62" s="18" t="str">
        <f aca="false">IF(A62="","",'MASTER BAHAN'!B62)</f>
        <v/>
      </c>
      <c r="C62" s="18" t="str">
        <f aca="false">IF(A62="","",'MASTER BAHAN'!E62)</f>
        <v/>
      </c>
      <c r="D62" s="18" t="str">
        <f aca="false">IF(A62="","",SUMIFS('STOK MASUK'!$G$5:$G$504,'STOK MASUK'!$E$5:$E$504,A62))</f>
        <v/>
      </c>
      <c r="E62" s="18" t="str">
        <f aca="false">IF(A62="","",SUMIFS('PERGERAKAN STOK'!$F$5:$F$504,'PERGERAKAN STOK'!$C$5:$C$504,A62,'PERGERAKAN STOK'!$E$5:$E$504,"Pemakaian",'PERGERAKAN STOK'!$K$5:$K$504,"Disetujui"))</f>
        <v/>
      </c>
      <c r="F62" s="18" t="str">
        <f aca="false">IF(A62="","",SUMIFS('PERGERAKAN STOK'!$F$5:$F$504,'PERGERAKAN STOK'!$C$5:$C$504,A62,'PERGERAKAN STOK'!$E$5:$E$504,"Waste",'PERGERAKAN STOK'!$K$5:$K$504,"Disetujui"))</f>
        <v/>
      </c>
      <c r="G62" s="18" t="str">
        <f aca="false">IF(A62="","",SUMIFS('PERGERAKAN STOK'!$F$5:$F$504,'PERGERAKAN STOK'!$C$5:$C$504,A62,'PERGERAKAN STOK'!$E$5:$E$504,"Penyesuaian",'PERGERAKAN STOK'!$K$5:$K$504,"Disetujui"))</f>
        <v/>
      </c>
      <c r="H62" s="18" t="str">
        <f aca="false">IF(A62="","",C62+D62-E62-F62+G62-L62)</f>
        <v/>
      </c>
      <c r="I62" s="18" t="str">
        <f aca="false">IF(A62="","",'MASTER BAHAN'!F62)</f>
        <v/>
      </c>
      <c r="J62" s="18" t="str">
        <f aca="false">IF(A62="","",IF(H62&lt;=0,"Habis",IF(H62&lt;=I62,"Menipis","Aman")))</f>
        <v/>
      </c>
      <c r="K62" s="19" t="str">
        <f aca="false">IF(A62="","",IF(NOT(ISNUMBER('MASTER BAHAN'!I62)),"BELUM LENGKAP",ROUND(H62*'MASTER BAHAN'!I62,0)))</f>
        <v/>
      </c>
      <c r="L62" s="18" t="str">
        <f aca="false">IF(A62="","",SUMIFS('PERGERAKAN STOK'!$F$5:$F$504,'PERGERAKAN STOK'!$C$5:$C$504,A62,'PERGERAKAN STOK'!$E$5:$E$504,"Retur",'PERGERAKAN STOK'!$K$5:$K$504,"Disetujui"))</f>
        <v/>
      </c>
    </row>
    <row r="63" customFormat="false" ht="27" hidden="false" customHeight="true" outlineLevel="0" collapsed="false">
      <c r="A63" s="25" t="str">
        <f aca="false">IF('MASTER BAHAN'!A63="","",'MASTER BAHAN'!A63)</f>
        <v/>
      </c>
      <c r="B63" s="18" t="str">
        <f aca="false">IF(A63="","",'MASTER BAHAN'!B63)</f>
        <v/>
      </c>
      <c r="C63" s="18" t="str">
        <f aca="false">IF(A63="","",'MASTER BAHAN'!E63)</f>
        <v/>
      </c>
      <c r="D63" s="18" t="str">
        <f aca="false">IF(A63="","",SUMIFS('STOK MASUK'!$G$5:$G$504,'STOK MASUK'!$E$5:$E$504,A63))</f>
        <v/>
      </c>
      <c r="E63" s="18" t="str">
        <f aca="false">IF(A63="","",SUMIFS('PERGERAKAN STOK'!$F$5:$F$504,'PERGERAKAN STOK'!$C$5:$C$504,A63,'PERGERAKAN STOK'!$E$5:$E$504,"Pemakaian",'PERGERAKAN STOK'!$K$5:$K$504,"Disetujui"))</f>
        <v/>
      </c>
      <c r="F63" s="18" t="str">
        <f aca="false">IF(A63="","",SUMIFS('PERGERAKAN STOK'!$F$5:$F$504,'PERGERAKAN STOK'!$C$5:$C$504,A63,'PERGERAKAN STOK'!$E$5:$E$504,"Waste",'PERGERAKAN STOK'!$K$5:$K$504,"Disetujui"))</f>
        <v/>
      </c>
      <c r="G63" s="18" t="str">
        <f aca="false">IF(A63="","",SUMIFS('PERGERAKAN STOK'!$F$5:$F$504,'PERGERAKAN STOK'!$C$5:$C$504,A63,'PERGERAKAN STOK'!$E$5:$E$504,"Penyesuaian",'PERGERAKAN STOK'!$K$5:$K$504,"Disetujui"))</f>
        <v/>
      </c>
      <c r="H63" s="18" t="str">
        <f aca="false">IF(A63="","",C63+D63-E63-F63+G63-L63)</f>
        <v/>
      </c>
      <c r="I63" s="18" t="str">
        <f aca="false">IF(A63="","",'MASTER BAHAN'!F63)</f>
        <v/>
      </c>
      <c r="J63" s="18" t="str">
        <f aca="false">IF(A63="","",IF(H63&lt;=0,"Habis",IF(H63&lt;=I63,"Menipis","Aman")))</f>
        <v/>
      </c>
      <c r="K63" s="19" t="str">
        <f aca="false">IF(A63="","",IF(NOT(ISNUMBER('MASTER BAHAN'!I63)),"BELUM LENGKAP",ROUND(H63*'MASTER BAHAN'!I63,0)))</f>
        <v/>
      </c>
      <c r="L63" s="18" t="str">
        <f aca="false">IF(A63="","",SUMIFS('PERGERAKAN STOK'!$F$5:$F$504,'PERGERAKAN STOK'!$C$5:$C$504,A63,'PERGERAKAN STOK'!$E$5:$E$504,"Retur",'PERGERAKAN STOK'!$K$5:$K$504,"Disetujui"))</f>
        <v/>
      </c>
    </row>
    <row r="64" customFormat="false" ht="27" hidden="false" customHeight="true" outlineLevel="0" collapsed="false">
      <c r="A64" s="25" t="str">
        <f aca="false">IF('MASTER BAHAN'!A64="","",'MASTER BAHAN'!A64)</f>
        <v/>
      </c>
      <c r="B64" s="18" t="str">
        <f aca="false">IF(A64="","",'MASTER BAHAN'!B64)</f>
        <v/>
      </c>
      <c r="C64" s="18" t="str">
        <f aca="false">IF(A64="","",'MASTER BAHAN'!E64)</f>
        <v/>
      </c>
      <c r="D64" s="18" t="str">
        <f aca="false">IF(A64="","",SUMIFS('STOK MASUK'!$G$5:$G$504,'STOK MASUK'!$E$5:$E$504,A64))</f>
        <v/>
      </c>
      <c r="E64" s="18" t="str">
        <f aca="false">IF(A64="","",SUMIFS('PERGERAKAN STOK'!$F$5:$F$504,'PERGERAKAN STOK'!$C$5:$C$504,A64,'PERGERAKAN STOK'!$E$5:$E$504,"Pemakaian",'PERGERAKAN STOK'!$K$5:$K$504,"Disetujui"))</f>
        <v/>
      </c>
      <c r="F64" s="18" t="str">
        <f aca="false">IF(A64="","",SUMIFS('PERGERAKAN STOK'!$F$5:$F$504,'PERGERAKAN STOK'!$C$5:$C$504,A64,'PERGERAKAN STOK'!$E$5:$E$504,"Waste",'PERGERAKAN STOK'!$K$5:$K$504,"Disetujui"))</f>
        <v/>
      </c>
      <c r="G64" s="18" t="str">
        <f aca="false">IF(A64="","",SUMIFS('PERGERAKAN STOK'!$F$5:$F$504,'PERGERAKAN STOK'!$C$5:$C$504,A64,'PERGERAKAN STOK'!$E$5:$E$504,"Penyesuaian",'PERGERAKAN STOK'!$K$5:$K$504,"Disetujui"))</f>
        <v/>
      </c>
      <c r="H64" s="18" t="str">
        <f aca="false">IF(A64="","",C64+D64-E64-F64+G64-L64)</f>
        <v/>
      </c>
      <c r="I64" s="18" t="str">
        <f aca="false">IF(A64="","",'MASTER BAHAN'!F64)</f>
        <v/>
      </c>
      <c r="J64" s="18" t="str">
        <f aca="false">IF(A64="","",IF(H64&lt;=0,"Habis",IF(H64&lt;=I64,"Menipis","Aman")))</f>
        <v/>
      </c>
      <c r="K64" s="19" t="str">
        <f aca="false">IF(A64="","",IF(NOT(ISNUMBER('MASTER BAHAN'!I64)),"BELUM LENGKAP",ROUND(H64*'MASTER BAHAN'!I64,0)))</f>
        <v/>
      </c>
      <c r="L64" s="18" t="str">
        <f aca="false">IF(A64="","",SUMIFS('PERGERAKAN STOK'!$F$5:$F$504,'PERGERAKAN STOK'!$C$5:$C$504,A64,'PERGERAKAN STOK'!$E$5:$E$504,"Retur",'PERGERAKAN STOK'!$K$5:$K$504,"Disetujui"))</f>
        <v/>
      </c>
    </row>
  </sheetData>
  <conditionalFormatting sqref="J5:J64">
    <cfRule type="containsText" priority="2" operator="containsText" aboveAverage="0" equalAverage="0" bottom="0" percent="0" rank="0" text="Habis" dxfId="17">
      <formula>NOT(ISERROR(SEARCH("Habis",J5)))</formula>
    </cfRule>
    <cfRule type="containsText" priority="3" operator="containsText" aboveAverage="0" equalAverage="0" bottom="0" percent="0" rank="0" text="Menipis" dxfId="18">
      <formula>NOT(ISERROR(SEARCH("Menipis",J5)))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1"/>
    <col collapsed="false" customWidth="true" hidden="false" outlineLevel="0" max="6" min="4" style="0" width="18"/>
    <col collapsed="false" customWidth="true" hidden="false" outlineLevel="0" max="7" min="7" style="0" width="30"/>
    <col collapsed="false" customWidth="true" hidden="false" outlineLevel="0" max="11" min="8" style="0" width="21"/>
    <col collapsed="false" customWidth="true" hidden="false" outlineLevel="0" max="13" min="12" style="0" width="22"/>
    <col collapsed="false" customWidth="true" hidden="false" outlineLevel="0" max="14" min="14" style="0" width="19"/>
    <col collapsed="false" customWidth="true" hidden="false" outlineLevel="0" max="15" min="15" style="0" width="18"/>
  </cols>
  <sheetData>
    <row r="1" customFormat="false" ht="38" hidden="false" customHeight="true" outlineLevel="0" collapsed="false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customFormat="false" ht="29" hidden="false" customHeight="true" outlineLevel="0" collapsed="false">
      <c r="A2" s="9" t="s">
        <v>242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243</v>
      </c>
      <c r="B4" s="13" t="s">
        <v>244</v>
      </c>
      <c r="C4" s="13" t="s">
        <v>245</v>
      </c>
      <c r="D4" s="13" t="s">
        <v>246</v>
      </c>
      <c r="E4" s="13" t="s">
        <v>247</v>
      </c>
      <c r="F4" s="13" t="s">
        <v>248</v>
      </c>
      <c r="G4" s="13" t="s">
        <v>249</v>
      </c>
      <c r="H4" s="13" t="s">
        <v>250</v>
      </c>
      <c r="I4" s="13" t="s">
        <v>251</v>
      </c>
      <c r="J4" s="13" t="s">
        <v>252</v>
      </c>
      <c r="K4" s="13" t="s">
        <v>253</v>
      </c>
      <c r="L4" s="13" t="s">
        <v>254</v>
      </c>
      <c r="M4" s="13" t="s">
        <v>255</v>
      </c>
      <c r="N4" s="13" t="s">
        <v>256</v>
      </c>
      <c r="O4" s="13" t="s">
        <v>257</v>
      </c>
    </row>
    <row r="5" customFormat="false" ht="27" hidden="false" customHeight="true" outlineLevel="0" collapsed="false">
      <c r="A5" s="14" t="s">
        <v>214</v>
      </c>
      <c r="B5" s="16" t="n">
        <v>46325</v>
      </c>
      <c r="C5" s="26" t="n">
        <v>0.333333333333333</v>
      </c>
      <c r="D5" s="14" t="s">
        <v>258</v>
      </c>
      <c r="E5" s="14" t="s">
        <v>259</v>
      </c>
      <c r="F5" s="14" t="s">
        <v>260</v>
      </c>
      <c r="G5" s="14" t="s">
        <v>261</v>
      </c>
      <c r="H5" s="19" t="n">
        <f aca="false">IF(A5="","",SUMIFS('DETAIL TRANSAKSI'!$G$5:$G$504,'DETAIL TRANSAKSI'!$A$5:$A$504,A5))</f>
        <v>28000</v>
      </c>
      <c r="I5" s="15" t="n">
        <v>0</v>
      </c>
      <c r="J5" s="19" t="n">
        <f aca="false">IF(A5="","",SUMIFS('REFUND DAN PEMBATALAN'!$E$5:$E$504,'REFUND DAN PEMBATALAN'!$B$5:$B$504,A5,'REFUND DAN PEMBATALAN'!$I$5:$I$504,"Berhasil"))</f>
        <v>0</v>
      </c>
      <c r="K5" s="19" t="n">
        <f aca="false">IF(A5="","",H5-I5-J5)</f>
        <v>28000</v>
      </c>
      <c r="L5" s="14" t="s">
        <v>262</v>
      </c>
      <c r="M5" s="14" t="s">
        <v>263</v>
      </c>
      <c r="N5" s="14" t="s">
        <v>264</v>
      </c>
      <c r="O5" s="18" t="str">
        <f aca="false">IF(A5="","",IF(AND(I5=SUMIFS('DETAIL TRANSAKSI'!$H$5:$H$504,'DETAIL TRANSAKSI'!$A$5:$A$504,A5),J5=SUMIFS('DETAIL TRANSAKSI'!$I$5:$I$504,'DETAIL TRANSAKSI'!$A$5:$A$504,A5)),"OK","CEK ALOKASI"))</f>
        <v>OK</v>
      </c>
    </row>
    <row r="6" customFormat="false" ht="27" hidden="false" customHeight="true" outlineLevel="0" collapsed="false">
      <c r="A6" s="14" t="s">
        <v>265</v>
      </c>
      <c r="B6" s="16" t="n">
        <v>46325</v>
      </c>
      <c r="C6" s="26" t="n">
        <v>0.375</v>
      </c>
      <c r="D6" s="14" t="s">
        <v>258</v>
      </c>
      <c r="E6" s="14" t="s">
        <v>259</v>
      </c>
      <c r="F6" s="14" t="s">
        <v>266</v>
      </c>
      <c r="G6" s="14" t="s">
        <v>267</v>
      </c>
      <c r="H6" s="19" t="n">
        <f aca="false">IF(A6="","",SUMIFS('DETAIL TRANSAKSI'!$G$5:$G$504,'DETAIL TRANSAKSI'!$A$5:$A$504,A6))</f>
        <v>25000</v>
      </c>
      <c r="I6" s="15" t="n">
        <v>0</v>
      </c>
      <c r="J6" s="19" t="n">
        <f aca="false">IF(A6="","",SUMIFS('REFUND DAN PEMBATALAN'!$E$5:$E$504,'REFUND DAN PEMBATALAN'!$B$5:$B$504,A6,'REFUND DAN PEMBATALAN'!$I$5:$I$504,"Berhasil"))</f>
        <v>0</v>
      </c>
      <c r="K6" s="19" t="n">
        <f aca="false">IF(A6="","",H6-I6-J6)</f>
        <v>25000</v>
      </c>
      <c r="L6" s="14" t="s">
        <v>268</v>
      </c>
      <c r="M6" s="14" t="s">
        <v>263</v>
      </c>
      <c r="N6" s="14" t="s">
        <v>264</v>
      </c>
      <c r="O6" s="18" t="str">
        <f aca="false">IF(A6="","",IF(AND(I6=SUMIFS('DETAIL TRANSAKSI'!$H$5:$H$504,'DETAIL TRANSAKSI'!$A$5:$A$504,A6),J6=SUMIFS('DETAIL TRANSAKSI'!$I$5:$I$504,'DETAIL TRANSAKSI'!$A$5:$A$504,A6)),"OK","CEK ALOKASI"))</f>
        <v>OK</v>
      </c>
    </row>
    <row r="7" customFormat="false" ht="27" hidden="false" customHeight="true" outlineLevel="0" collapsed="false">
      <c r="A7" s="14" t="s">
        <v>220</v>
      </c>
      <c r="B7" s="16" t="n">
        <v>46325</v>
      </c>
      <c r="C7" s="26" t="n">
        <v>0.416666666666667</v>
      </c>
      <c r="D7" s="14" t="s">
        <v>258</v>
      </c>
      <c r="E7" s="14" t="s">
        <v>259</v>
      </c>
      <c r="F7" s="14" t="s">
        <v>266</v>
      </c>
      <c r="G7" s="14" t="s">
        <v>269</v>
      </c>
      <c r="H7" s="19" t="n">
        <f aca="false">IF(A7="","",SUMIFS('DETAIL TRANSAKSI'!$G$5:$G$504,'DETAIL TRANSAKSI'!$A$5:$A$504,A7))</f>
        <v>32000</v>
      </c>
      <c r="I7" s="15" t="n">
        <v>2000</v>
      </c>
      <c r="J7" s="19" t="n">
        <f aca="false">IF(A7="","",SUMIFS('REFUND DAN PEMBATALAN'!$E$5:$E$504,'REFUND DAN PEMBATALAN'!$B$5:$B$504,A7,'REFUND DAN PEMBATALAN'!$I$5:$I$504,"Berhasil"))</f>
        <v>0</v>
      </c>
      <c r="K7" s="19" t="n">
        <f aca="false">IF(A7="","",H7-I7-J7)</f>
        <v>30000</v>
      </c>
      <c r="L7" s="14" t="s">
        <v>270</v>
      </c>
      <c r="M7" s="14" t="s">
        <v>263</v>
      </c>
      <c r="N7" s="14" t="s">
        <v>264</v>
      </c>
      <c r="O7" s="18" t="str">
        <f aca="false">IF(A7="","",IF(AND(I7=SUMIFS('DETAIL TRANSAKSI'!$H$5:$H$504,'DETAIL TRANSAKSI'!$A$5:$A$504,A7),J7=SUMIFS('DETAIL TRANSAKSI'!$I$5:$I$504,'DETAIL TRANSAKSI'!$A$5:$A$504,A7)),"OK","CEK ALOKASI"))</f>
        <v>OK</v>
      </c>
    </row>
    <row r="8" customFormat="false" ht="27" hidden="false" customHeight="true" outlineLevel="0" collapsed="false">
      <c r="A8" s="14" t="s">
        <v>222</v>
      </c>
      <c r="B8" s="16" t="n">
        <v>46325</v>
      </c>
      <c r="C8" s="26" t="n">
        <v>0.458333333333333</v>
      </c>
      <c r="D8" s="14" t="s">
        <v>258</v>
      </c>
      <c r="E8" s="14" t="s">
        <v>259</v>
      </c>
      <c r="F8" s="14" t="s">
        <v>260</v>
      </c>
      <c r="G8" s="14" t="s">
        <v>261</v>
      </c>
      <c r="H8" s="19" t="n">
        <f aca="false">IF(A8="","",SUMIFS('DETAIL TRANSAKSI'!$G$5:$G$504,'DETAIL TRANSAKSI'!$A$5:$A$504,A8))</f>
        <v>33000</v>
      </c>
      <c r="I8" s="15" t="n">
        <v>0</v>
      </c>
      <c r="J8" s="19" t="n">
        <f aca="false">IF(A8="","",SUMIFS('REFUND DAN PEMBATALAN'!$E$5:$E$504,'REFUND DAN PEMBATALAN'!$B$5:$B$504,A8,'REFUND DAN PEMBATALAN'!$I$5:$I$504,"Berhasil"))</f>
        <v>5000</v>
      </c>
      <c r="K8" s="19" t="n">
        <f aca="false">IF(A8="","",H8-I8-J8)</f>
        <v>28000</v>
      </c>
      <c r="L8" s="14" t="s">
        <v>262</v>
      </c>
      <c r="M8" s="14" t="s">
        <v>263</v>
      </c>
      <c r="N8" s="14" t="s">
        <v>264</v>
      </c>
      <c r="O8" s="18" t="str">
        <f aca="false">IF(A8="","",IF(AND(I8=SUMIFS('DETAIL TRANSAKSI'!$H$5:$H$504,'DETAIL TRANSAKSI'!$A$5:$A$504,A8),J8=SUMIFS('DETAIL TRANSAKSI'!$I$5:$I$504,'DETAIL TRANSAKSI'!$A$5:$A$504,A8)),"OK","CEK ALOKASI"))</f>
        <v>OK</v>
      </c>
    </row>
    <row r="9" customFormat="false" ht="27" hidden="false" customHeight="true" outlineLevel="0" collapsed="false">
      <c r="A9" s="14" t="s">
        <v>224</v>
      </c>
      <c r="B9" s="16" t="n">
        <v>46325</v>
      </c>
      <c r="C9" s="26" t="n">
        <v>0.5</v>
      </c>
      <c r="D9" s="14" t="s">
        <v>258</v>
      </c>
      <c r="E9" s="14" t="s">
        <v>259</v>
      </c>
      <c r="F9" s="14" t="s">
        <v>266</v>
      </c>
      <c r="G9" s="14" t="s">
        <v>271</v>
      </c>
      <c r="H9" s="19" t="n">
        <f aca="false">IF(A9="","",SUMIFS('DETAIL TRANSAKSI'!$G$5:$G$504,'DETAIL TRANSAKSI'!$A$5:$A$504,A9))</f>
        <v>22000</v>
      </c>
      <c r="I9" s="15" t="n">
        <v>0</v>
      </c>
      <c r="J9" s="19" t="n">
        <f aca="false">IF(A9="","",SUMIFS('REFUND DAN PEMBATALAN'!$E$5:$E$504,'REFUND DAN PEMBATALAN'!$B$5:$B$504,A9,'REFUND DAN PEMBATALAN'!$I$5:$I$504,"Berhasil"))</f>
        <v>0</v>
      </c>
      <c r="K9" s="19" t="n">
        <f aca="false">IF(A9="","",H9-I9-J9)</f>
        <v>22000</v>
      </c>
      <c r="L9" s="14" t="s">
        <v>268</v>
      </c>
      <c r="M9" s="14" t="s">
        <v>263</v>
      </c>
      <c r="N9" s="14" t="s">
        <v>264</v>
      </c>
      <c r="O9" s="18" t="str">
        <f aca="false">IF(A9="","",IF(AND(I9=SUMIFS('DETAIL TRANSAKSI'!$H$5:$H$504,'DETAIL TRANSAKSI'!$A$5:$A$504,A9),J9=SUMIFS('DETAIL TRANSAKSI'!$I$5:$I$504,'DETAIL TRANSAKSI'!$A$5:$A$504,A9)),"OK","CEK ALOKASI"))</f>
        <v>OK</v>
      </c>
    </row>
    <row r="10" customFormat="false" ht="27" hidden="false" customHeight="true" outlineLevel="0" collapsed="false">
      <c r="A10" s="14" t="s">
        <v>226</v>
      </c>
      <c r="B10" s="16" t="n">
        <v>46325</v>
      </c>
      <c r="C10" s="26" t="n">
        <v>0.541666666666667</v>
      </c>
      <c r="D10" s="14" t="s">
        <v>258</v>
      </c>
      <c r="E10" s="14" t="s">
        <v>259</v>
      </c>
      <c r="F10" s="14" t="s">
        <v>266</v>
      </c>
      <c r="G10" s="14" t="s">
        <v>272</v>
      </c>
      <c r="H10" s="19" t="n">
        <f aca="false">IF(A10="","",SUMIFS('DETAIL TRANSAKSI'!$G$5:$G$504,'DETAIL TRANSAKSI'!$A$5:$A$504,A10))</f>
        <v>27000</v>
      </c>
      <c r="I10" s="15" t="n">
        <v>0</v>
      </c>
      <c r="J10" s="19" t="n">
        <f aca="false">IF(A10="","",SUMIFS('REFUND DAN PEMBATALAN'!$E$5:$E$504,'REFUND DAN PEMBATALAN'!$B$5:$B$504,A10,'REFUND DAN PEMBATALAN'!$I$5:$I$504,"Berhasil"))</f>
        <v>0</v>
      </c>
      <c r="K10" s="19" t="n">
        <f aca="false">IF(A10="","",H10-I10-J10)</f>
        <v>27000</v>
      </c>
      <c r="L10" s="14" t="s">
        <v>270</v>
      </c>
      <c r="M10" s="14" t="s">
        <v>263</v>
      </c>
      <c r="N10" s="14" t="s">
        <v>264</v>
      </c>
      <c r="O10" s="18" t="str">
        <f aca="false">IF(A10="","",IF(AND(I10=SUMIFS('DETAIL TRANSAKSI'!$H$5:$H$504,'DETAIL TRANSAKSI'!$A$5:$A$504,A10),J10=SUMIFS('DETAIL TRANSAKSI'!$I$5:$I$504,'DETAIL TRANSAKSI'!$A$5:$A$504,A10)),"OK","CEK ALOKASI"))</f>
        <v>OK</v>
      </c>
    </row>
    <row r="11" customFormat="false" ht="27" hidden="false" customHeight="true" outlineLevel="0" collapsed="false">
      <c r="A11" s="14" t="s">
        <v>228</v>
      </c>
      <c r="B11" s="16" t="n">
        <v>46325</v>
      </c>
      <c r="C11" s="26" t="n">
        <v>0.583333333333333</v>
      </c>
      <c r="D11" s="14" t="s">
        <v>258</v>
      </c>
      <c r="E11" s="14" t="s">
        <v>259</v>
      </c>
      <c r="F11" s="14" t="s">
        <v>260</v>
      </c>
      <c r="G11" s="14" t="s">
        <v>261</v>
      </c>
      <c r="H11" s="19" t="n">
        <f aca="false">IF(A11="","",SUMIFS('DETAIL TRANSAKSI'!$G$5:$G$504,'DETAIL TRANSAKSI'!$A$5:$A$504,A11))</f>
        <v>42000</v>
      </c>
      <c r="I11" s="15" t="n">
        <v>0</v>
      </c>
      <c r="J11" s="19" t="n">
        <f aca="false">IF(A11="","",SUMIFS('REFUND DAN PEMBATALAN'!$E$5:$E$504,'REFUND DAN PEMBATALAN'!$B$5:$B$504,A11,'REFUND DAN PEMBATALAN'!$I$5:$I$504,"Berhasil"))</f>
        <v>0</v>
      </c>
      <c r="K11" s="19" t="n">
        <f aca="false">IF(A11="","",H11-I11-J11)</f>
        <v>42000</v>
      </c>
      <c r="L11" s="14" t="s">
        <v>262</v>
      </c>
      <c r="M11" s="14" t="s">
        <v>263</v>
      </c>
      <c r="N11" s="14" t="s">
        <v>264</v>
      </c>
      <c r="O11" s="18" t="str">
        <f aca="false">IF(A11="","",IF(AND(I11=SUMIFS('DETAIL TRANSAKSI'!$H$5:$H$504,'DETAIL TRANSAKSI'!$A$5:$A$504,A11),J11=SUMIFS('DETAIL TRANSAKSI'!$I$5:$I$504,'DETAIL TRANSAKSI'!$A$5:$A$504,A11)),"OK","CEK ALOKASI"))</f>
        <v>OK</v>
      </c>
    </row>
    <row r="12" customFormat="false" ht="27" hidden="false" customHeight="true" outlineLevel="0" collapsed="false">
      <c r="A12" s="14" t="s">
        <v>230</v>
      </c>
      <c r="B12" s="16" t="n">
        <v>46325</v>
      </c>
      <c r="C12" s="26" t="n">
        <v>0.625</v>
      </c>
      <c r="D12" s="14" t="s">
        <v>258</v>
      </c>
      <c r="E12" s="14" t="s">
        <v>259</v>
      </c>
      <c r="F12" s="14" t="s">
        <v>266</v>
      </c>
      <c r="G12" s="14" t="s">
        <v>273</v>
      </c>
      <c r="H12" s="19" t="n">
        <f aca="false">IF(A12="","",SUMIFS('DETAIL TRANSAKSI'!$G$5:$G$504,'DETAIL TRANSAKSI'!$A$5:$A$504,A12))</f>
        <v>26000</v>
      </c>
      <c r="I12" s="15" t="n">
        <v>0</v>
      </c>
      <c r="J12" s="19" t="n">
        <f aca="false">IF(A12="","",SUMIFS('REFUND DAN PEMBATALAN'!$E$5:$E$504,'REFUND DAN PEMBATALAN'!$B$5:$B$504,A12,'REFUND DAN PEMBATALAN'!$I$5:$I$504,"Berhasil"))</f>
        <v>0</v>
      </c>
      <c r="K12" s="19" t="n">
        <f aca="false">IF(A12="","",H12-I12-J12)</f>
        <v>26000</v>
      </c>
      <c r="L12" s="14" t="s">
        <v>268</v>
      </c>
      <c r="M12" s="14" t="s">
        <v>263</v>
      </c>
      <c r="N12" s="14" t="s">
        <v>264</v>
      </c>
      <c r="O12" s="18" t="str">
        <f aca="false">IF(A12="","",IF(AND(I12=SUMIFS('DETAIL TRANSAKSI'!$H$5:$H$504,'DETAIL TRANSAKSI'!$A$5:$A$504,A12),J12=SUMIFS('DETAIL TRANSAKSI'!$I$5:$I$504,'DETAIL TRANSAKSI'!$A$5:$A$504,A12)),"OK","CEK ALOKASI"))</f>
        <v>OK</v>
      </c>
    </row>
    <row r="13" customFormat="false" ht="27" hidden="false" customHeight="true" outlineLevel="0" collapsed="false">
      <c r="A13" s="14" t="s">
        <v>232</v>
      </c>
      <c r="B13" s="16" t="n">
        <v>46325</v>
      </c>
      <c r="C13" s="26" t="n">
        <v>0.666666666666667</v>
      </c>
      <c r="D13" s="14" t="s">
        <v>258</v>
      </c>
      <c r="E13" s="14" t="s">
        <v>259</v>
      </c>
      <c r="F13" s="14" t="s">
        <v>266</v>
      </c>
      <c r="G13" s="14" t="s">
        <v>274</v>
      </c>
      <c r="H13" s="19" t="n">
        <f aca="false">IF(A13="","",SUMIFS('DETAIL TRANSAKSI'!$G$5:$G$504,'DETAIL TRANSAKSI'!$A$5:$A$504,A13))</f>
        <v>20000</v>
      </c>
      <c r="I13" s="15" t="n">
        <v>0</v>
      </c>
      <c r="J13" s="19" t="n">
        <f aca="false">IF(A13="","",SUMIFS('REFUND DAN PEMBATALAN'!$E$5:$E$504,'REFUND DAN PEMBATALAN'!$B$5:$B$504,A13,'REFUND DAN PEMBATALAN'!$I$5:$I$504,"Berhasil"))</f>
        <v>0</v>
      </c>
      <c r="K13" s="19" t="n">
        <f aca="false">IF(A13="","",H13-I13-J13)</f>
        <v>20000</v>
      </c>
      <c r="L13" s="14" t="s">
        <v>270</v>
      </c>
      <c r="M13" s="14" t="s">
        <v>263</v>
      </c>
      <c r="N13" s="14" t="s">
        <v>264</v>
      </c>
      <c r="O13" s="18" t="str">
        <f aca="false">IF(A13="","",IF(AND(I13=SUMIFS('DETAIL TRANSAKSI'!$H$5:$H$504,'DETAIL TRANSAKSI'!$A$5:$A$504,A13),J13=SUMIFS('DETAIL TRANSAKSI'!$I$5:$I$504,'DETAIL TRANSAKSI'!$A$5:$A$504,A13)),"OK","CEK ALOKASI"))</f>
        <v>OK</v>
      </c>
    </row>
    <row r="14" customFormat="false" ht="27" hidden="false" customHeight="true" outlineLevel="0" collapsed="false">
      <c r="A14" s="14" t="s">
        <v>234</v>
      </c>
      <c r="B14" s="16" t="n">
        <v>46325</v>
      </c>
      <c r="C14" s="26" t="n">
        <v>0.708333333333333</v>
      </c>
      <c r="D14" s="14" t="s">
        <v>258</v>
      </c>
      <c r="E14" s="14" t="s">
        <v>259</v>
      </c>
      <c r="F14" s="14" t="s">
        <v>260</v>
      </c>
      <c r="G14" s="14" t="s">
        <v>261</v>
      </c>
      <c r="H14" s="19" t="n">
        <f aca="false">IF(A14="","",SUMIFS('DETAIL TRANSAKSI'!$G$5:$G$504,'DETAIL TRANSAKSI'!$A$5:$A$504,A14))</f>
        <v>24000</v>
      </c>
      <c r="I14" s="15" t="n">
        <v>0</v>
      </c>
      <c r="J14" s="19" t="n">
        <f aca="false">IF(A14="","",SUMIFS('REFUND DAN PEMBATALAN'!$E$5:$E$504,'REFUND DAN PEMBATALAN'!$B$5:$B$504,A14,'REFUND DAN PEMBATALAN'!$I$5:$I$504,"Berhasil"))</f>
        <v>0</v>
      </c>
      <c r="K14" s="19" t="n">
        <f aca="false">IF(A14="","",H14-I14-J14)</f>
        <v>24000</v>
      </c>
      <c r="L14" s="14" t="s">
        <v>262</v>
      </c>
      <c r="M14" s="14" t="s">
        <v>263</v>
      </c>
      <c r="N14" s="14" t="s">
        <v>264</v>
      </c>
      <c r="O14" s="18" t="str">
        <f aca="false">IF(A14="","",IF(AND(I14=SUMIFS('DETAIL TRANSAKSI'!$H$5:$H$504,'DETAIL TRANSAKSI'!$A$5:$A$504,A14),J14=SUMIFS('DETAIL TRANSAKSI'!$I$5:$I$504,'DETAIL TRANSAKSI'!$A$5:$A$504,A14)),"OK","CEK ALOKASI"))</f>
        <v>OK</v>
      </c>
    </row>
    <row r="15" customFormat="false" ht="27" hidden="false" customHeight="true" outlineLevel="0" collapsed="false">
      <c r="A15" s="14"/>
      <c r="B15" s="16"/>
      <c r="C15" s="26"/>
      <c r="D15" s="14"/>
      <c r="E15" s="14"/>
      <c r="F15" s="14"/>
      <c r="G15" s="14"/>
      <c r="H15" s="19" t="str">
        <f aca="false">IF(A15="","",SUMIFS('DETAIL TRANSAKSI'!$G$5:$G$504,'DETAIL TRANSAKSI'!$A$5:$A$504,A15))</f>
        <v/>
      </c>
      <c r="I15" s="15"/>
      <c r="J15" s="19" t="str">
        <f aca="false">IF(A15="","",SUMIFS('REFUND DAN PEMBATALAN'!$E$5:$E$504,'REFUND DAN PEMBATALAN'!$B$5:$B$504,A15,'REFUND DAN PEMBATALAN'!$I$5:$I$504,"Berhasil"))</f>
        <v/>
      </c>
      <c r="K15" s="19" t="str">
        <f aca="false">IF(A15="","",H15-I15-J15)</f>
        <v/>
      </c>
      <c r="L15" s="14"/>
      <c r="M15" s="14"/>
      <c r="N15" s="14"/>
      <c r="O15" s="18" t="str">
        <f aca="false">IF(A15="","",IF(AND(I15=SUMIFS('DETAIL TRANSAKSI'!$H$5:$H$504,'DETAIL TRANSAKSI'!$A$5:$A$504,A15),J15=SUMIFS('DETAIL TRANSAKSI'!$I$5:$I$504,'DETAIL TRANSAKSI'!$A$5:$A$504,A15)),"OK","CEK ALOKASI"))</f>
        <v/>
      </c>
    </row>
    <row r="16" customFormat="false" ht="27" hidden="false" customHeight="true" outlineLevel="0" collapsed="false">
      <c r="A16" s="14"/>
      <c r="B16" s="16"/>
      <c r="C16" s="26"/>
      <c r="D16" s="14"/>
      <c r="E16" s="14"/>
      <c r="F16" s="14"/>
      <c r="G16" s="14"/>
      <c r="H16" s="19" t="str">
        <f aca="false">IF(A16="","",SUMIFS('DETAIL TRANSAKSI'!$G$5:$G$504,'DETAIL TRANSAKSI'!$A$5:$A$504,A16))</f>
        <v/>
      </c>
      <c r="I16" s="15"/>
      <c r="J16" s="19" t="str">
        <f aca="false">IF(A16="","",SUMIFS('REFUND DAN PEMBATALAN'!$E$5:$E$504,'REFUND DAN PEMBATALAN'!$B$5:$B$504,A16,'REFUND DAN PEMBATALAN'!$I$5:$I$504,"Berhasil"))</f>
        <v/>
      </c>
      <c r="K16" s="19" t="str">
        <f aca="false">IF(A16="","",H16-I16-J16)</f>
        <v/>
      </c>
      <c r="L16" s="14"/>
      <c r="M16" s="14"/>
      <c r="N16" s="14"/>
      <c r="O16" s="18" t="str">
        <f aca="false">IF(A16="","",IF(AND(I16=SUMIFS('DETAIL TRANSAKSI'!$H$5:$H$504,'DETAIL TRANSAKSI'!$A$5:$A$504,A16),J16=SUMIFS('DETAIL TRANSAKSI'!$I$5:$I$504,'DETAIL TRANSAKSI'!$A$5:$A$504,A16)),"OK","CEK ALOKASI"))</f>
        <v/>
      </c>
    </row>
    <row r="17" customFormat="false" ht="27" hidden="false" customHeight="true" outlineLevel="0" collapsed="false">
      <c r="A17" s="14"/>
      <c r="B17" s="16"/>
      <c r="C17" s="26"/>
      <c r="D17" s="14"/>
      <c r="E17" s="14"/>
      <c r="F17" s="14"/>
      <c r="G17" s="14"/>
      <c r="H17" s="19" t="str">
        <f aca="false">IF(A17="","",SUMIFS('DETAIL TRANSAKSI'!$G$5:$G$504,'DETAIL TRANSAKSI'!$A$5:$A$504,A17))</f>
        <v/>
      </c>
      <c r="I17" s="15"/>
      <c r="J17" s="19" t="str">
        <f aca="false">IF(A17="","",SUMIFS('REFUND DAN PEMBATALAN'!$E$5:$E$504,'REFUND DAN PEMBATALAN'!$B$5:$B$504,A17,'REFUND DAN PEMBATALAN'!$I$5:$I$504,"Berhasil"))</f>
        <v/>
      </c>
      <c r="K17" s="19" t="str">
        <f aca="false">IF(A17="","",H17-I17-J17)</f>
        <v/>
      </c>
      <c r="L17" s="14"/>
      <c r="M17" s="14"/>
      <c r="N17" s="14"/>
      <c r="O17" s="18" t="str">
        <f aca="false">IF(A17="","",IF(AND(I17=SUMIFS('DETAIL TRANSAKSI'!$H$5:$H$504,'DETAIL TRANSAKSI'!$A$5:$A$504,A17),J17=SUMIFS('DETAIL TRANSAKSI'!$I$5:$I$504,'DETAIL TRANSAKSI'!$A$5:$A$504,A17)),"OK","CEK ALOKASI"))</f>
        <v/>
      </c>
    </row>
    <row r="18" customFormat="false" ht="27" hidden="false" customHeight="true" outlineLevel="0" collapsed="false">
      <c r="A18" s="14"/>
      <c r="B18" s="16"/>
      <c r="C18" s="26"/>
      <c r="D18" s="14"/>
      <c r="E18" s="14"/>
      <c r="F18" s="14"/>
      <c r="G18" s="14"/>
      <c r="H18" s="19" t="str">
        <f aca="false">IF(A18="","",SUMIFS('DETAIL TRANSAKSI'!$G$5:$G$504,'DETAIL TRANSAKSI'!$A$5:$A$504,A18))</f>
        <v/>
      </c>
      <c r="I18" s="15"/>
      <c r="J18" s="19" t="str">
        <f aca="false">IF(A18="","",SUMIFS('REFUND DAN PEMBATALAN'!$E$5:$E$504,'REFUND DAN PEMBATALAN'!$B$5:$B$504,A18,'REFUND DAN PEMBATALAN'!$I$5:$I$504,"Berhasil"))</f>
        <v/>
      </c>
      <c r="K18" s="19" t="str">
        <f aca="false">IF(A18="","",H18-I18-J18)</f>
        <v/>
      </c>
      <c r="L18" s="14"/>
      <c r="M18" s="14"/>
      <c r="N18" s="14"/>
      <c r="O18" s="18" t="str">
        <f aca="false">IF(A18="","",IF(AND(I18=SUMIFS('DETAIL TRANSAKSI'!$H$5:$H$504,'DETAIL TRANSAKSI'!$A$5:$A$504,A18),J18=SUMIFS('DETAIL TRANSAKSI'!$I$5:$I$504,'DETAIL TRANSAKSI'!$A$5:$A$504,A18)),"OK","CEK ALOKASI"))</f>
        <v/>
      </c>
    </row>
    <row r="19" customFormat="false" ht="27" hidden="false" customHeight="true" outlineLevel="0" collapsed="false">
      <c r="A19" s="14"/>
      <c r="B19" s="16"/>
      <c r="C19" s="26"/>
      <c r="D19" s="14"/>
      <c r="E19" s="14"/>
      <c r="F19" s="14"/>
      <c r="G19" s="14"/>
      <c r="H19" s="19" t="str">
        <f aca="false">IF(A19="","",SUMIFS('DETAIL TRANSAKSI'!$G$5:$G$504,'DETAIL TRANSAKSI'!$A$5:$A$504,A19))</f>
        <v/>
      </c>
      <c r="I19" s="15"/>
      <c r="J19" s="19" t="str">
        <f aca="false">IF(A19="","",SUMIFS('REFUND DAN PEMBATALAN'!$E$5:$E$504,'REFUND DAN PEMBATALAN'!$B$5:$B$504,A19,'REFUND DAN PEMBATALAN'!$I$5:$I$504,"Berhasil"))</f>
        <v/>
      </c>
      <c r="K19" s="19" t="str">
        <f aca="false">IF(A19="","",H19-I19-J19)</f>
        <v/>
      </c>
      <c r="L19" s="14"/>
      <c r="M19" s="14"/>
      <c r="N19" s="14"/>
      <c r="O19" s="18" t="str">
        <f aca="false">IF(A19="","",IF(AND(I19=SUMIFS('DETAIL TRANSAKSI'!$H$5:$H$504,'DETAIL TRANSAKSI'!$A$5:$A$504,A19),J19=SUMIFS('DETAIL TRANSAKSI'!$I$5:$I$504,'DETAIL TRANSAKSI'!$A$5:$A$504,A19)),"OK","CEK ALOKASI"))</f>
        <v/>
      </c>
    </row>
    <row r="20" customFormat="false" ht="27" hidden="false" customHeight="true" outlineLevel="0" collapsed="false">
      <c r="A20" s="14"/>
      <c r="B20" s="16"/>
      <c r="C20" s="26"/>
      <c r="D20" s="14"/>
      <c r="E20" s="14"/>
      <c r="F20" s="14"/>
      <c r="G20" s="14"/>
      <c r="H20" s="19" t="str">
        <f aca="false">IF(A20="","",SUMIFS('DETAIL TRANSAKSI'!$G$5:$G$504,'DETAIL TRANSAKSI'!$A$5:$A$504,A20))</f>
        <v/>
      </c>
      <c r="I20" s="15"/>
      <c r="J20" s="19" t="str">
        <f aca="false">IF(A20="","",SUMIFS('REFUND DAN PEMBATALAN'!$E$5:$E$504,'REFUND DAN PEMBATALAN'!$B$5:$B$504,A20,'REFUND DAN PEMBATALAN'!$I$5:$I$504,"Berhasil"))</f>
        <v/>
      </c>
      <c r="K20" s="19" t="str">
        <f aca="false">IF(A20="","",H20-I20-J20)</f>
        <v/>
      </c>
      <c r="L20" s="14"/>
      <c r="M20" s="14"/>
      <c r="N20" s="14"/>
      <c r="O20" s="18" t="str">
        <f aca="false">IF(A20="","",IF(AND(I20=SUMIFS('DETAIL TRANSAKSI'!$H$5:$H$504,'DETAIL TRANSAKSI'!$A$5:$A$504,A20),J20=SUMIFS('DETAIL TRANSAKSI'!$I$5:$I$504,'DETAIL TRANSAKSI'!$A$5:$A$504,A20)),"OK","CEK ALOKASI"))</f>
        <v/>
      </c>
    </row>
    <row r="21" customFormat="false" ht="27" hidden="false" customHeight="true" outlineLevel="0" collapsed="false">
      <c r="A21" s="14"/>
      <c r="B21" s="16"/>
      <c r="C21" s="26"/>
      <c r="D21" s="14"/>
      <c r="E21" s="14"/>
      <c r="F21" s="14"/>
      <c r="G21" s="14"/>
      <c r="H21" s="19" t="str">
        <f aca="false">IF(A21="","",SUMIFS('DETAIL TRANSAKSI'!$G$5:$G$504,'DETAIL TRANSAKSI'!$A$5:$A$504,A21))</f>
        <v/>
      </c>
      <c r="I21" s="15"/>
      <c r="J21" s="19" t="str">
        <f aca="false">IF(A21="","",SUMIFS('REFUND DAN PEMBATALAN'!$E$5:$E$504,'REFUND DAN PEMBATALAN'!$B$5:$B$504,A21,'REFUND DAN PEMBATALAN'!$I$5:$I$504,"Berhasil"))</f>
        <v/>
      </c>
      <c r="K21" s="19" t="str">
        <f aca="false">IF(A21="","",H21-I21-J21)</f>
        <v/>
      </c>
      <c r="L21" s="14"/>
      <c r="M21" s="14"/>
      <c r="N21" s="14"/>
      <c r="O21" s="18" t="str">
        <f aca="false">IF(A21="","",IF(AND(I21=SUMIFS('DETAIL TRANSAKSI'!$H$5:$H$504,'DETAIL TRANSAKSI'!$A$5:$A$504,A21),J21=SUMIFS('DETAIL TRANSAKSI'!$I$5:$I$504,'DETAIL TRANSAKSI'!$A$5:$A$504,A21)),"OK","CEK ALOKASI"))</f>
        <v/>
      </c>
    </row>
    <row r="22" customFormat="false" ht="27" hidden="false" customHeight="true" outlineLevel="0" collapsed="false">
      <c r="A22" s="14"/>
      <c r="B22" s="16"/>
      <c r="C22" s="26"/>
      <c r="D22" s="14"/>
      <c r="E22" s="14"/>
      <c r="F22" s="14"/>
      <c r="G22" s="14"/>
      <c r="H22" s="19" t="str">
        <f aca="false">IF(A22="","",SUMIFS('DETAIL TRANSAKSI'!$G$5:$G$504,'DETAIL TRANSAKSI'!$A$5:$A$504,A22))</f>
        <v/>
      </c>
      <c r="I22" s="15"/>
      <c r="J22" s="19" t="str">
        <f aca="false">IF(A22="","",SUMIFS('REFUND DAN PEMBATALAN'!$E$5:$E$504,'REFUND DAN PEMBATALAN'!$B$5:$B$504,A22,'REFUND DAN PEMBATALAN'!$I$5:$I$504,"Berhasil"))</f>
        <v/>
      </c>
      <c r="K22" s="19" t="str">
        <f aca="false">IF(A22="","",H22-I22-J22)</f>
        <v/>
      </c>
      <c r="L22" s="14"/>
      <c r="M22" s="14"/>
      <c r="N22" s="14"/>
      <c r="O22" s="18" t="str">
        <f aca="false">IF(A22="","",IF(AND(I22=SUMIFS('DETAIL TRANSAKSI'!$H$5:$H$504,'DETAIL TRANSAKSI'!$A$5:$A$504,A22),J22=SUMIFS('DETAIL TRANSAKSI'!$I$5:$I$504,'DETAIL TRANSAKSI'!$A$5:$A$504,A22)),"OK","CEK ALOKASI"))</f>
        <v/>
      </c>
    </row>
    <row r="23" customFormat="false" ht="27" hidden="false" customHeight="true" outlineLevel="0" collapsed="false">
      <c r="A23" s="14"/>
      <c r="B23" s="16"/>
      <c r="C23" s="26"/>
      <c r="D23" s="14"/>
      <c r="E23" s="14"/>
      <c r="F23" s="14"/>
      <c r="G23" s="14"/>
      <c r="H23" s="19" t="str">
        <f aca="false">IF(A23="","",SUMIFS('DETAIL TRANSAKSI'!$G$5:$G$504,'DETAIL TRANSAKSI'!$A$5:$A$504,A23))</f>
        <v/>
      </c>
      <c r="I23" s="15"/>
      <c r="J23" s="19" t="str">
        <f aca="false">IF(A23="","",SUMIFS('REFUND DAN PEMBATALAN'!$E$5:$E$504,'REFUND DAN PEMBATALAN'!$B$5:$B$504,A23,'REFUND DAN PEMBATALAN'!$I$5:$I$504,"Berhasil"))</f>
        <v/>
      </c>
      <c r="K23" s="19" t="str">
        <f aca="false">IF(A23="","",H23-I23-J23)</f>
        <v/>
      </c>
      <c r="L23" s="14"/>
      <c r="M23" s="14"/>
      <c r="N23" s="14"/>
      <c r="O23" s="18" t="str">
        <f aca="false">IF(A23="","",IF(AND(I23=SUMIFS('DETAIL TRANSAKSI'!$H$5:$H$504,'DETAIL TRANSAKSI'!$A$5:$A$504,A23),J23=SUMIFS('DETAIL TRANSAKSI'!$I$5:$I$504,'DETAIL TRANSAKSI'!$A$5:$A$504,A23)),"OK","CEK ALOKASI"))</f>
        <v/>
      </c>
    </row>
    <row r="24" customFormat="false" ht="27" hidden="false" customHeight="true" outlineLevel="0" collapsed="false">
      <c r="A24" s="14"/>
      <c r="B24" s="16"/>
      <c r="C24" s="26"/>
      <c r="D24" s="14"/>
      <c r="E24" s="14"/>
      <c r="F24" s="14"/>
      <c r="G24" s="14"/>
      <c r="H24" s="19" t="str">
        <f aca="false">IF(A24="","",SUMIFS('DETAIL TRANSAKSI'!$G$5:$G$504,'DETAIL TRANSAKSI'!$A$5:$A$504,A24))</f>
        <v/>
      </c>
      <c r="I24" s="15"/>
      <c r="J24" s="19" t="str">
        <f aca="false">IF(A24="","",SUMIFS('REFUND DAN PEMBATALAN'!$E$5:$E$504,'REFUND DAN PEMBATALAN'!$B$5:$B$504,A24,'REFUND DAN PEMBATALAN'!$I$5:$I$504,"Berhasil"))</f>
        <v/>
      </c>
      <c r="K24" s="19" t="str">
        <f aca="false">IF(A24="","",H24-I24-J24)</f>
        <v/>
      </c>
      <c r="L24" s="14"/>
      <c r="M24" s="14"/>
      <c r="N24" s="14"/>
      <c r="O24" s="18" t="str">
        <f aca="false">IF(A24="","",IF(AND(I24=SUMIFS('DETAIL TRANSAKSI'!$H$5:$H$504,'DETAIL TRANSAKSI'!$A$5:$A$504,A24),J24=SUMIFS('DETAIL TRANSAKSI'!$I$5:$I$504,'DETAIL TRANSAKSI'!$A$5:$A$504,A24)),"OK","CEK ALOKASI"))</f>
        <v/>
      </c>
    </row>
    <row r="25" customFormat="false" ht="27" hidden="false" customHeight="true" outlineLevel="0" collapsed="false">
      <c r="A25" s="14"/>
      <c r="B25" s="16"/>
      <c r="C25" s="26"/>
      <c r="D25" s="14"/>
      <c r="E25" s="14"/>
      <c r="F25" s="14"/>
      <c r="G25" s="14"/>
      <c r="H25" s="19" t="str">
        <f aca="false">IF(A25="","",SUMIFS('DETAIL TRANSAKSI'!$G$5:$G$504,'DETAIL TRANSAKSI'!$A$5:$A$504,A25))</f>
        <v/>
      </c>
      <c r="I25" s="15"/>
      <c r="J25" s="19" t="str">
        <f aca="false">IF(A25="","",SUMIFS('REFUND DAN PEMBATALAN'!$E$5:$E$504,'REFUND DAN PEMBATALAN'!$B$5:$B$504,A25,'REFUND DAN PEMBATALAN'!$I$5:$I$504,"Berhasil"))</f>
        <v/>
      </c>
      <c r="K25" s="19" t="str">
        <f aca="false">IF(A25="","",H25-I25-J25)</f>
        <v/>
      </c>
      <c r="L25" s="14"/>
      <c r="M25" s="14"/>
      <c r="N25" s="14"/>
      <c r="O25" s="18" t="str">
        <f aca="false">IF(A25="","",IF(AND(I25=SUMIFS('DETAIL TRANSAKSI'!$H$5:$H$504,'DETAIL TRANSAKSI'!$A$5:$A$504,A25),J25=SUMIFS('DETAIL TRANSAKSI'!$I$5:$I$504,'DETAIL TRANSAKSI'!$A$5:$A$504,A25)),"OK","CEK ALOKASI"))</f>
        <v/>
      </c>
    </row>
    <row r="26" customFormat="false" ht="27" hidden="false" customHeight="true" outlineLevel="0" collapsed="false">
      <c r="A26" s="14"/>
      <c r="B26" s="16"/>
      <c r="C26" s="26"/>
      <c r="D26" s="14"/>
      <c r="E26" s="14"/>
      <c r="F26" s="14"/>
      <c r="G26" s="14"/>
      <c r="H26" s="19" t="str">
        <f aca="false">IF(A26="","",SUMIFS('DETAIL TRANSAKSI'!$G$5:$G$504,'DETAIL TRANSAKSI'!$A$5:$A$504,A26))</f>
        <v/>
      </c>
      <c r="I26" s="15"/>
      <c r="J26" s="19" t="str">
        <f aca="false">IF(A26="","",SUMIFS('REFUND DAN PEMBATALAN'!$E$5:$E$504,'REFUND DAN PEMBATALAN'!$B$5:$B$504,A26,'REFUND DAN PEMBATALAN'!$I$5:$I$504,"Berhasil"))</f>
        <v/>
      </c>
      <c r="K26" s="19" t="str">
        <f aca="false">IF(A26="","",H26-I26-J26)</f>
        <v/>
      </c>
      <c r="L26" s="14"/>
      <c r="M26" s="14"/>
      <c r="N26" s="14"/>
      <c r="O26" s="18" t="str">
        <f aca="false">IF(A26="","",IF(AND(I26=SUMIFS('DETAIL TRANSAKSI'!$H$5:$H$504,'DETAIL TRANSAKSI'!$A$5:$A$504,A26),J26=SUMIFS('DETAIL TRANSAKSI'!$I$5:$I$504,'DETAIL TRANSAKSI'!$A$5:$A$504,A26)),"OK","CEK ALOKASI"))</f>
        <v/>
      </c>
    </row>
    <row r="27" customFormat="false" ht="27" hidden="false" customHeight="true" outlineLevel="0" collapsed="false">
      <c r="A27" s="14"/>
      <c r="B27" s="16"/>
      <c r="C27" s="26"/>
      <c r="D27" s="14"/>
      <c r="E27" s="14"/>
      <c r="F27" s="14"/>
      <c r="G27" s="14"/>
      <c r="H27" s="19" t="str">
        <f aca="false">IF(A27="","",SUMIFS('DETAIL TRANSAKSI'!$G$5:$G$504,'DETAIL TRANSAKSI'!$A$5:$A$504,A27))</f>
        <v/>
      </c>
      <c r="I27" s="15"/>
      <c r="J27" s="19" t="str">
        <f aca="false">IF(A27="","",SUMIFS('REFUND DAN PEMBATALAN'!$E$5:$E$504,'REFUND DAN PEMBATALAN'!$B$5:$B$504,A27,'REFUND DAN PEMBATALAN'!$I$5:$I$504,"Berhasil"))</f>
        <v/>
      </c>
      <c r="K27" s="19" t="str">
        <f aca="false">IF(A27="","",H27-I27-J27)</f>
        <v/>
      </c>
      <c r="L27" s="14"/>
      <c r="M27" s="14"/>
      <c r="N27" s="14"/>
      <c r="O27" s="18" t="str">
        <f aca="false">IF(A27="","",IF(AND(I27=SUMIFS('DETAIL TRANSAKSI'!$H$5:$H$504,'DETAIL TRANSAKSI'!$A$5:$A$504,A27),J27=SUMIFS('DETAIL TRANSAKSI'!$I$5:$I$504,'DETAIL TRANSAKSI'!$A$5:$A$504,A27)),"OK","CEK ALOKASI"))</f>
        <v/>
      </c>
    </row>
    <row r="28" customFormat="false" ht="27" hidden="false" customHeight="true" outlineLevel="0" collapsed="false">
      <c r="A28" s="14"/>
      <c r="B28" s="16"/>
      <c r="C28" s="26"/>
      <c r="D28" s="14"/>
      <c r="E28" s="14"/>
      <c r="F28" s="14"/>
      <c r="G28" s="14"/>
      <c r="H28" s="19" t="str">
        <f aca="false">IF(A28="","",SUMIFS('DETAIL TRANSAKSI'!$G$5:$G$504,'DETAIL TRANSAKSI'!$A$5:$A$504,A28))</f>
        <v/>
      </c>
      <c r="I28" s="15"/>
      <c r="J28" s="19" t="str">
        <f aca="false">IF(A28="","",SUMIFS('REFUND DAN PEMBATALAN'!$E$5:$E$504,'REFUND DAN PEMBATALAN'!$B$5:$B$504,A28,'REFUND DAN PEMBATALAN'!$I$5:$I$504,"Berhasil"))</f>
        <v/>
      </c>
      <c r="K28" s="19" t="str">
        <f aca="false">IF(A28="","",H28-I28-J28)</f>
        <v/>
      </c>
      <c r="L28" s="14"/>
      <c r="M28" s="14"/>
      <c r="N28" s="14"/>
      <c r="O28" s="18" t="str">
        <f aca="false">IF(A28="","",IF(AND(I28=SUMIFS('DETAIL TRANSAKSI'!$H$5:$H$504,'DETAIL TRANSAKSI'!$A$5:$A$504,A28),J28=SUMIFS('DETAIL TRANSAKSI'!$I$5:$I$504,'DETAIL TRANSAKSI'!$A$5:$A$504,A28)),"OK","CEK ALOKASI"))</f>
        <v/>
      </c>
    </row>
    <row r="29" customFormat="false" ht="27" hidden="false" customHeight="true" outlineLevel="0" collapsed="false">
      <c r="A29" s="14"/>
      <c r="B29" s="16"/>
      <c r="C29" s="26"/>
      <c r="D29" s="14"/>
      <c r="E29" s="14"/>
      <c r="F29" s="14"/>
      <c r="G29" s="14"/>
      <c r="H29" s="19" t="str">
        <f aca="false">IF(A29="","",SUMIFS('DETAIL TRANSAKSI'!$G$5:$G$504,'DETAIL TRANSAKSI'!$A$5:$A$504,A29))</f>
        <v/>
      </c>
      <c r="I29" s="15"/>
      <c r="J29" s="19" t="str">
        <f aca="false">IF(A29="","",SUMIFS('REFUND DAN PEMBATALAN'!$E$5:$E$504,'REFUND DAN PEMBATALAN'!$B$5:$B$504,A29,'REFUND DAN PEMBATALAN'!$I$5:$I$504,"Berhasil"))</f>
        <v/>
      </c>
      <c r="K29" s="19" t="str">
        <f aca="false">IF(A29="","",H29-I29-J29)</f>
        <v/>
      </c>
      <c r="L29" s="14"/>
      <c r="M29" s="14"/>
      <c r="N29" s="14"/>
      <c r="O29" s="18" t="str">
        <f aca="false">IF(A29="","",IF(AND(I29=SUMIFS('DETAIL TRANSAKSI'!$H$5:$H$504,'DETAIL TRANSAKSI'!$A$5:$A$504,A29),J29=SUMIFS('DETAIL TRANSAKSI'!$I$5:$I$504,'DETAIL TRANSAKSI'!$A$5:$A$504,A29)),"OK","CEK ALOKASI"))</f>
        <v/>
      </c>
    </row>
    <row r="30" customFormat="false" ht="27" hidden="false" customHeight="true" outlineLevel="0" collapsed="false">
      <c r="A30" s="14"/>
      <c r="B30" s="16"/>
      <c r="C30" s="26"/>
      <c r="D30" s="14"/>
      <c r="E30" s="14"/>
      <c r="F30" s="14"/>
      <c r="G30" s="14"/>
      <c r="H30" s="19" t="str">
        <f aca="false">IF(A30="","",SUMIFS('DETAIL TRANSAKSI'!$G$5:$G$504,'DETAIL TRANSAKSI'!$A$5:$A$504,A30))</f>
        <v/>
      </c>
      <c r="I30" s="15"/>
      <c r="J30" s="19" t="str">
        <f aca="false">IF(A30="","",SUMIFS('REFUND DAN PEMBATALAN'!$E$5:$E$504,'REFUND DAN PEMBATALAN'!$B$5:$B$504,A30,'REFUND DAN PEMBATALAN'!$I$5:$I$504,"Berhasil"))</f>
        <v/>
      </c>
      <c r="K30" s="19" t="str">
        <f aca="false">IF(A30="","",H30-I30-J30)</f>
        <v/>
      </c>
      <c r="L30" s="14"/>
      <c r="M30" s="14"/>
      <c r="N30" s="14"/>
      <c r="O30" s="18" t="str">
        <f aca="false">IF(A30="","",IF(AND(I30=SUMIFS('DETAIL TRANSAKSI'!$H$5:$H$504,'DETAIL TRANSAKSI'!$A$5:$A$504,A30),J30=SUMIFS('DETAIL TRANSAKSI'!$I$5:$I$504,'DETAIL TRANSAKSI'!$A$5:$A$504,A30)),"OK","CEK ALOKASI"))</f>
        <v/>
      </c>
    </row>
    <row r="31" customFormat="false" ht="27" hidden="false" customHeight="true" outlineLevel="0" collapsed="false">
      <c r="A31" s="14"/>
      <c r="B31" s="16"/>
      <c r="C31" s="26"/>
      <c r="D31" s="14"/>
      <c r="E31" s="14"/>
      <c r="F31" s="14"/>
      <c r="G31" s="14"/>
      <c r="H31" s="19" t="str">
        <f aca="false">IF(A31="","",SUMIFS('DETAIL TRANSAKSI'!$G$5:$G$504,'DETAIL TRANSAKSI'!$A$5:$A$504,A31))</f>
        <v/>
      </c>
      <c r="I31" s="15"/>
      <c r="J31" s="19" t="str">
        <f aca="false">IF(A31="","",SUMIFS('REFUND DAN PEMBATALAN'!$E$5:$E$504,'REFUND DAN PEMBATALAN'!$B$5:$B$504,A31,'REFUND DAN PEMBATALAN'!$I$5:$I$504,"Berhasil"))</f>
        <v/>
      </c>
      <c r="K31" s="19" t="str">
        <f aca="false">IF(A31="","",H31-I31-J31)</f>
        <v/>
      </c>
      <c r="L31" s="14"/>
      <c r="M31" s="14"/>
      <c r="N31" s="14"/>
      <c r="O31" s="18" t="str">
        <f aca="false">IF(A31="","",IF(AND(I31=SUMIFS('DETAIL TRANSAKSI'!$H$5:$H$504,'DETAIL TRANSAKSI'!$A$5:$A$504,A31),J31=SUMIFS('DETAIL TRANSAKSI'!$I$5:$I$504,'DETAIL TRANSAKSI'!$A$5:$A$504,A31)),"OK","CEK ALOKASI"))</f>
        <v/>
      </c>
    </row>
    <row r="32" customFormat="false" ht="27" hidden="false" customHeight="true" outlineLevel="0" collapsed="false">
      <c r="A32" s="14"/>
      <c r="B32" s="16"/>
      <c r="C32" s="26"/>
      <c r="D32" s="14"/>
      <c r="E32" s="14"/>
      <c r="F32" s="14"/>
      <c r="G32" s="14"/>
      <c r="H32" s="19" t="str">
        <f aca="false">IF(A32="","",SUMIFS('DETAIL TRANSAKSI'!$G$5:$G$504,'DETAIL TRANSAKSI'!$A$5:$A$504,A32))</f>
        <v/>
      </c>
      <c r="I32" s="15"/>
      <c r="J32" s="19" t="str">
        <f aca="false">IF(A32="","",SUMIFS('REFUND DAN PEMBATALAN'!$E$5:$E$504,'REFUND DAN PEMBATALAN'!$B$5:$B$504,A32,'REFUND DAN PEMBATALAN'!$I$5:$I$504,"Berhasil"))</f>
        <v/>
      </c>
      <c r="K32" s="19" t="str">
        <f aca="false">IF(A32="","",H32-I32-J32)</f>
        <v/>
      </c>
      <c r="L32" s="14"/>
      <c r="M32" s="14"/>
      <c r="N32" s="14"/>
      <c r="O32" s="18" t="str">
        <f aca="false">IF(A32="","",IF(AND(I32=SUMIFS('DETAIL TRANSAKSI'!$H$5:$H$504,'DETAIL TRANSAKSI'!$A$5:$A$504,A32),J32=SUMIFS('DETAIL TRANSAKSI'!$I$5:$I$504,'DETAIL TRANSAKSI'!$A$5:$A$504,A32)),"OK","CEK ALOKASI"))</f>
        <v/>
      </c>
    </row>
    <row r="33" customFormat="false" ht="27" hidden="false" customHeight="true" outlineLevel="0" collapsed="false">
      <c r="A33" s="14"/>
      <c r="B33" s="16"/>
      <c r="C33" s="26"/>
      <c r="D33" s="14"/>
      <c r="E33" s="14"/>
      <c r="F33" s="14"/>
      <c r="G33" s="14"/>
      <c r="H33" s="19" t="str">
        <f aca="false">IF(A33="","",SUMIFS('DETAIL TRANSAKSI'!$G$5:$G$504,'DETAIL TRANSAKSI'!$A$5:$A$504,A33))</f>
        <v/>
      </c>
      <c r="I33" s="15"/>
      <c r="J33" s="19" t="str">
        <f aca="false">IF(A33="","",SUMIFS('REFUND DAN PEMBATALAN'!$E$5:$E$504,'REFUND DAN PEMBATALAN'!$B$5:$B$504,A33,'REFUND DAN PEMBATALAN'!$I$5:$I$504,"Berhasil"))</f>
        <v/>
      </c>
      <c r="K33" s="19" t="str">
        <f aca="false">IF(A33="","",H33-I33-J33)</f>
        <v/>
      </c>
      <c r="L33" s="14"/>
      <c r="M33" s="14"/>
      <c r="N33" s="14"/>
      <c r="O33" s="18" t="str">
        <f aca="false">IF(A33="","",IF(AND(I33=SUMIFS('DETAIL TRANSAKSI'!$H$5:$H$504,'DETAIL TRANSAKSI'!$A$5:$A$504,A33),J33=SUMIFS('DETAIL TRANSAKSI'!$I$5:$I$504,'DETAIL TRANSAKSI'!$A$5:$A$504,A33)),"OK","CEK ALOKASI"))</f>
        <v/>
      </c>
    </row>
    <row r="34" customFormat="false" ht="27" hidden="false" customHeight="true" outlineLevel="0" collapsed="false">
      <c r="A34" s="14"/>
      <c r="B34" s="16"/>
      <c r="C34" s="26"/>
      <c r="D34" s="14"/>
      <c r="E34" s="14"/>
      <c r="F34" s="14"/>
      <c r="G34" s="14"/>
      <c r="H34" s="19" t="str">
        <f aca="false">IF(A34="","",SUMIFS('DETAIL TRANSAKSI'!$G$5:$G$504,'DETAIL TRANSAKSI'!$A$5:$A$504,A34))</f>
        <v/>
      </c>
      <c r="I34" s="15"/>
      <c r="J34" s="19" t="str">
        <f aca="false">IF(A34="","",SUMIFS('REFUND DAN PEMBATALAN'!$E$5:$E$504,'REFUND DAN PEMBATALAN'!$B$5:$B$504,A34,'REFUND DAN PEMBATALAN'!$I$5:$I$504,"Berhasil"))</f>
        <v/>
      </c>
      <c r="K34" s="19" t="str">
        <f aca="false">IF(A34="","",H34-I34-J34)</f>
        <v/>
      </c>
      <c r="L34" s="14"/>
      <c r="M34" s="14"/>
      <c r="N34" s="14"/>
      <c r="O34" s="18" t="str">
        <f aca="false">IF(A34="","",IF(AND(I34=SUMIFS('DETAIL TRANSAKSI'!$H$5:$H$504,'DETAIL TRANSAKSI'!$A$5:$A$504,A34),J34=SUMIFS('DETAIL TRANSAKSI'!$I$5:$I$504,'DETAIL TRANSAKSI'!$A$5:$A$504,A34)),"OK","CEK ALOKASI"))</f>
        <v/>
      </c>
    </row>
    <row r="35" customFormat="false" ht="27" hidden="false" customHeight="true" outlineLevel="0" collapsed="false">
      <c r="A35" s="14"/>
      <c r="B35" s="16"/>
      <c r="C35" s="26"/>
      <c r="D35" s="14"/>
      <c r="E35" s="14"/>
      <c r="F35" s="14"/>
      <c r="G35" s="14"/>
      <c r="H35" s="19" t="str">
        <f aca="false">IF(A35="","",SUMIFS('DETAIL TRANSAKSI'!$G$5:$G$504,'DETAIL TRANSAKSI'!$A$5:$A$504,A35))</f>
        <v/>
      </c>
      <c r="I35" s="15"/>
      <c r="J35" s="19" t="str">
        <f aca="false">IF(A35="","",SUMIFS('REFUND DAN PEMBATALAN'!$E$5:$E$504,'REFUND DAN PEMBATALAN'!$B$5:$B$504,A35,'REFUND DAN PEMBATALAN'!$I$5:$I$504,"Berhasil"))</f>
        <v/>
      </c>
      <c r="K35" s="19" t="str">
        <f aca="false">IF(A35="","",H35-I35-J35)</f>
        <v/>
      </c>
      <c r="L35" s="14"/>
      <c r="M35" s="14"/>
      <c r="N35" s="14"/>
      <c r="O35" s="18" t="str">
        <f aca="false">IF(A35="","",IF(AND(I35=SUMIFS('DETAIL TRANSAKSI'!$H$5:$H$504,'DETAIL TRANSAKSI'!$A$5:$A$504,A35),J35=SUMIFS('DETAIL TRANSAKSI'!$I$5:$I$504,'DETAIL TRANSAKSI'!$A$5:$A$504,A35)),"OK","CEK ALOKASI"))</f>
        <v/>
      </c>
    </row>
    <row r="36" customFormat="false" ht="27" hidden="false" customHeight="true" outlineLevel="0" collapsed="false">
      <c r="A36" s="14"/>
      <c r="B36" s="16"/>
      <c r="C36" s="26"/>
      <c r="D36" s="14"/>
      <c r="E36" s="14"/>
      <c r="F36" s="14"/>
      <c r="G36" s="14"/>
      <c r="H36" s="19" t="str">
        <f aca="false">IF(A36="","",SUMIFS('DETAIL TRANSAKSI'!$G$5:$G$504,'DETAIL TRANSAKSI'!$A$5:$A$504,A36))</f>
        <v/>
      </c>
      <c r="I36" s="15"/>
      <c r="J36" s="19" t="str">
        <f aca="false">IF(A36="","",SUMIFS('REFUND DAN PEMBATALAN'!$E$5:$E$504,'REFUND DAN PEMBATALAN'!$B$5:$B$504,A36,'REFUND DAN PEMBATALAN'!$I$5:$I$504,"Berhasil"))</f>
        <v/>
      </c>
      <c r="K36" s="19" t="str">
        <f aca="false">IF(A36="","",H36-I36-J36)</f>
        <v/>
      </c>
      <c r="L36" s="14"/>
      <c r="M36" s="14"/>
      <c r="N36" s="14"/>
      <c r="O36" s="18" t="str">
        <f aca="false">IF(A36="","",IF(AND(I36=SUMIFS('DETAIL TRANSAKSI'!$H$5:$H$504,'DETAIL TRANSAKSI'!$A$5:$A$504,A36),J36=SUMIFS('DETAIL TRANSAKSI'!$I$5:$I$504,'DETAIL TRANSAKSI'!$A$5:$A$504,A36)),"OK","CEK ALOKASI"))</f>
        <v/>
      </c>
    </row>
    <row r="37" customFormat="false" ht="27" hidden="false" customHeight="true" outlineLevel="0" collapsed="false">
      <c r="A37" s="14"/>
      <c r="B37" s="16"/>
      <c r="C37" s="26"/>
      <c r="D37" s="14"/>
      <c r="E37" s="14"/>
      <c r="F37" s="14"/>
      <c r="G37" s="14"/>
      <c r="H37" s="19" t="str">
        <f aca="false">IF(A37="","",SUMIFS('DETAIL TRANSAKSI'!$G$5:$G$504,'DETAIL TRANSAKSI'!$A$5:$A$504,A37))</f>
        <v/>
      </c>
      <c r="I37" s="15"/>
      <c r="J37" s="19" t="str">
        <f aca="false">IF(A37="","",SUMIFS('REFUND DAN PEMBATALAN'!$E$5:$E$504,'REFUND DAN PEMBATALAN'!$B$5:$B$504,A37,'REFUND DAN PEMBATALAN'!$I$5:$I$504,"Berhasil"))</f>
        <v/>
      </c>
      <c r="K37" s="19" t="str">
        <f aca="false">IF(A37="","",H37-I37-J37)</f>
        <v/>
      </c>
      <c r="L37" s="14"/>
      <c r="M37" s="14"/>
      <c r="N37" s="14"/>
      <c r="O37" s="18" t="str">
        <f aca="false">IF(A37="","",IF(AND(I37=SUMIFS('DETAIL TRANSAKSI'!$H$5:$H$504,'DETAIL TRANSAKSI'!$A$5:$A$504,A37),J37=SUMIFS('DETAIL TRANSAKSI'!$I$5:$I$504,'DETAIL TRANSAKSI'!$A$5:$A$504,A37)),"OK","CEK ALOKASI"))</f>
        <v/>
      </c>
    </row>
    <row r="38" customFormat="false" ht="27" hidden="false" customHeight="true" outlineLevel="0" collapsed="false">
      <c r="A38" s="14"/>
      <c r="B38" s="16"/>
      <c r="C38" s="26"/>
      <c r="D38" s="14"/>
      <c r="E38" s="14"/>
      <c r="F38" s="14"/>
      <c r="G38" s="14"/>
      <c r="H38" s="19" t="str">
        <f aca="false">IF(A38="","",SUMIFS('DETAIL TRANSAKSI'!$G$5:$G$504,'DETAIL TRANSAKSI'!$A$5:$A$504,A38))</f>
        <v/>
      </c>
      <c r="I38" s="15"/>
      <c r="J38" s="19" t="str">
        <f aca="false">IF(A38="","",SUMIFS('REFUND DAN PEMBATALAN'!$E$5:$E$504,'REFUND DAN PEMBATALAN'!$B$5:$B$504,A38,'REFUND DAN PEMBATALAN'!$I$5:$I$504,"Berhasil"))</f>
        <v/>
      </c>
      <c r="K38" s="19" t="str">
        <f aca="false">IF(A38="","",H38-I38-J38)</f>
        <v/>
      </c>
      <c r="L38" s="14"/>
      <c r="M38" s="14"/>
      <c r="N38" s="14"/>
      <c r="O38" s="18" t="str">
        <f aca="false">IF(A38="","",IF(AND(I38=SUMIFS('DETAIL TRANSAKSI'!$H$5:$H$504,'DETAIL TRANSAKSI'!$A$5:$A$504,A38),J38=SUMIFS('DETAIL TRANSAKSI'!$I$5:$I$504,'DETAIL TRANSAKSI'!$A$5:$A$504,A38)),"OK","CEK ALOKASI"))</f>
        <v/>
      </c>
    </row>
    <row r="39" customFormat="false" ht="27" hidden="false" customHeight="true" outlineLevel="0" collapsed="false">
      <c r="A39" s="14"/>
      <c r="B39" s="16"/>
      <c r="C39" s="26"/>
      <c r="D39" s="14"/>
      <c r="E39" s="14"/>
      <c r="F39" s="14"/>
      <c r="G39" s="14"/>
      <c r="H39" s="19" t="str">
        <f aca="false">IF(A39="","",SUMIFS('DETAIL TRANSAKSI'!$G$5:$G$504,'DETAIL TRANSAKSI'!$A$5:$A$504,A39))</f>
        <v/>
      </c>
      <c r="I39" s="15"/>
      <c r="J39" s="19" t="str">
        <f aca="false">IF(A39="","",SUMIFS('REFUND DAN PEMBATALAN'!$E$5:$E$504,'REFUND DAN PEMBATALAN'!$B$5:$B$504,A39,'REFUND DAN PEMBATALAN'!$I$5:$I$504,"Berhasil"))</f>
        <v/>
      </c>
      <c r="K39" s="19" t="str">
        <f aca="false">IF(A39="","",H39-I39-J39)</f>
        <v/>
      </c>
      <c r="L39" s="14"/>
      <c r="M39" s="14"/>
      <c r="N39" s="14"/>
      <c r="O39" s="18" t="str">
        <f aca="false">IF(A39="","",IF(AND(I39=SUMIFS('DETAIL TRANSAKSI'!$H$5:$H$504,'DETAIL TRANSAKSI'!$A$5:$A$504,A39),J39=SUMIFS('DETAIL TRANSAKSI'!$I$5:$I$504,'DETAIL TRANSAKSI'!$A$5:$A$504,A39)),"OK","CEK ALOKASI"))</f>
        <v/>
      </c>
    </row>
    <row r="40" customFormat="false" ht="27" hidden="false" customHeight="true" outlineLevel="0" collapsed="false">
      <c r="A40" s="14"/>
      <c r="B40" s="16"/>
      <c r="C40" s="26"/>
      <c r="D40" s="14"/>
      <c r="E40" s="14"/>
      <c r="F40" s="14"/>
      <c r="G40" s="14"/>
      <c r="H40" s="19" t="str">
        <f aca="false">IF(A40="","",SUMIFS('DETAIL TRANSAKSI'!$G$5:$G$504,'DETAIL TRANSAKSI'!$A$5:$A$504,A40))</f>
        <v/>
      </c>
      <c r="I40" s="15"/>
      <c r="J40" s="19" t="str">
        <f aca="false">IF(A40="","",SUMIFS('REFUND DAN PEMBATALAN'!$E$5:$E$504,'REFUND DAN PEMBATALAN'!$B$5:$B$504,A40,'REFUND DAN PEMBATALAN'!$I$5:$I$504,"Berhasil"))</f>
        <v/>
      </c>
      <c r="K40" s="19" t="str">
        <f aca="false">IF(A40="","",H40-I40-J40)</f>
        <v/>
      </c>
      <c r="L40" s="14"/>
      <c r="M40" s="14"/>
      <c r="N40" s="14"/>
      <c r="O40" s="18" t="str">
        <f aca="false">IF(A40="","",IF(AND(I40=SUMIFS('DETAIL TRANSAKSI'!$H$5:$H$504,'DETAIL TRANSAKSI'!$A$5:$A$504,A40),J40=SUMIFS('DETAIL TRANSAKSI'!$I$5:$I$504,'DETAIL TRANSAKSI'!$A$5:$A$504,A40)),"OK","CEK ALOKASI"))</f>
        <v/>
      </c>
    </row>
    <row r="41" customFormat="false" ht="27" hidden="false" customHeight="true" outlineLevel="0" collapsed="false">
      <c r="A41" s="14"/>
      <c r="B41" s="16"/>
      <c r="C41" s="26"/>
      <c r="D41" s="14"/>
      <c r="E41" s="14"/>
      <c r="F41" s="14"/>
      <c r="G41" s="14"/>
      <c r="H41" s="19" t="str">
        <f aca="false">IF(A41="","",SUMIFS('DETAIL TRANSAKSI'!$G$5:$G$504,'DETAIL TRANSAKSI'!$A$5:$A$504,A41))</f>
        <v/>
      </c>
      <c r="I41" s="15"/>
      <c r="J41" s="19" t="str">
        <f aca="false">IF(A41="","",SUMIFS('REFUND DAN PEMBATALAN'!$E$5:$E$504,'REFUND DAN PEMBATALAN'!$B$5:$B$504,A41,'REFUND DAN PEMBATALAN'!$I$5:$I$504,"Berhasil"))</f>
        <v/>
      </c>
      <c r="K41" s="19" t="str">
        <f aca="false">IF(A41="","",H41-I41-J41)</f>
        <v/>
      </c>
      <c r="L41" s="14"/>
      <c r="M41" s="14"/>
      <c r="N41" s="14"/>
      <c r="O41" s="18" t="str">
        <f aca="false">IF(A41="","",IF(AND(I41=SUMIFS('DETAIL TRANSAKSI'!$H$5:$H$504,'DETAIL TRANSAKSI'!$A$5:$A$504,A41),J41=SUMIFS('DETAIL TRANSAKSI'!$I$5:$I$504,'DETAIL TRANSAKSI'!$A$5:$A$504,A41)),"OK","CEK ALOKASI"))</f>
        <v/>
      </c>
    </row>
    <row r="42" customFormat="false" ht="27" hidden="false" customHeight="true" outlineLevel="0" collapsed="false">
      <c r="A42" s="14"/>
      <c r="B42" s="16"/>
      <c r="C42" s="26"/>
      <c r="D42" s="14"/>
      <c r="E42" s="14"/>
      <c r="F42" s="14"/>
      <c r="G42" s="14"/>
      <c r="H42" s="19" t="str">
        <f aca="false">IF(A42="","",SUMIFS('DETAIL TRANSAKSI'!$G$5:$G$504,'DETAIL TRANSAKSI'!$A$5:$A$504,A42))</f>
        <v/>
      </c>
      <c r="I42" s="15"/>
      <c r="J42" s="19" t="str">
        <f aca="false">IF(A42="","",SUMIFS('REFUND DAN PEMBATALAN'!$E$5:$E$504,'REFUND DAN PEMBATALAN'!$B$5:$B$504,A42,'REFUND DAN PEMBATALAN'!$I$5:$I$504,"Berhasil"))</f>
        <v/>
      </c>
      <c r="K42" s="19" t="str">
        <f aca="false">IF(A42="","",H42-I42-J42)</f>
        <v/>
      </c>
      <c r="L42" s="14"/>
      <c r="M42" s="14"/>
      <c r="N42" s="14"/>
      <c r="O42" s="18" t="str">
        <f aca="false">IF(A42="","",IF(AND(I42=SUMIFS('DETAIL TRANSAKSI'!$H$5:$H$504,'DETAIL TRANSAKSI'!$A$5:$A$504,A42),J42=SUMIFS('DETAIL TRANSAKSI'!$I$5:$I$504,'DETAIL TRANSAKSI'!$A$5:$A$504,A42)),"OK","CEK ALOKASI"))</f>
        <v/>
      </c>
    </row>
    <row r="43" customFormat="false" ht="27" hidden="false" customHeight="true" outlineLevel="0" collapsed="false">
      <c r="A43" s="14"/>
      <c r="B43" s="16"/>
      <c r="C43" s="26"/>
      <c r="D43" s="14"/>
      <c r="E43" s="14"/>
      <c r="F43" s="14"/>
      <c r="G43" s="14"/>
      <c r="H43" s="19" t="str">
        <f aca="false">IF(A43="","",SUMIFS('DETAIL TRANSAKSI'!$G$5:$G$504,'DETAIL TRANSAKSI'!$A$5:$A$504,A43))</f>
        <v/>
      </c>
      <c r="I43" s="15"/>
      <c r="J43" s="19" t="str">
        <f aca="false">IF(A43="","",SUMIFS('REFUND DAN PEMBATALAN'!$E$5:$E$504,'REFUND DAN PEMBATALAN'!$B$5:$B$504,A43,'REFUND DAN PEMBATALAN'!$I$5:$I$504,"Berhasil"))</f>
        <v/>
      </c>
      <c r="K43" s="19" t="str">
        <f aca="false">IF(A43="","",H43-I43-J43)</f>
        <v/>
      </c>
      <c r="L43" s="14"/>
      <c r="M43" s="14"/>
      <c r="N43" s="14"/>
      <c r="O43" s="18" t="str">
        <f aca="false">IF(A43="","",IF(AND(I43=SUMIFS('DETAIL TRANSAKSI'!$H$5:$H$504,'DETAIL TRANSAKSI'!$A$5:$A$504,A43),J43=SUMIFS('DETAIL TRANSAKSI'!$I$5:$I$504,'DETAIL TRANSAKSI'!$A$5:$A$504,A43)),"OK","CEK ALOKASI"))</f>
        <v/>
      </c>
    </row>
    <row r="44" customFormat="false" ht="27" hidden="false" customHeight="true" outlineLevel="0" collapsed="false">
      <c r="A44" s="14"/>
      <c r="B44" s="16"/>
      <c r="C44" s="26"/>
      <c r="D44" s="14"/>
      <c r="E44" s="14"/>
      <c r="F44" s="14"/>
      <c r="G44" s="14"/>
      <c r="H44" s="19" t="str">
        <f aca="false">IF(A44="","",SUMIFS('DETAIL TRANSAKSI'!$G$5:$G$504,'DETAIL TRANSAKSI'!$A$5:$A$504,A44))</f>
        <v/>
      </c>
      <c r="I44" s="15"/>
      <c r="J44" s="19" t="str">
        <f aca="false">IF(A44="","",SUMIFS('REFUND DAN PEMBATALAN'!$E$5:$E$504,'REFUND DAN PEMBATALAN'!$B$5:$B$504,A44,'REFUND DAN PEMBATALAN'!$I$5:$I$504,"Berhasil"))</f>
        <v/>
      </c>
      <c r="K44" s="19" t="str">
        <f aca="false">IF(A44="","",H44-I44-J44)</f>
        <v/>
      </c>
      <c r="L44" s="14"/>
      <c r="M44" s="14"/>
      <c r="N44" s="14"/>
      <c r="O44" s="18" t="str">
        <f aca="false">IF(A44="","",IF(AND(I44=SUMIFS('DETAIL TRANSAKSI'!$H$5:$H$504,'DETAIL TRANSAKSI'!$A$5:$A$504,A44),J44=SUMIFS('DETAIL TRANSAKSI'!$I$5:$I$504,'DETAIL TRANSAKSI'!$A$5:$A$504,A44)),"OK","CEK ALOKASI"))</f>
        <v/>
      </c>
    </row>
    <row r="45" customFormat="false" ht="27" hidden="false" customHeight="true" outlineLevel="0" collapsed="false">
      <c r="A45" s="14"/>
      <c r="B45" s="16"/>
      <c r="C45" s="26"/>
      <c r="D45" s="14"/>
      <c r="E45" s="14"/>
      <c r="F45" s="14"/>
      <c r="G45" s="14"/>
      <c r="H45" s="19" t="str">
        <f aca="false">IF(A45="","",SUMIFS('DETAIL TRANSAKSI'!$G$5:$G$504,'DETAIL TRANSAKSI'!$A$5:$A$504,A45))</f>
        <v/>
      </c>
      <c r="I45" s="15"/>
      <c r="J45" s="19" t="str">
        <f aca="false">IF(A45="","",SUMIFS('REFUND DAN PEMBATALAN'!$E$5:$E$504,'REFUND DAN PEMBATALAN'!$B$5:$B$504,A45,'REFUND DAN PEMBATALAN'!$I$5:$I$504,"Berhasil"))</f>
        <v/>
      </c>
      <c r="K45" s="19" t="str">
        <f aca="false">IF(A45="","",H45-I45-J45)</f>
        <v/>
      </c>
      <c r="L45" s="14"/>
      <c r="M45" s="14"/>
      <c r="N45" s="14"/>
      <c r="O45" s="18" t="str">
        <f aca="false">IF(A45="","",IF(AND(I45=SUMIFS('DETAIL TRANSAKSI'!$H$5:$H$504,'DETAIL TRANSAKSI'!$A$5:$A$504,A45),J45=SUMIFS('DETAIL TRANSAKSI'!$I$5:$I$504,'DETAIL TRANSAKSI'!$A$5:$A$504,A45)),"OK","CEK ALOKASI"))</f>
        <v/>
      </c>
    </row>
    <row r="46" customFormat="false" ht="27" hidden="false" customHeight="true" outlineLevel="0" collapsed="false">
      <c r="A46" s="14"/>
      <c r="B46" s="16"/>
      <c r="C46" s="26"/>
      <c r="D46" s="14"/>
      <c r="E46" s="14"/>
      <c r="F46" s="14"/>
      <c r="G46" s="14"/>
      <c r="H46" s="19" t="str">
        <f aca="false">IF(A46="","",SUMIFS('DETAIL TRANSAKSI'!$G$5:$G$504,'DETAIL TRANSAKSI'!$A$5:$A$504,A46))</f>
        <v/>
      </c>
      <c r="I46" s="15"/>
      <c r="J46" s="19" t="str">
        <f aca="false">IF(A46="","",SUMIFS('REFUND DAN PEMBATALAN'!$E$5:$E$504,'REFUND DAN PEMBATALAN'!$B$5:$B$504,A46,'REFUND DAN PEMBATALAN'!$I$5:$I$504,"Berhasil"))</f>
        <v/>
      </c>
      <c r="K46" s="19" t="str">
        <f aca="false">IF(A46="","",H46-I46-J46)</f>
        <v/>
      </c>
      <c r="L46" s="14"/>
      <c r="M46" s="14"/>
      <c r="N46" s="14"/>
      <c r="O46" s="18" t="str">
        <f aca="false">IF(A46="","",IF(AND(I46=SUMIFS('DETAIL TRANSAKSI'!$H$5:$H$504,'DETAIL TRANSAKSI'!$A$5:$A$504,A46),J46=SUMIFS('DETAIL TRANSAKSI'!$I$5:$I$504,'DETAIL TRANSAKSI'!$A$5:$A$504,A46)),"OK","CEK ALOKASI"))</f>
        <v/>
      </c>
    </row>
    <row r="47" customFormat="false" ht="27" hidden="false" customHeight="true" outlineLevel="0" collapsed="false">
      <c r="A47" s="14"/>
      <c r="B47" s="16"/>
      <c r="C47" s="26"/>
      <c r="D47" s="14"/>
      <c r="E47" s="14"/>
      <c r="F47" s="14"/>
      <c r="G47" s="14"/>
      <c r="H47" s="19" t="str">
        <f aca="false">IF(A47="","",SUMIFS('DETAIL TRANSAKSI'!$G$5:$G$504,'DETAIL TRANSAKSI'!$A$5:$A$504,A47))</f>
        <v/>
      </c>
      <c r="I47" s="15"/>
      <c r="J47" s="19" t="str">
        <f aca="false">IF(A47="","",SUMIFS('REFUND DAN PEMBATALAN'!$E$5:$E$504,'REFUND DAN PEMBATALAN'!$B$5:$B$504,A47,'REFUND DAN PEMBATALAN'!$I$5:$I$504,"Berhasil"))</f>
        <v/>
      </c>
      <c r="K47" s="19" t="str">
        <f aca="false">IF(A47="","",H47-I47-J47)</f>
        <v/>
      </c>
      <c r="L47" s="14"/>
      <c r="M47" s="14"/>
      <c r="N47" s="14"/>
      <c r="O47" s="18" t="str">
        <f aca="false">IF(A47="","",IF(AND(I47=SUMIFS('DETAIL TRANSAKSI'!$H$5:$H$504,'DETAIL TRANSAKSI'!$A$5:$A$504,A47),J47=SUMIFS('DETAIL TRANSAKSI'!$I$5:$I$504,'DETAIL TRANSAKSI'!$A$5:$A$504,A47)),"OK","CEK ALOKASI"))</f>
        <v/>
      </c>
    </row>
    <row r="48" customFormat="false" ht="27" hidden="false" customHeight="true" outlineLevel="0" collapsed="false">
      <c r="A48" s="14"/>
      <c r="B48" s="16"/>
      <c r="C48" s="26"/>
      <c r="D48" s="14"/>
      <c r="E48" s="14"/>
      <c r="F48" s="14"/>
      <c r="G48" s="14"/>
      <c r="H48" s="19" t="str">
        <f aca="false">IF(A48="","",SUMIFS('DETAIL TRANSAKSI'!$G$5:$G$504,'DETAIL TRANSAKSI'!$A$5:$A$504,A48))</f>
        <v/>
      </c>
      <c r="I48" s="15"/>
      <c r="J48" s="19" t="str">
        <f aca="false">IF(A48="","",SUMIFS('REFUND DAN PEMBATALAN'!$E$5:$E$504,'REFUND DAN PEMBATALAN'!$B$5:$B$504,A48,'REFUND DAN PEMBATALAN'!$I$5:$I$504,"Berhasil"))</f>
        <v/>
      </c>
      <c r="K48" s="19" t="str">
        <f aca="false">IF(A48="","",H48-I48-J48)</f>
        <v/>
      </c>
      <c r="L48" s="14"/>
      <c r="M48" s="14"/>
      <c r="N48" s="14"/>
      <c r="O48" s="18" t="str">
        <f aca="false">IF(A48="","",IF(AND(I48=SUMIFS('DETAIL TRANSAKSI'!$H$5:$H$504,'DETAIL TRANSAKSI'!$A$5:$A$504,A48),J48=SUMIFS('DETAIL TRANSAKSI'!$I$5:$I$504,'DETAIL TRANSAKSI'!$A$5:$A$504,A48)),"OK","CEK ALOKASI"))</f>
        <v/>
      </c>
    </row>
    <row r="49" customFormat="false" ht="27" hidden="false" customHeight="true" outlineLevel="0" collapsed="false">
      <c r="A49" s="14"/>
      <c r="B49" s="16"/>
      <c r="C49" s="26"/>
      <c r="D49" s="14"/>
      <c r="E49" s="14"/>
      <c r="F49" s="14"/>
      <c r="G49" s="14"/>
      <c r="H49" s="19" t="str">
        <f aca="false">IF(A49="","",SUMIFS('DETAIL TRANSAKSI'!$G$5:$G$504,'DETAIL TRANSAKSI'!$A$5:$A$504,A49))</f>
        <v/>
      </c>
      <c r="I49" s="15"/>
      <c r="J49" s="19" t="str">
        <f aca="false">IF(A49="","",SUMIFS('REFUND DAN PEMBATALAN'!$E$5:$E$504,'REFUND DAN PEMBATALAN'!$B$5:$B$504,A49,'REFUND DAN PEMBATALAN'!$I$5:$I$504,"Berhasil"))</f>
        <v/>
      </c>
      <c r="K49" s="19" t="str">
        <f aca="false">IF(A49="","",H49-I49-J49)</f>
        <v/>
      </c>
      <c r="L49" s="14"/>
      <c r="M49" s="14"/>
      <c r="N49" s="14"/>
      <c r="O49" s="18" t="str">
        <f aca="false">IF(A49="","",IF(AND(I49=SUMIFS('DETAIL TRANSAKSI'!$H$5:$H$504,'DETAIL TRANSAKSI'!$A$5:$A$504,A49),J49=SUMIFS('DETAIL TRANSAKSI'!$I$5:$I$504,'DETAIL TRANSAKSI'!$A$5:$A$504,A49)),"OK","CEK ALOKASI"))</f>
        <v/>
      </c>
    </row>
    <row r="50" customFormat="false" ht="27" hidden="false" customHeight="true" outlineLevel="0" collapsed="false">
      <c r="A50" s="14"/>
      <c r="B50" s="16"/>
      <c r="C50" s="26"/>
      <c r="D50" s="14"/>
      <c r="E50" s="14"/>
      <c r="F50" s="14"/>
      <c r="G50" s="14"/>
      <c r="H50" s="19" t="str">
        <f aca="false">IF(A50="","",SUMIFS('DETAIL TRANSAKSI'!$G$5:$G$504,'DETAIL TRANSAKSI'!$A$5:$A$504,A50))</f>
        <v/>
      </c>
      <c r="I50" s="15"/>
      <c r="J50" s="19" t="str">
        <f aca="false">IF(A50="","",SUMIFS('REFUND DAN PEMBATALAN'!$E$5:$E$504,'REFUND DAN PEMBATALAN'!$B$5:$B$504,A50,'REFUND DAN PEMBATALAN'!$I$5:$I$504,"Berhasil"))</f>
        <v/>
      </c>
      <c r="K50" s="19" t="str">
        <f aca="false">IF(A50="","",H50-I50-J50)</f>
        <v/>
      </c>
      <c r="L50" s="14"/>
      <c r="M50" s="14"/>
      <c r="N50" s="14"/>
      <c r="O50" s="18" t="str">
        <f aca="false">IF(A50="","",IF(AND(I50=SUMIFS('DETAIL TRANSAKSI'!$H$5:$H$504,'DETAIL TRANSAKSI'!$A$5:$A$504,A50),J50=SUMIFS('DETAIL TRANSAKSI'!$I$5:$I$504,'DETAIL TRANSAKSI'!$A$5:$A$504,A50)),"OK","CEK ALOKASI"))</f>
        <v/>
      </c>
    </row>
    <row r="51" customFormat="false" ht="27" hidden="false" customHeight="true" outlineLevel="0" collapsed="false">
      <c r="A51" s="14"/>
      <c r="B51" s="16"/>
      <c r="C51" s="26"/>
      <c r="D51" s="14"/>
      <c r="E51" s="14"/>
      <c r="F51" s="14"/>
      <c r="G51" s="14"/>
      <c r="H51" s="19" t="str">
        <f aca="false">IF(A51="","",SUMIFS('DETAIL TRANSAKSI'!$G$5:$G$504,'DETAIL TRANSAKSI'!$A$5:$A$504,A51))</f>
        <v/>
      </c>
      <c r="I51" s="15"/>
      <c r="J51" s="19" t="str">
        <f aca="false">IF(A51="","",SUMIFS('REFUND DAN PEMBATALAN'!$E$5:$E$504,'REFUND DAN PEMBATALAN'!$B$5:$B$504,A51,'REFUND DAN PEMBATALAN'!$I$5:$I$504,"Berhasil"))</f>
        <v/>
      </c>
      <c r="K51" s="19" t="str">
        <f aca="false">IF(A51="","",H51-I51-J51)</f>
        <v/>
      </c>
      <c r="L51" s="14"/>
      <c r="M51" s="14"/>
      <c r="N51" s="14"/>
      <c r="O51" s="18" t="str">
        <f aca="false">IF(A51="","",IF(AND(I51=SUMIFS('DETAIL TRANSAKSI'!$H$5:$H$504,'DETAIL TRANSAKSI'!$A$5:$A$504,A51),J51=SUMIFS('DETAIL TRANSAKSI'!$I$5:$I$504,'DETAIL TRANSAKSI'!$A$5:$A$504,A51)),"OK","CEK ALOKASI"))</f>
        <v/>
      </c>
    </row>
    <row r="52" customFormat="false" ht="27" hidden="false" customHeight="true" outlineLevel="0" collapsed="false">
      <c r="A52" s="14"/>
      <c r="B52" s="16"/>
      <c r="C52" s="26"/>
      <c r="D52" s="14"/>
      <c r="E52" s="14"/>
      <c r="F52" s="14"/>
      <c r="G52" s="14"/>
      <c r="H52" s="19" t="str">
        <f aca="false">IF(A52="","",SUMIFS('DETAIL TRANSAKSI'!$G$5:$G$504,'DETAIL TRANSAKSI'!$A$5:$A$504,A52))</f>
        <v/>
      </c>
      <c r="I52" s="15"/>
      <c r="J52" s="19" t="str">
        <f aca="false">IF(A52="","",SUMIFS('REFUND DAN PEMBATALAN'!$E$5:$E$504,'REFUND DAN PEMBATALAN'!$B$5:$B$504,A52,'REFUND DAN PEMBATALAN'!$I$5:$I$504,"Berhasil"))</f>
        <v/>
      </c>
      <c r="K52" s="19" t="str">
        <f aca="false">IF(A52="","",H52-I52-J52)</f>
        <v/>
      </c>
      <c r="L52" s="14"/>
      <c r="M52" s="14"/>
      <c r="N52" s="14"/>
      <c r="O52" s="18" t="str">
        <f aca="false">IF(A52="","",IF(AND(I52=SUMIFS('DETAIL TRANSAKSI'!$H$5:$H$504,'DETAIL TRANSAKSI'!$A$5:$A$504,A52),J52=SUMIFS('DETAIL TRANSAKSI'!$I$5:$I$504,'DETAIL TRANSAKSI'!$A$5:$A$504,A52)),"OK","CEK ALOKASI"))</f>
        <v/>
      </c>
    </row>
    <row r="53" customFormat="false" ht="27" hidden="false" customHeight="true" outlineLevel="0" collapsed="false">
      <c r="A53" s="14"/>
      <c r="B53" s="16"/>
      <c r="C53" s="26"/>
      <c r="D53" s="14"/>
      <c r="E53" s="14"/>
      <c r="F53" s="14"/>
      <c r="G53" s="14"/>
      <c r="H53" s="19" t="str">
        <f aca="false">IF(A53="","",SUMIFS('DETAIL TRANSAKSI'!$G$5:$G$504,'DETAIL TRANSAKSI'!$A$5:$A$504,A53))</f>
        <v/>
      </c>
      <c r="I53" s="15"/>
      <c r="J53" s="19" t="str">
        <f aca="false">IF(A53="","",SUMIFS('REFUND DAN PEMBATALAN'!$E$5:$E$504,'REFUND DAN PEMBATALAN'!$B$5:$B$504,A53,'REFUND DAN PEMBATALAN'!$I$5:$I$504,"Berhasil"))</f>
        <v/>
      </c>
      <c r="K53" s="19" t="str">
        <f aca="false">IF(A53="","",H53-I53-J53)</f>
        <v/>
      </c>
      <c r="L53" s="14"/>
      <c r="M53" s="14"/>
      <c r="N53" s="14"/>
      <c r="O53" s="18" t="str">
        <f aca="false">IF(A53="","",IF(AND(I53=SUMIFS('DETAIL TRANSAKSI'!$H$5:$H$504,'DETAIL TRANSAKSI'!$A$5:$A$504,A53),J53=SUMIFS('DETAIL TRANSAKSI'!$I$5:$I$504,'DETAIL TRANSAKSI'!$A$5:$A$504,A53)),"OK","CEK ALOKASI"))</f>
        <v/>
      </c>
    </row>
    <row r="54" customFormat="false" ht="27" hidden="false" customHeight="true" outlineLevel="0" collapsed="false">
      <c r="A54" s="14"/>
      <c r="B54" s="16"/>
      <c r="C54" s="26"/>
      <c r="D54" s="14"/>
      <c r="E54" s="14"/>
      <c r="F54" s="14"/>
      <c r="G54" s="14"/>
      <c r="H54" s="19" t="str">
        <f aca="false">IF(A54="","",SUMIFS('DETAIL TRANSAKSI'!$G$5:$G$504,'DETAIL TRANSAKSI'!$A$5:$A$504,A54))</f>
        <v/>
      </c>
      <c r="I54" s="15"/>
      <c r="J54" s="19" t="str">
        <f aca="false">IF(A54="","",SUMIFS('REFUND DAN PEMBATALAN'!$E$5:$E$504,'REFUND DAN PEMBATALAN'!$B$5:$B$504,A54,'REFUND DAN PEMBATALAN'!$I$5:$I$504,"Berhasil"))</f>
        <v/>
      </c>
      <c r="K54" s="19" t="str">
        <f aca="false">IF(A54="","",H54-I54-J54)</f>
        <v/>
      </c>
      <c r="L54" s="14"/>
      <c r="M54" s="14"/>
      <c r="N54" s="14"/>
      <c r="O54" s="18" t="str">
        <f aca="false">IF(A54="","",IF(AND(I54=SUMIFS('DETAIL TRANSAKSI'!$H$5:$H$504,'DETAIL TRANSAKSI'!$A$5:$A$504,A54),J54=SUMIFS('DETAIL TRANSAKSI'!$I$5:$I$504,'DETAIL TRANSAKSI'!$A$5:$A$504,A54)),"OK","CEK ALOKASI"))</f>
        <v/>
      </c>
    </row>
    <row r="55" customFormat="false" ht="27" hidden="false" customHeight="true" outlineLevel="0" collapsed="false">
      <c r="A55" s="14"/>
      <c r="B55" s="16"/>
      <c r="C55" s="26"/>
      <c r="D55" s="14"/>
      <c r="E55" s="14"/>
      <c r="F55" s="14"/>
      <c r="G55" s="14"/>
      <c r="H55" s="19" t="str">
        <f aca="false">IF(A55="","",SUMIFS('DETAIL TRANSAKSI'!$G$5:$G$504,'DETAIL TRANSAKSI'!$A$5:$A$504,A55))</f>
        <v/>
      </c>
      <c r="I55" s="15"/>
      <c r="J55" s="19" t="str">
        <f aca="false">IF(A55="","",SUMIFS('REFUND DAN PEMBATALAN'!$E$5:$E$504,'REFUND DAN PEMBATALAN'!$B$5:$B$504,A55,'REFUND DAN PEMBATALAN'!$I$5:$I$504,"Berhasil"))</f>
        <v/>
      </c>
      <c r="K55" s="19" t="str">
        <f aca="false">IF(A55="","",H55-I55-J55)</f>
        <v/>
      </c>
      <c r="L55" s="14"/>
      <c r="M55" s="14"/>
      <c r="N55" s="14"/>
      <c r="O55" s="18" t="str">
        <f aca="false">IF(A55="","",IF(AND(I55=SUMIFS('DETAIL TRANSAKSI'!$H$5:$H$504,'DETAIL TRANSAKSI'!$A$5:$A$504,A55),J55=SUMIFS('DETAIL TRANSAKSI'!$I$5:$I$504,'DETAIL TRANSAKSI'!$A$5:$A$504,A55)),"OK","CEK ALOKASI"))</f>
        <v/>
      </c>
    </row>
    <row r="56" customFormat="false" ht="27" hidden="false" customHeight="true" outlineLevel="0" collapsed="false">
      <c r="A56" s="14"/>
      <c r="B56" s="16"/>
      <c r="C56" s="26"/>
      <c r="D56" s="14"/>
      <c r="E56" s="14"/>
      <c r="F56" s="14"/>
      <c r="G56" s="14"/>
      <c r="H56" s="19" t="str">
        <f aca="false">IF(A56="","",SUMIFS('DETAIL TRANSAKSI'!$G$5:$G$504,'DETAIL TRANSAKSI'!$A$5:$A$504,A56))</f>
        <v/>
      </c>
      <c r="I56" s="15"/>
      <c r="J56" s="19" t="str">
        <f aca="false">IF(A56="","",SUMIFS('REFUND DAN PEMBATALAN'!$E$5:$E$504,'REFUND DAN PEMBATALAN'!$B$5:$B$504,A56,'REFUND DAN PEMBATALAN'!$I$5:$I$504,"Berhasil"))</f>
        <v/>
      </c>
      <c r="K56" s="19" t="str">
        <f aca="false">IF(A56="","",H56-I56-J56)</f>
        <v/>
      </c>
      <c r="L56" s="14"/>
      <c r="M56" s="14"/>
      <c r="N56" s="14"/>
      <c r="O56" s="18" t="str">
        <f aca="false">IF(A56="","",IF(AND(I56=SUMIFS('DETAIL TRANSAKSI'!$H$5:$H$504,'DETAIL TRANSAKSI'!$A$5:$A$504,A56),J56=SUMIFS('DETAIL TRANSAKSI'!$I$5:$I$504,'DETAIL TRANSAKSI'!$A$5:$A$504,A56)),"OK","CEK ALOKASI"))</f>
        <v/>
      </c>
    </row>
    <row r="57" customFormat="false" ht="27" hidden="false" customHeight="true" outlineLevel="0" collapsed="false">
      <c r="A57" s="14"/>
      <c r="B57" s="16"/>
      <c r="C57" s="26"/>
      <c r="D57" s="14"/>
      <c r="E57" s="14"/>
      <c r="F57" s="14"/>
      <c r="G57" s="14"/>
      <c r="H57" s="19" t="str">
        <f aca="false">IF(A57="","",SUMIFS('DETAIL TRANSAKSI'!$G$5:$G$504,'DETAIL TRANSAKSI'!$A$5:$A$504,A57))</f>
        <v/>
      </c>
      <c r="I57" s="15"/>
      <c r="J57" s="19" t="str">
        <f aca="false">IF(A57="","",SUMIFS('REFUND DAN PEMBATALAN'!$E$5:$E$504,'REFUND DAN PEMBATALAN'!$B$5:$B$504,A57,'REFUND DAN PEMBATALAN'!$I$5:$I$504,"Berhasil"))</f>
        <v/>
      </c>
      <c r="K57" s="19" t="str">
        <f aca="false">IF(A57="","",H57-I57-J57)</f>
        <v/>
      </c>
      <c r="L57" s="14"/>
      <c r="M57" s="14"/>
      <c r="N57" s="14"/>
      <c r="O57" s="18" t="str">
        <f aca="false">IF(A57="","",IF(AND(I57=SUMIFS('DETAIL TRANSAKSI'!$H$5:$H$504,'DETAIL TRANSAKSI'!$A$5:$A$504,A57),J57=SUMIFS('DETAIL TRANSAKSI'!$I$5:$I$504,'DETAIL TRANSAKSI'!$A$5:$A$504,A57)),"OK","CEK ALOKASI"))</f>
        <v/>
      </c>
    </row>
    <row r="58" customFormat="false" ht="27" hidden="false" customHeight="true" outlineLevel="0" collapsed="false">
      <c r="A58" s="14"/>
      <c r="B58" s="16"/>
      <c r="C58" s="26"/>
      <c r="D58" s="14"/>
      <c r="E58" s="14"/>
      <c r="F58" s="14"/>
      <c r="G58" s="14"/>
      <c r="H58" s="19" t="str">
        <f aca="false">IF(A58="","",SUMIFS('DETAIL TRANSAKSI'!$G$5:$G$504,'DETAIL TRANSAKSI'!$A$5:$A$504,A58))</f>
        <v/>
      </c>
      <c r="I58" s="15"/>
      <c r="J58" s="19" t="str">
        <f aca="false">IF(A58="","",SUMIFS('REFUND DAN PEMBATALAN'!$E$5:$E$504,'REFUND DAN PEMBATALAN'!$B$5:$B$504,A58,'REFUND DAN PEMBATALAN'!$I$5:$I$504,"Berhasil"))</f>
        <v/>
      </c>
      <c r="K58" s="19" t="str">
        <f aca="false">IF(A58="","",H58-I58-J58)</f>
        <v/>
      </c>
      <c r="L58" s="14"/>
      <c r="M58" s="14"/>
      <c r="N58" s="14"/>
      <c r="O58" s="18" t="str">
        <f aca="false">IF(A58="","",IF(AND(I58=SUMIFS('DETAIL TRANSAKSI'!$H$5:$H$504,'DETAIL TRANSAKSI'!$A$5:$A$504,A58),J58=SUMIFS('DETAIL TRANSAKSI'!$I$5:$I$504,'DETAIL TRANSAKSI'!$A$5:$A$504,A58)),"OK","CEK ALOKASI"))</f>
        <v/>
      </c>
    </row>
    <row r="59" customFormat="false" ht="27" hidden="false" customHeight="true" outlineLevel="0" collapsed="false">
      <c r="A59" s="14"/>
      <c r="B59" s="16"/>
      <c r="C59" s="26"/>
      <c r="D59" s="14"/>
      <c r="E59" s="14"/>
      <c r="F59" s="14"/>
      <c r="G59" s="14"/>
      <c r="H59" s="19" t="str">
        <f aca="false">IF(A59="","",SUMIFS('DETAIL TRANSAKSI'!$G$5:$G$504,'DETAIL TRANSAKSI'!$A$5:$A$504,A59))</f>
        <v/>
      </c>
      <c r="I59" s="15"/>
      <c r="J59" s="19" t="str">
        <f aca="false">IF(A59="","",SUMIFS('REFUND DAN PEMBATALAN'!$E$5:$E$504,'REFUND DAN PEMBATALAN'!$B$5:$B$504,A59,'REFUND DAN PEMBATALAN'!$I$5:$I$504,"Berhasil"))</f>
        <v/>
      </c>
      <c r="K59" s="19" t="str">
        <f aca="false">IF(A59="","",H59-I59-J59)</f>
        <v/>
      </c>
      <c r="L59" s="14"/>
      <c r="M59" s="14"/>
      <c r="N59" s="14"/>
      <c r="O59" s="18" t="str">
        <f aca="false">IF(A59="","",IF(AND(I59=SUMIFS('DETAIL TRANSAKSI'!$H$5:$H$504,'DETAIL TRANSAKSI'!$A$5:$A$504,A59),J59=SUMIFS('DETAIL TRANSAKSI'!$I$5:$I$504,'DETAIL TRANSAKSI'!$A$5:$A$504,A59)),"OK","CEK ALOKASI"))</f>
        <v/>
      </c>
    </row>
    <row r="60" customFormat="false" ht="27" hidden="false" customHeight="true" outlineLevel="0" collapsed="false">
      <c r="A60" s="14"/>
      <c r="B60" s="16"/>
      <c r="C60" s="26"/>
      <c r="D60" s="14"/>
      <c r="E60" s="14"/>
      <c r="F60" s="14"/>
      <c r="G60" s="14"/>
      <c r="H60" s="19" t="str">
        <f aca="false">IF(A60="","",SUMIFS('DETAIL TRANSAKSI'!$G$5:$G$504,'DETAIL TRANSAKSI'!$A$5:$A$504,A60))</f>
        <v/>
      </c>
      <c r="I60" s="15"/>
      <c r="J60" s="19" t="str">
        <f aca="false">IF(A60="","",SUMIFS('REFUND DAN PEMBATALAN'!$E$5:$E$504,'REFUND DAN PEMBATALAN'!$B$5:$B$504,A60,'REFUND DAN PEMBATALAN'!$I$5:$I$504,"Berhasil"))</f>
        <v/>
      </c>
      <c r="K60" s="19" t="str">
        <f aca="false">IF(A60="","",H60-I60-J60)</f>
        <v/>
      </c>
      <c r="L60" s="14"/>
      <c r="M60" s="14"/>
      <c r="N60" s="14"/>
      <c r="O60" s="18" t="str">
        <f aca="false">IF(A60="","",IF(AND(I60=SUMIFS('DETAIL TRANSAKSI'!$H$5:$H$504,'DETAIL TRANSAKSI'!$A$5:$A$504,A60),J60=SUMIFS('DETAIL TRANSAKSI'!$I$5:$I$504,'DETAIL TRANSAKSI'!$A$5:$A$504,A60)),"OK","CEK ALOKASI"))</f>
        <v/>
      </c>
    </row>
    <row r="61" customFormat="false" ht="27" hidden="false" customHeight="true" outlineLevel="0" collapsed="false">
      <c r="A61" s="14"/>
      <c r="B61" s="16"/>
      <c r="C61" s="26"/>
      <c r="D61" s="14"/>
      <c r="E61" s="14"/>
      <c r="F61" s="14"/>
      <c r="G61" s="14"/>
      <c r="H61" s="19" t="str">
        <f aca="false">IF(A61="","",SUMIFS('DETAIL TRANSAKSI'!$G$5:$G$504,'DETAIL TRANSAKSI'!$A$5:$A$504,A61))</f>
        <v/>
      </c>
      <c r="I61" s="15"/>
      <c r="J61" s="19" t="str">
        <f aca="false">IF(A61="","",SUMIFS('REFUND DAN PEMBATALAN'!$E$5:$E$504,'REFUND DAN PEMBATALAN'!$B$5:$B$504,A61,'REFUND DAN PEMBATALAN'!$I$5:$I$504,"Berhasil"))</f>
        <v/>
      </c>
      <c r="K61" s="19" t="str">
        <f aca="false">IF(A61="","",H61-I61-J61)</f>
        <v/>
      </c>
      <c r="L61" s="14"/>
      <c r="M61" s="14"/>
      <c r="N61" s="14"/>
      <c r="O61" s="18" t="str">
        <f aca="false">IF(A61="","",IF(AND(I61=SUMIFS('DETAIL TRANSAKSI'!$H$5:$H$504,'DETAIL TRANSAKSI'!$A$5:$A$504,A61),J61=SUMIFS('DETAIL TRANSAKSI'!$I$5:$I$504,'DETAIL TRANSAKSI'!$A$5:$A$504,A61)),"OK","CEK ALOKASI"))</f>
        <v/>
      </c>
    </row>
    <row r="62" customFormat="false" ht="27" hidden="false" customHeight="true" outlineLevel="0" collapsed="false">
      <c r="A62" s="14"/>
      <c r="B62" s="16"/>
      <c r="C62" s="26"/>
      <c r="D62" s="14"/>
      <c r="E62" s="14"/>
      <c r="F62" s="14"/>
      <c r="G62" s="14"/>
      <c r="H62" s="19" t="str">
        <f aca="false">IF(A62="","",SUMIFS('DETAIL TRANSAKSI'!$G$5:$G$504,'DETAIL TRANSAKSI'!$A$5:$A$504,A62))</f>
        <v/>
      </c>
      <c r="I62" s="15"/>
      <c r="J62" s="19" t="str">
        <f aca="false">IF(A62="","",SUMIFS('REFUND DAN PEMBATALAN'!$E$5:$E$504,'REFUND DAN PEMBATALAN'!$B$5:$B$504,A62,'REFUND DAN PEMBATALAN'!$I$5:$I$504,"Berhasil"))</f>
        <v/>
      </c>
      <c r="K62" s="19" t="str">
        <f aca="false">IF(A62="","",H62-I62-J62)</f>
        <v/>
      </c>
      <c r="L62" s="14"/>
      <c r="M62" s="14"/>
      <c r="N62" s="14"/>
      <c r="O62" s="18" t="str">
        <f aca="false">IF(A62="","",IF(AND(I62=SUMIFS('DETAIL TRANSAKSI'!$H$5:$H$504,'DETAIL TRANSAKSI'!$A$5:$A$504,A62),J62=SUMIFS('DETAIL TRANSAKSI'!$I$5:$I$504,'DETAIL TRANSAKSI'!$A$5:$A$504,A62)),"OK","CEK ALOKASI"))</f>
        <v/>
      </c>
    </row>
    <row r="63" customFormat="false" ht="27" hidden="false" customHeight="true" outlineLevel="0" collapsed="false">
      <c r="A63" s="14"/>
      <c r="B63" s="16"/>
      <c r="C63" s="26"/>
      <c r="D63" s="14"/>
      <c r="E63" s="14"/>
      <c r="F63" s="14"/>
      <c r="G63" s="14"/>
      <c r="H63" s="19" t="str">
        <f aca="false">IF(A63="","",SUMIFS('DETAIL TRANSAKSI'!$G$5:$G$504,'DETAIL TRANSAKSI'!$A$5:$A$504,A63))</f>
        <v/>
      </c>
      <c r="I63" s="15"/>
      <c r="J63" s="19" t="str">
        <f aca="false">IF(A63="","",SUMIFS('REFUND DAN PEMBATALAN'!$E$5:$E$504,'REFUND DAN PEMBATALAN'!$B$5:$B$504,A63,'REFUND DAN PEMBATALAN'!$I$5:$I$504,"Berhasil"))</f>
        <v/>
      </c>
      <c r="K63" s="19" t="str">
        <f aca="false">IF(A63="","",H63-I63-J63)</f>
        <v/>
      </c>
      <c r="L63" s="14"/>
      <c r="M63" s="14"/>
      <c r="N63" s="14"/>
      <c r="O63" s="18" t="str">
        <f aca="false">IF(A63="","",IF(AND(I63=SUMIFS('DETAIL TRANSAKSI'!$H$5:$H$504,'DETAIL TRANSAKSI'!$A$5:$A$504,A63),J63=SUMIFS('DETAIL TRANSAKSI'!$I$5:$I$504,'DETAIL TRANSAKSI'!$A$5:$A$504,A63)),"OK","CEK ALOKASI"))</f>
        <v/>
      </c>
    </row>
    <row r="64" customFormat="false" ht="27" hidden="false" customHeight="true" outlineLevel="0" collapsed="false">
      <c r="A64" s="14"/>
      <c r="B64" s="16"/>
      <c r="C64" s="26"/>
      <c r="D64" s="14"/>
      <c r="E64" s="14"/>
      <c r="F64" s="14"/>
      <c r="G64" s="14"/>
      <c r="H64" s="19" t="str">
        <f aca="false">IF(A64="","",SUMIFS('DETAIL TRANSAKSI'!$G$5:$G$504,'DETAIL TRANSAKSI'!$A$5:$A$504,A64))</f>
        <v/>
      </c>
      <c r="I64" s="15"/>
      <c r="J64" s="19" t="str">
        <f aca="false">IF(A64="","",SUMIFS('REFUND DAN PEMBATALAN'!$E$5:$E$504,'REFUND DAN PEMBATALAN'!$B$5:$B$504,A64,'REFUND DAN PEMBATALAN'!$I$5:$I$504,"Berhasil"))</f>
        <v/>
      </c>
      <c r="K64" s="19" t="str">
        <f aca="false">IF(A64="","",H64-I64-J64)</f>
        <v/>
      </c>
      <c r="L64" s="14"/>
      <c r="M64" s="14"/>
      <c r="N64" s="14"/>
      <c r="O64" s="18" t="str">
        <f aca="false">IF(A64="","",IF(AND(I64=SUMIFS('DETAIL TRANSAKSI'!$H$5:$H$504,'DETAIL TRANSAKSI'!$A$5:$A$504,A64),J64=SUMIFS('DETAIL TRANSAKSI'!$I$5:$I$504,'DETAIL TRANSAKSI'!$A$5:$A$504,A64)),"OK","CEK ALOKASI"))</f>
        <v/>
      </c>
    </row>
    <row r="65" customFormat="false" ht="15" hidden="false" customHeight="false" outlineLevel="0" collapsed="false">
      <c r="H65" s="0" t="str">
        <f aca="false">IF(A65="","",SUMIFS('DETAIL TRANSAKSI'!$G$5:$G$504,'DETAIL TRANSAKSI'!$A$5:$A$504,A65))</f>
        <v/>
      </c>
      <c r="J65" s="0" t="str">
        <f aca="false">IF(A65="","",SUMIFS('REFUND DAN PEMBATALAN'!$E$5:$E$504,'REFUND DAN PEMBATALAN'!$B$5:$B$504,A65,'REFUND DAN PEMBATALAN'!$I$5:$I$504,"Berhasil"))</f>
        <v/>
      </c>
      <c r="K65" s="0" t="str">
        <f aca="false">IF(A65="","",H65-I65-J65)</f>
        <v/>
      </c>
      <c r="O65" s="0" t="str">
        <f aca="false">IF(A65="","",IF(AND(I65=SUMIFS('DETAIL TRANSAKSI'!$H$5:$H$504,'DETAIL TRANSAKSI'!$A$5:$A$504,A65),J65=SUMIFS('DETAIL TRANSAKSI'!$I$5:$I$504,'DETAIL TRANSAKSI'!$A$5:$A$504,A65)),"OK","CEK ALOKASI"))</f>
        <v/>
      </c>
    </row>
    <row r="66" customFormat="false" ht="15" hidden="false" customHeight="false" outlineLevel="0" collapsed="false">
      <c r="H66" s="0" t="str">
        <f aca="false">IF(A66="","",SUMIFS('DETAIL TRANSAKSI'!$G$5:$G$504,'DETAIL TRANSAKSI'!$A$5:$A$504,A66))</f>
        <v/>
      </c>
      <c r="J66" s="0" t="str">
        <f aca="false">IF(A66="","",SUMIFS('REFUND DAN PEMBATALAN'!$E$5:$E$504,'REFUND DAN PEMBATALAN'!$B$5:$B$504,A66,'REFUND DAN PEMBATALAN'!$I$5:$I$504,"Berhasil"))</f>
        <v/>
      </c>
      <c r="K66" s="0" t="str">
        <f aca="false">IF(A66="","",H66-I66-J66)</f>
        <v/>
      </c>
      <c r="O66" s="0" t="str">
        <f aca="false">IF(A66="","",IF(AND(I66=SUMIFS('DETAIL TRANSAKSI'!$H$5:$H$504,'DETAIL TRANSAKSI'!$A$5:$A$504,A66),J66=SUMIFS('DETAIL TRANSAKSI'!$I$5:$I$504,'DETAIL TRANSAKSI'!$A$5:$A$504,A66)),"OK","CEK ALOKASI"))</f>
        <v/>
      </c>
    </row>
    <row r="67" customFormat="false" ht="15" hidden="false" customHeight="false" outlineLevel="0" collapsed="false">
      <c r="H67" s="0" t="str">
        <f aca="false">IF(A67="","",SUMIFS('DETAIL TRANSAKSI'!$G$5:$G$504,'DETAIL TRANSAKSI'!$A$5:$A$504,A67))</f>
        <v/>
      </c>
      <c r="J67" s="0" t="str">
        <f aca="false">IF(A67="","",SUMIFS('REFUND DAN PEMBATALAN'!$E$5:$E$504,'REFUND DAN PEMBATALAN'!$B$5:$B$504,A67,'REFUND DAN PEMBATALAN'!$I$5:$I$504,"Berhasil"))</f>
        <v/>
      </c>
      <c r="K67" s="0" t="str">
        <f aca="false">IF(A67="","",H67-I67-J67)</f>
        <v/>
      </c>
      <c r="O67" s="0" t="str">
        <f aca="false">IF(A67="","",IF(AND(I67=SUMIFS('DETAIL TRANSAKSI'!$H$5:$H$504,'DETAIL TRANSAKSI'!$A$5:$A$504,A67),J67=SUMIFS('DETAIL TRANSAKSI'!$I$5:$I$504,'DETAIL TRANSAKSI'!$A$5:$A$504,A67)),"OK","CEK ALOKASI"))</f>
        <v/>
      </c>
    </row>
    <row r="68" customFormat="false" ht="15" hidden="false" customHeight="false" outlineLevel="0" collapsed="false">
      <c r="H68" s="0" t="str">
        <f aca="false">IF(A68="","",SUMIFS('DETAIL TRANSAKSI'!$G$5:$G$504,'DETAIL TRANSAKSI'!$A$5:$A$504,A68))</f>
        <v/>
      </c>
      <c r="J68" s="0" t="str">
        <f aca="false">IF(A68="","",SUMIFS('REFUND DAN PEMBATALAN'!$E$5:$E$504,'REFUND DAN PEMBATALAN'!$B$5:$B$504,A68,'REFUND DAN PEMBATALAN'!$I$5:$I$504,"Berhasil"))</f>
        <v/>
      </c>
      <c r="K68" s="0" t="str">
        <f aca="false">IF(A68="","",H68-I68-J68)</f>
        <v/>
      </c>
      <c r="O68" s="0" t="str">
        <f aca="false">IF(A68="","",IF(AND(I68=SUMIFS('DETAIL TRANSAKSI'!$H$5:$H$504,'DETAIL TRANSAKSI'!$A$5:$A$504,A68),J68=SUMIFS('DETAIL TRANSAKSI'!$I$5:$I$504,'DETAIL TRANSAKSI'!$A$5:$A$504,A68)),"OK","CEK ALOKASI"))</f>
        <v/>
      </c>
    </row>
    <row r="69" customFormat="false" ht="15" hidden="false" customHeight="false" outlineLevel="0" collapsed="false">
      <c r="H69" s="0" t="str">
        <f aca="false">IF(A69="","",SUMIFS('DETAIL TRANSAKSI'!$G$5:$G$504,'DETAIL TRANSAKSI'!$A$5:$A$504,A69))</f>
        <v/>
      </c>
      <c r="J69" s="0" t="str">
        <f aca="false">IF(A69="","",SUMIFS('REFUND DAN PEMBATALAN'!$E$5:$E$504,'REFUND DAN PEMBATALAN'!$B$5:$B$504,A69,'REFUND DAN PEMBATALAN'!$I$5:$I$504,"Berhasil"))</f>
        <v/>
      </c>
      <c r="K69" s="0" t="str">
        <f aca="false">IF(A69="","",H69-I69-J69)</f>
        <v/>
      </c>
      <c r="O69" s="0" t="str">
        <f aca="false">IF(A69="","",IF(AND(I69=SUMIFS('DETAIL TRANSAKSI'!$H$5:$H$504,'DETAIL TRANSAKSI'!$A$5:$A$504,A69),J69=SUMIFS('DETAIL TRANSAKSI'!$I$5:$I$504,'DETAIL TRANSAKSI'!$A$5:$A$504,A69)),"OK","CEK ALOKASI"))</f>
        <v/>
      </c>
    </row>
    <row r="70" customFormat="false" ht="15" hidden="false" customHeight="false" outlineLevel="0" collapsed="false">
      <c r="H70" s="0" t="str">
        <f aca="false">IF(A70="","",SUMIFS('DETAIL TRANSAKSI'!$G$5:$G$504,'DETAIL TRANSAKSI'!$A$5:$A$504,A70))</f>
        <v/>
      </c>
      <c r="J70" s="0" t="str">
        <f aca="false">IF(A70="","",SUMIFS('REFUND DAN PEMBATALAN'!$E$5:$E$504,'REFUND DAN PEMBATALAN'!$B$5:$B$504,A70,'REFUND DAN PEMBATALAN'!$I$5:$I$504,"Berhasil"))</f>
        <v/>
      </c>
      <c r="K70" s="0" t="str">
        <f aca="false">IF(A70="","",H70-I70-J70)</f>
        <v/>
      </c>
      <c r="O70" s="0" t="str">
        <f aca="false">IF(A70="","",IF(AND(I70=SUMIFS('DETAIL TRANSAKSI'!$H$5:$H$504,'DETAIL TRANSAKSI'!$A$5:$A$504,A70),J70=SUMIFS('DETAIL TRANSAKSI'!$I$5:$I$504,'DETAIL TRANSAKSI'!$A$5:$A$504,A70)),"OK","CEK ALOKASI"))</f>
        <v/>
      </c>
    </row>
    <row r="71" customFormat="false" ht="15" hidden="false" customHeight="false" outlineLevel="0" collapsed="false">
      <c r="H71" s="0" t="str">
        <f aca="false">IF(A71="","",SUMIFS('DETAIL TRANSAKSI'!$G$5:$G$504,'DETAIL TRANSAKSI'!$A$5:$A$504,A71))</f>
        <v/>
      </c>
      <c r="J71" s="0" t="str">
        <f aca="false">IF(A71="","",SUMIFS('REFUND DAN PEMBATALAN'!$E$5:$E$504,'REFUND DAN PEMBATALAN'!$B$5:$B$504,A71,'REFUND DAN PEMBATALAN'!$I$5:$I$504,"Berhasil"))</f>
        <v/>
      </c>
      <c r="K71" s="0" t="str">
        <f aca="false">IF(A71="","",H71-I71-J71)</f>
        <v/>
      </c>
      <c r="O71" s="0" t="str">
        <f aca="false">IF(A71="","",IF(AND(I71=SUMIFS('DETAIL TRANSAKSI'!$H$5:$H$504,'DETAIL TRANSAKSI'!$A$5:$A$504,A71),J71=SUMIFS('DETAIL TRANSAKSI'!$I$5:$I$504,'DETAIL TRANSAKSI'!$A$5:$A$504,A71)),"OK","CEK ALOKASI"))</f>
        <v/>
      </c>
    </row>
    <row r="72" customFormat="false" ht="15" hidden="false" customHeight="false" outlineLevel="0" collapsed="false">
      <c r="H72" s="0" t="str">
        <f aca="false">IF(A72="","",SUMIFS('DETAIL TRANSAKSI'!$G$5:$G$504,'DETAIL TRANSAKSI'!$A$5:$A$504,A72))</f>
        <v/>
      </c>
      <c r="J72" s="0" t="str">
        <f aca="false">IF(A72="","",SUMIFS('REFUND DAN PEMBATALAN'!$E$5:$E$504,'REFUND DAN PEMBATALAN'!$B$5:$B$504,A72,'REFUND DAN PEMBATALAN'!$I$5:$I$504,"Berhasil"))</f>
        <v/>
      </c>
      <c r="K72" s="0" t="str">
        <f aca="false">IF(A72="","",H72-I72-J72)</f>
        <v/>
      </c>
      <c r="O72" s="0" t="str">
        <f aca="false">IF(A72="","",IF(AND(I72=SUMIFS('DETAIL TRANSAKSI'!$H$5:$H$504,'DETAIL TRANSAKSI'!$A$5:$A$504,A72),J72=SUMIFS('DETAIL TRANSAKSI'!$I$5:$I$504,'DETAIL TRANSAKSI'!$A$5:$A$504,A72)),"OK","CEK ALOKASI"))</f>
        <v/>
      </c>
    </row>
    <row r="73" customFormat="false" ht="15" hidden="false" customHeight="false" outlineLevel="0" collapsed="false">
      <c r="H73" s="0" t="str">
        <f aca="false">IF(A73="","",SUMIFS('DETAIL TRANSAKSI'!$G$5:$G$504,'DETAIL TRANSAKSI'!$A$5:$A$504,A73))</f>
        <v/>
      </c>
      <c r="J73" s="0" t="str">
        <f aca="false">IF(A73="","",SUMIFS('REFUND DAN PEMBATALAN'!$E$5:$E$504,'REFUND DAN PEMBATALAN'!$B$5:$B$504,A73,'REFUND DAN PEMBATALAN'!$I$5:$I$504,"Berhasil"))</f>
        <v/>
      </c>
      <c r="K73" s="0" t="str">
        <f aca="false">IF(A73="","",H73-I73-J73)</f>
        <v/>
      </c>
      <c r="O73" s="0" t="str">
        <f aca="false">IF(A73="","",IF(AND(I73=SUMIFS('DETAIL TRANSAKSI'!$H$5:$H$504,'DETAIL TRANSAKSI'!$A$5:$A$504,A73),J73=SUMIFS('DETAIL TRANSAKSI'!$I$5:$I$504,'DETAIL TRANSAKSI'!$A$5:$A$504,A73)),"OK","CEK ALOKASI"))</f>
        <v/>
      </c>
    </row>
    <row r="74" customFormat="false" ht="15" hidden="false" customHeight="false" outlineLevel="0" collapsed="false">
      <c r="H74" s="0" t="str">
        <f aca="false">IF(A74="","",SUMIFS('DETAIL TRANSAKSI'!$G$5:$G$504,'DETAIL TRANSAKSI'!$A$5:$A$504,A74))</f>
        <v/>
      </c>
      <c r="J74" s="0" t="str">
        <f aca="false">IF(A74="","",SUMIFS('REFUND DAN PEMBATALAN'!$E$5:$E$504,'REFUND DAN PEMBATALAN'!$B$5:$B$504,A74,'REFUND DAN PEMBATALAN'!$I$5:$I$504,"Berhasil"))</f>
        <v/>
      </c>
      <c r="K74" s="0" t="str">
        <f aca="false">IF(A74="","",H74-I74-J74)</f>
        <v/>
      </c>
      <c r="O74" s="0" t="str">
        <f aca="false">IF(A74="","",IF(AND(I74=SUMIFS('DETAIL TRANSAKSI'!$H$5:$H$504,'DETAIL TRANSAKSI'!$A$5:$A$504,A74),J74=SUMIFS('DETAIL TRANSAKSI'!$I$5:$I$504,'DETAIL TRANSAKSI'!$A$5:$A$504,A74)),"OK","CEK ALOKASI"))</f>
        <v/>
      </c>
    </row>
    <row r="75" customFormat="false" ht="15" hidden="false" customHeight="false" outlineLevel="0" collapsed="false">
      <c r="H75" s="0" t="str">
        <f aca="false">IF(A75="","",SUMIFS('DETAIL TRANSAKSI'!$G$5:$G$504,'DETAIL TRANSAKSI'!$A$5:$A$504,A75))</f>
        <v/>
      </c>
      <c r="J75" s="0" t="str">
        <f aca="false">IF(A75="","",SUMIFS('REFUND DAN PEMBATALAN'!$E$5:$E$504,'REFUND DAN PEMBATALAN'!$B$5:$B$504,A75,'REFUND DAN PEMBATALAN'!$I$5:$I$504,"Berhasil"))</f>
        <v/>
      </c>
      <c r="K75" s="0" t="str">
        <f aca="false">IF(A75="","",H75-I75-J75)</f>
        <v/>
      </c>
      <c r="O75" s="0" t="str">
        <f aca="false">IF(A75="","",IF(AND(I75=SUMIFS('DETAIL TRANSAKSI'!$H$5:$H$504,'DETAIL TRANSAKSI'!$A$5:$A$504,A75),J75=SUMIFS('DETAIL TRANSAKSI'!$I$5:$I$504,'DETAIL TRANSAKSI'!$A$5:$A$504,A75)),"OK","CEK ALOKASI"))</f>
        <v/>
      </c>
    </row>
    <row r="76" customFormat="false" ht="15" hidden="false" customHeight="false" outlineLevel="0" collapsed="false">
      <c r="H76" s="0" t="str">
        <f aca="false">IF(A76="","",SUMIFS('DETAIL TRANSAKSI'!$G$5:$G$504,'DETAIL TRANSAKSI'!$A$5:$A$504,A76))</f>
        <v/>
      </c>
      <c r="J76" s="0" t="str">
        <f aca="false">IF(A76="","",SUMIFS('REFUND DAN PEMBATALAN'!$E$5:$E$504,'REFUND DAN PEMBATALAN'!$B$5:$B$504,A76,'REFUND DAN PEMBATALAN'!$I$5:$I$504,"Berhasil"))</f>
        <v/>
      </c>
      <c r="K76" s="0" t="str">
        <f aca="false">IF(A76="","",H76-I76-J76)</f>
        <v/>
      </c>
      <c r="O76" s="0" t="str">
        <f aca="false">IF(A76="","",IF(AND(I76=SUMIFS('DETAIL TRANSAKSI'!$H$5:$H$504,'DETAIL TRANSAKSI'!$A$5:$A$504,A76),J76=SUMIFS('DETAIL TRANSAKSI'!$I$5:$I$504,'DETAIL TRANSAKSI'!$A$5:$A$504,A76)),"OK","CEK ALOKASI"))</f>
        <v/>
      </c>
    </row>
    <row r="77" customFormat="false" ht="15" hidden="false" customHeight="false" outlineLevel="0" collapsed="false">
      <c r="H77" s="0" t="str">
        <f aca="false">IF(A77="","",SUMIFS('DETAIL TRANSAKSI'!$G$5:$G$504,'DETAIL TRANSAKSI'!$A$5:$A$504,A77))</f>
        <v/>
      </c>
      <c r="J77" s="0" t="str">
        <f aca="false">IF(A77="","",SUMIFS('REFUND DAN PEMBATALAN'!$E$5:$E$504,'REFUND DAN PEMBATALAN'!$B$5:$B$504,A77,'REFUND DAN PEMBATALAN'!$I$5:$I$504,"Berhasil"))</f>
        <v/>
      </c>
      <c r="K77" s="0" t="str">
        <f aca="false">IF(A77="","",H77-I77-J77)</f>
        <v/>
      </c>
      <c r="O77" s="0" t="str">
        <f aca="false">IF(A77="","",IF(AND(I77=SUMIFS('DETAIL TRANSAKSI'!$H$5:$H$504,'DETAIL TRANSAKSI'!$A$5:$A$504,A77),J77=SUMIFS('DETAIL TRANSAKSI'!$I$5:$I$504,'DETAIL TRANSAKSI'!$A$5:$A$504,A77)),"OK","CEK ALOKASI"))</f>
        <v/>
      </c>
    </row>
    <row r="78" customFormat="false" ht="15" hidden="false" customHeight="false" outlineLevel="0" collapsed="false">
      <c r="H78" s="0" t="str">
        <f aca="false">IF(A78="","",SUMIFS('DETAIL TRANSAKSI'!$G$5:$G$504,'DETAIL TRANSAKSI'!$A$5:$A$504,A78))</f>
        <v/>
      </c>
      <c r="J78" s="0" t="str">
        <f aca="false">IF(A78="","",SUMIFS('REFUND DAN PEMBATALAN'!$E$5:$E$504,'REFUND DAN PEMBATALAN'!$B$5:$B$504,A78,'REFUND DAN PEMBATALAN'!$I$5:$I$504,"Berhasil"))</f>
        <v/>
      </c>
      <c r="K78" s="0" t="str">
        <f aca="false">IF(A78="","",H78-I78-J78)</f>
        <v/>
      </c>
      <c r="O78" s="0" t="str">
        <f aca="false">IF(A78="","",IF(AND(I78=SUMIFS('DETAIL TRANSAKSI'!$H$5:$H$504,'DETAIL TRANSAKSI'!$A$5:$A$504,A78),J78=SUMIFS('DETAIL TRANSAKSI'!$I$5:$I$504,'DETAIL TRANSAKSI'!$A$5:$A$504,A78)),"OK","CEK ALOKASI"))</f>
        <v/>
      </c>
    </row>
    <row r="79" customFormat="false" ht="15" hidden="false" customHeight="false" outlineLevel="0" collapsed="false">
      <c r="H79" s="0" t="str">
        <f aca="false">IF(A79="","",SUMIFS('DETAIL TRANSAKSI'!$G$5:$G$504,'DETAIL TRANSAKSI'!$A$5:$A$504,A79))</f>
        <v/>
      </c>
      <c r="J79" s="0" t="str">
        <f aca="false">IF(A79="","",SUMIFS('REFUND DAN PEMBATALAN'!$E$5:$E$504,'REFUND DAN PEMBATALAN'!$B$5:$B$504,A79,'REFUND DAN PEMBATALAN'!$I$5:$I$504,"Berhasil"))</f>
        <v/>
      </c>
      <c r="K79" s="0" t="str">
        <f aca="false">IF(A79="","",H79-I79-J79)</f>
        <v/>
      </c>
      <c r="O79" s="0" t="str">
        <f aca="false">IF(A79="","",IF(AND(I79=SUMIFS('DETAIL TRANSAKSI'!$H$5:$H$504,'DETAIL TRANSAKSI'!$A$5:$A$504,A79),J79=SUMIFS('DETAIL TRANSAKSI'!$I$5:$I$504,'DETAIL TRANSAKSI'!$A$5:$A$504,A79)),"OK","CEK ALOKASI"))</f>
        <v/>
      </c>
    </row>
    <row r="80" customFormat="false" ht="15" hidden="false" customHeight="false" outlineLevel="0" collapsed="false">
      <c r="H80" s="0" t="str">
        <f aca="false">IF(A80="","",SUMIFS('DETAIL TRANSAKSI'!$G$5:$G$504,'DETAIL TRANSAKSI'!$A$5:$A$504,A80))</f>
        <v/>
      </c>
      <c r="J80" s="0" t="str">
        <f aca="false">IF(A80="","",SUMIFS('REFUND DAN PEMBATALAN'!$E$5:$E$504,'REFUND DAN PEMBATALAN'!$B$5:$B$504,A80,'REFUND DAN PEMBATALAN'!$I$5:$I$504,"Berhasil"))</f>
        <v/>
      </c>
      <c r="K80" s="0" t="str">
        <f aca="false">IF(A80="","",H80-I80-J80)</f>
        <v/>
      </c>
      <c r="O80" s="0" t="str">
        <f aca="false">IF(A80="","",IF(AND(I80=SUMIFS('DETAIL TRANSAKSI'!$H$5:$H$504,'DETAIL TRANSAKSI'!$A$5:$A$504,A80),J80=SUMIFS('DETAIL TRANSAKSI'!$I$5:$I$504,'DETAIL TRANSAKSI'!$A$5:$A$504,A80)),"OK","CEK ALOKASI"))</f>
        <v/>
      </c>
    </row>
    <row r="81" customFormat="false" ht="15" hidden="false" customHeight="false" outlineLevel="0" collapsed="false">
      <c r="H81" s="0" t="str">
        <f aca="false">IF(A81="","",SUMIFS('DETAIL TRANSAKSI'!$G$5:$G$504,'DETAIL TRANSAKSI'!$A$5:$A$504,A81))</f>
        <v/>
      </c>
      <c r="J81" s="0" t="str">
        <f aca="false">IF(A81="","",SUMIFS('REFUND DAN PEMBATALAN'!$E$5:$E$504,'REFUND DAN PEMBATALAN'!$B$5:$B$504,A81,'REFUND DAN PEMBATALAN'!$I$5:$I$504,"Berhasil"))</f>
        <v/>
      </c>
      <c r="K81" s="0" t="str">
        <f aca="false">IF(A81="","",H81-I81-J81)</f>
        <v/>
      </c>
      <c r="O81" s="0" t="str">
        <f aca="false">IF(A81="","",IF(AND(I81=SUMIFS('DETAIL TRANSAKSI'!$H$5:$H$504,'DETAIL TRANSAKSI'!$A$5:$A$504,A81),J81=SUMIFS('DETAIL TRANSAKSI'!$I$5:$I$504,'DETAIL TRANSAKSI'!$A$5:$A$504,A81)),"OK","CEK ALOKASI"))</f>
        <v/>
      </c>
    </row>
    <row r="82" customFormat="false" ht="15" hidden="false" customHeight="false" outlineLevel="0" collapsed="false">
      <c r="H82" s="0" t="str">
        <f aca="false">IF(A82="","",SUMIFS('DETAIL TRANSAKSI'!$G$5:$G$504,'DETAIL TRANSAKSI'!$A$5:$A$504,A82))</f>
        <v/>
      </c>
      <c r="J82" s="0" t="str">
        <f aca="false">IF(A82="","",SUMIFS('REFUND DAN PEMBATALAN'!$E$5:$E$504,'REFUND DAN PEMBATALAN'!$B$5:$B$504,A82,'REFUND DAN PEMBATALAN'!$I$5:$I$504,"Berhasil"))</f>
        <v/>
      </c>
      <c r="K82" s="0" t="str">
        <f aca="false">IF(A82="","",H82-I82-J82)</f>
        <v/>
      </c>
      <c r="O82" s="0" t="str">
        <f aca="false">IF(A82="","",IF(AND(I82=SUMIFS('DETAIL TRANSAKSI'!$H$5:$H$504,'DETAIL TRANSAKSI'!$A$5:$A$504,A82),J82=SUMIFS('DETAIL TRANSAKSI'!$I$5:$I$504,'DETAIL TRANSAKSI'!$A$5:$A$504,A82)),"OK","CEK ALOKASI"))</f>
        <v/>
      </c>
    </row>
    <row r="83" customFormat="false" ht="15" hidden="false" customHeight="false" outlineLevel="0" collapsed="false">
      <c r="H83" s="0" t="str">
        <f aca="false">IF(A83="","",SUMIFS('DETAIL TRANSAKSI'!$G$5:$G$504,'DETAIL TRANSAKSI'!$A$5:$A$504,A83))</f>
        <v/>
      </c>
      <c r="J83" s="0" t="str">
        <f aca="false">IF(A83="","",SUMIFS('REFUND DAN PEMBATALAN'!$E$5:$E$504,'REFUND DAN PEMBATALAN'!$B$5:$B$504,A83,'REFUND DAN PEMBATALAN'!$I$5:$I$504,"Berhasil"))</f>
        <v/>
      </c>
      <c r="K83" s="0" t="str">
        <f aca="false">IF(A83="","",H83-I83-J83)</f>
        <v/>
      </c>
      <c r="O83" s="0" t="str">
        <f aca="false">IF(A83="","",IF(AND(I83=SUMIFS('DETAIL TRANSAKSI'!$H$5:$H$504,'DETAIL TRANSAKSI'!$A$5:$A$504,A83),J83=SUMIFS('DETAIL TRANSAKSI'!$I$5:$I$504,'DETAIL TRANSAKSI'!$A$5:$A$504,A83)),"OK","CEK ALOKASI"))</f>
        <v/>
      </c>
    </row>
    <row r="84" customFormat="false" ht="15" hidden="false" customHeight="false" outlineLevel="0" collapsed="false">
      <c r="H84" s="0" t="str">
        <f aca="false">IF(A84="","",SUMIFS('DETAIL TRANSAKSI'!$G$5:$G$504,'DETAIL TRANSAKSI'!$A$5:$A$504,A84))</f>
        <v/>
      </c>
      <c r="J84" s="0" t="str">
        <f aca="false">IF(A84="","",SUMIFS('REFUND DAN PEMBATALAN'!$E$5:$E$504,'REFUND DAN PEMBATALAN'!$B$5:$B$504,A84,'REFUND DAN PEMBATALAN'!$I$5:$I$504,"Berhasil"))</f>
        <v/>
      </c>
      <c r="K84" s="0" t="str">
        <f aca="false">IF(A84="","",H84-I84-J84)</f>
        <v/>
      </c>
      <c r="O84" s="0" t="str">
        <f aca="false">IF(A84="","",IF(AND(I84=SUMIFS('DETAIL TRANSAKSI'!$H$5:$H$504,'DETAIL TRANSAKSI'!$A$5:$A$504,A84),J84=SUMIFS('DETAIL TRANSAKSI'!$I$5:$I$504,'DETAIL TRANSAKSI'!$A$5:$A$504,A84)),"OK","CEK ALOKASI"))</f>
        <v/>
      </c>
    </row>
    <row r="85" customFormat="false" ht="15" hidden="false" customHeight="false" outlineLevel="0" collapsed="false">
      <c r="H85" s="0" t="str">
        <f aca="false">IF(A85="","",SUMIFS('DETAIL TRANSAKSI'!$G$5:$G$504,'DETAIL TRANSAKSI'!$A$5:$A$504,A85))</f>
        <v/>
      </c>
      <c r="J85" s="0" t="str">
        <f aca="false">IF(A85="","",SUMIFS('REFUND DAN PEMBATALAN'!$E$5:$E$504,'REFUND DAN PEMBATALAN'!$B$5:$B$504,A85,'REFUND DAN PEMBATALAN'!$I$5:$I$504,"Berhasil"))</f>
        <v/>
      </c>
      <c r="K85" s="0" t="str">
        <f aca="false">IF(A85="","",H85-I85-J85)</f>
        <v/>
      </c>
      <c r="O85" s="0" t="str">
        <f aca="false">IF(A85="","",IF(AND(I85=SUMIFS('DETAIL TRANSAKSI'!$H$5:$H$504,'DETAIL TRANSAKSI'!$A$5:$A$504,A85),J85=SUMIFS('DETAIL TRANSAKSI'!$I$5:$I$504,'DETAIL TRANSAKSI'!$A$5:$A$504,A85)),"OK","CEK ALOKASI"))</f>
        <v/>
      </c>
    </row>
    <row r="86" customFormat="false" ht="15" hidden="false" customHeight="false" outlineLevel="0" collapsed="false">
      <c r="H86" s="0" t="str">
        <f aca="false">IF(A86="","",SUMIFS('DETAIL TRANSAKSI'!$G$5:$G$504,'DETAIL TRANSAKSI'!$A$5:$A$504,A86))</f>
        <v/>
      </c>
      <c r="J86" s="0" t="str">
        <f aca="false">IF(A86="","",SUMIFS('REFUND DAN PEMBATALAN'!$E$5:$E$504,'REFUND DAN PEMBATALAN'!$B$5:$B$504,A86,'REFUND DAN PEMBATALAN'!$I$5:$I$504,"Berhasil"))</f>
        <v/>
      </c>
      <c r="K86" s="0" t="str">
        <f aca="false">IF(A86="","",H86-I86-J86)</f>
        <v/>
      </c>
      <c r="O86" s="0" t="str">
        <f aca="false">IF(A86="","",IF(AND(I86=SUMIFS('DETAIL TRANSAKSI'!$H$5:$H$504,'DETAIL TRANSAKSI'!$A$5:$A$504,A86),J86=SUMIFS('DETAIL TRANSAKSI'!$I$5:$I$504,'DETAIL TRANSAKSI'!$A$5:$A$504,A86)),"OK","CEK ALOKASI"))</f>
        <v/>
      </c>
    </row>
    <row r="87" customFormat="false" ht="15" hidden="false" customHeight="false" outlineLevel="0" collapsed="false">
      <c r="H87" s="0" t="str">
        <f aca="false">IF(A87="","",SUMIFS('DETAIL TRANSAKSI'!$G$5:$G$504,'DETAIL TRANSAKSI'!$A$5:$A$504,A87))</f>
        <v/>
      </c>
      <c r="J87" s="0" t="str">
        <f aca="false">IF(A87="","",SUMIFS('REFUND DAN PEMBATALAN'!$E$5:$E$504,'REFUND DAN PEMBATALAN'!$B$5:$B$504,A87,'REFUND DAN PEMBATALAN'!$I$5:$I$504,"Berhasil"))</f>
        <v/>
      </c>
      <c r="K87" s="0" t="str">
        <f aca="false">IF(A87="","",H87-I87-J87)</f>
        <v/>
      </c>
      <c r="O87" s="0" t="str">
        <f aca="false">IF(A87="","",IF(AND(I87=SUMIFS('DETAIL TRANSAKSI'!$H$5:$H$504,'DETAIL TRANSAKSI'!$A$5:$A$504,A87),J87=SUMIFS('DETAIL TRANSAKSI'!$I$5:$I$504,'DETAIL TRANSAKSI'!$A$5:$A$504,A87)),"OK","CEK ALOKASI"))</f>
        <v/>
      </c>
    </row>
    <row r="88" customFormat="false" ht="15" hidden="false" customHeight="false" outlineLevel="0" collapsed="false">
      <c r="H88" s="0" t="str">
        <f aca="false">IF(A88="","",SUMIFS('DETAIL TRANSAKSI'!$G$5:$G$504,'DETAIL TRANSAKSI'!$A$5:$A$504,A88))</f>
        <v/>
      </c>
      <c r="J88" s="0" t="str">
        <f aca="false">IF(A88="","",SUMIFS('REFUND DAN PEMBATALAN'!$E$5:$E$504,'REFUND DAN PEMBATALAN'!$B$5:$B$504,A88,'REFUND DAN PEMBATALAN'!$I$5:$I$504,"Berhasil"))</f>
        <v/>
      </c>
      <c r="K88" s="0" t="str">
        <f aca="false">IF(A88="","",H88-I88-J88)</f>
        <v/>
      </c>
      <c r="O88" s="0" t="str">
        <f aca="false">IF(A88="","",IF(AND(I88=SUMIFS('DETAIL TRANSAKSI'!$H$5:$H$504,'DETAIL TRANSAKSI'!$A$5:$A$504,A88),J88=SUMIFS('DETAIL TRANSAKSI'!$I$5:$I$504,'DETAIL TRANSAKSI'!$A$5:$A$504,A88)),"OK","CEK ALOKASI"))</f>
        <v/>
      </c>
    </row>
    <row r="89" customFormat="false" ht="15" hidden="false" customHeight="false" outlineLevel="0" collapsed="false">
      <c r="H89" s="0" t="str">
        <f aca="false">IF(A89="","",SUMIFS('DETAIL TRANSAKSI'!$G$5:$G$504,'DETAIL TRANSAKSI'!$A$5:$A$504,A89))</f>
        <v/>
      </c>
      <c r="J89" s="0" t="str">
        <f aca="false">IF(A89="","",SUMIFS('REFUND DAN PEMBATALAN'!$E$5:$E$504,'REFUND DAN PEMBATALAN'!$B$5:$B$504,A89,'REFUND DAN PEMBATALAN'!$I$5:$I$504,"Berhasil"))</f>
        <v/>
      </c>
      <c r="K89" s="0" t="str">
        <f aca="false">IF(A89="","",H89-I89-J89)</f>
        <v/>
      </c>
      <c r="O89" s="0" t="str">
        <f aca="false">IF(A89="","",IF(AND(I89=SUMIFS('DETAIL TRANSAKSI'!$H$5:$H$504,'DETAIL TRANSAKSI'!$A$5:$A$504,A89),J89=SUMIFS('DETAIL TRANSAKSI'!$I$5:$I$504,'DETAIL TRANSAKSI'!$A$5:$A$504,A89)),"OK","CEK ALOKASI"))</f>
        <v/>
      </c>
    </row>
    <row r="90" customFormat="false" ht="15" hidden="false" customHeight="false" outlineLevel="0" collapsed="false">
      <c r="H90" s="0" t="str">
        <f aca="false">IF(A90="","",SUMIFS('DETAIL TRANSAKSI'!$G$5:$G$504,'DETAIL TRANSAKSI'!$A$5:$A$504,A90))</f>
        <v/>
      </c>
      <c r="J90" s="0" t="str">
        <f aca="false">IF(A90="","",SUMIFS('REFUND DAN PEMBATALAN'!$E$5:$E$504,'REFUND DAN PEMBATALAN'!$B$5:$B$504,A90,'REFUND DAN PEMBATALAN'!$I$5:$I$504,"Berhasil"))</f>
        <v/>
      </c>
      <c r="K90" s="0" t="str">
        <f aca="false">IF(A90="","",H90-I90-J90)</f>
        <v/>
      </c>
      <c r="O90" s="0" t="str">
        <f aca="false">IF(A90="","",IF(AND(I90=SUMIFS('DETAIL TRANSAKSI'!$H$5:$H$504,'DETAIL TRANSAKSI'!$A$5:$A$504,A90),J90=SUMIFS('DETAIL TRANSAKSI'!$I$5:$I$504,'DETAIL TRANSAKSI'!$A$5:$A$504,A90)),"OK","CEK ALOKASI"))</f>
        <v/>
      </c>
    </row>
    <row r="91" customFormat="false" ht="15" hidden="false" customHeight="false" outlineLevel="0" collapsed="false">
      <c r="H91" s="0" t="str">
        <f aca="false">IF(A91="","",SUMIFS('DETAIL TRANSAKSI'!$G$5:$G$504,'DETAIL TRANSAKSI'!$A$5:$A$504,A91))</f>
        <v/>
      </c>
      <c r="J91" s="0" t="str">
        <f aca="false">IF(A91="","",SUMIFS('REFUND DAN PEMBATALAN'!$E$5:$E$504,'REFUND DAN PEMBATALAN'!$B$5:$B$504,A91,'REFUND DAN PEMBATALAN'!$I$5:$I$504,"Berhasil"))</f>
        <v/>
      </c>
      <c r="K91" s="0" t="str">
        <f aca="false">IF(A91="","",H91-I91-J91)</f>
        <v/>
      </c>
      <c r="O91" s="0" t="str">
        <f aca="false">IF(A91="","",IF(AND(I91=SUMIFS('DETAIL TRANSAKSI'!$H$5:$H$504,'DETAIL TRANSAKSI'!$A$5:$A$504,A91),J91=SUMIFS('DETAIL TRANSAKSI'!$I$5:$I$504,'DETAIL TRANSAKSI'!$A$5:$A$504,A91)),"OK","CEK ALOKASI"))</f>
        <v/>
      </c>
    </row>
    <row r="92" customFormat="false" ht="15" hidden="false" customHeight="false" outlineLevel="0" collapsed="false">
      <c r="H92" s="0" t="str">
        <f aca="false">IF(A92="","",SUMIFS('DETAIL TRANSAKSI'!$G$5:$G$504,'DETAIL TRANSAKSI'!$A$5:$A$504,A92))</f>
        <v/>
      </c>
      <c r="J92" s="0" t="str">
        <f aca="false">IF(A92="","",SUMIFS('REFUND DAN PEMBATALAN'!$E$5:$E$504,'REFUND DAN PEMBATALAN'!$B$5:$B$504,A92,'REFUND DAN PEMBATALAN'!$I$5:$I$504,"Berhasil"))</f>
        <v/>
      </c>
      <c r="K92" s="0" t="str">
        <f aca="false">IF(A92="","",H92-I92-J92)</f>
        <v/>
      </c>
      <c r="O92" s="0" t="str">
        <f aca="false">IF(A92="","",IF(AND(I92=SUMIFS('DETAIL TRANSAKSI'!$H$5:$H$504,'DETAIL TRANSAKSI'!$A$5:$A$504,A92),J92=SUMIFS('DETAIL TRANSAKSI'!$I$5:$I$504,'DETAIL TRANSAKSI'!$A$5:$A$504,A92)),"OK","CEK ALOKASI"))</f>
        <v/>
      </c>
    </row>
    <row r="93" customFormat="false" ht="15" hidden="false" customHeight="false" outlineLevel="0" collapsed="false">
      <c r="H93" s="0" t="str">
        <f aca="false">IF(A93="","",SUMIFS('DETAIL TRANSAKSI'!$G$5:$G$504,'DETAIL TRANSAKSI'!$A$5:$A$504,A93))</f>
        <v/>
      </c>
      <c r="J93" s="0" t="str">
        <f aca="false">IF(A93="","",SUMIFS('REFUND DAN PEMBATALAN'!$E$5:$E$504,'REFUND DAN PEMBATALAN'!$B$5:$B$504,A93,'REFUND DAN PEMBATALAN'!$I$5:$I$504,"Berhasil"))</f>
        <v/>
      </c>
      <c r="K93" s="0" t="str">
        <f aca="false">IF(A93="","",H93-I93-J93)</f>
        <v/>
      </c>
      <c r="O93" s="0" t="str">
        <f aca="false">IF(A93="","",IF(AND(I93=SUMIFS('DETAIL TRANSAKSI'!$H$5:$H$504,'DETAIL TRANSAKSI'!$A$5:$A$504,A93),J93=SUMIFS('DETAIL TRANSAKSI'!$I$5:$I$504,'DETAIL TRANSAKSI'!$A$5:$A$504,A93)),"OK","CEK ALOKASI"))</f>
        <v/>
      </c>
    </row>
    <row r="94" customFormat="false" ht="15" hidden="false" customHeight="false" outlineLevel="0" collapsed="false">
      <c r="H94" s="0" t="str">
        <f aca="false">IF(A94="","",SUMIFS('DETAIL TRANSAKSI'!$G$5:$G$504,'DETAIL TRANSAKSI'!$A$5:$A$504,A94))</f>
        <v/>
      </c>
      <c r="J94" s="0" t="str">
        <f aca="false">IF(A94="","",SUMIFS('REFUND DAN PEMBATALAN'!$E$5:$E$504,'REFUND DAN PEMBATALAN'!$B$5:$B$504,A94,'REFUND DAN PEMBATALAN'!$I$5:$I$504,"Berhasil"))</f>
        <v/>
      </c>
      <c r="K94" s="0" t="str">
        <f aca="false">IF(A94="","",H94-I94-J94)</f>
        <v/>
      </c>
      <c r="O94" s="0" t="str">
        <f aca="false">IF(A94="","",IF(AND(I94=SUMIFS('DETAIL TRANSAKSI'!$H$5:$H$504,'DETAIL TRANSAKSI'!$A$5:$A$504,A94),J94=SUMIFS('DETAIL TRANSAKSI'!$I$5:$I$504,'DETAIL TRANSAKSI'!$A$5:$A$504,A94)),"OK","CEK ALOKASI"))</f>
        <v/>
      </c>
    </row>
    <row r="95" customFormat="false" ht="15" hidden="false" customHeight="false" outlineLevel="0" collapsed="false">
      <c r="H95" s="0" t="str">
        <f aca="false">IF(A95="","",SUMIFS('DETAIL TRANSAKSI'!$G$5:$G$504,'DETAIL TRANSAKSI'!$A$5:$A$504,A95))</f>
        <v/>
      </c>
      <c r="J95" s="0" t="str">
        <f aca="false">IF(A95="","",SUMIFS('REFUND DAN PEMBATALAN'!$E$5:$E$504,'REFUND DAN PEMBATALAN'!$B$5:$B$504,A95,'REFUND DAN PEMBATALAN'!$I$5:$I$504,"Berhasil"))</f>
        <v/>
      </c>
      <c r="K95" s="0" t="str">
        <f aca="false">IF(A95="","",H95-I95-J95)</f>
        <v/>
      </c>
      <c r="O95" s="0" t="str">
        <f aca="false">IF(A95="","",IF(AND(I95=SUMIFS('DETAIL TRANSAKSI'!$H$5:$H$504,'DETAIL TRANSAKSI'!$A$5:$A$504,A95),J95=SUMIFS('DETAIL TRANSAKSI'!$I$5:$I$504,'DETAIL TRANSAKSI'!$A$5:$A$504,A95)),"OK","CEK ALOKASI"))</f>
        <v/>
      </c>
    </row>
    <row r="96" customFormat="false" ht="15" hidden="false" customHeight="false" outlineLevel="0" collapsed="false">
      <c r="H96" s="0" t="str">
        <f aca="false">IF(A96="","",SUMIFS('DETAIL TRANSAKSI'!$G$5:$G$504,'DETAIL TRANSAKSI'!$A$5:$A$504,A96))</f>
        <v/>
      </c>
      <c r="J96" s="0" t="str">
        <f aca="false">IF(A96="","",SUMIFS('REFUND DAN PEMBATALAN'!$E$5:$E$504,'REFUND DAN PEMBATALAN'!$B$5:$B$504,A96,'REFUND DAN PEMBATALAN'!$I$5:$I$504,"Berhasil"))</f>
        <v/>
      </c>
      <c r="K96" s="0" t="str">
        <f aca="false">IF(A96="","",H96-I96-J96)</f>
        <v/>
      </c>
      <c r="O96" s="0" t="str">
        <f aca="false">IF(A96="","",IF(AND(I96=SUMIFS('DETAIL TRANSAKSI'!$H$5:$H$504,'DETAIL TRANSAKSI'!$A$5:$A$504,A96),J96=SUMIFS('DETAIL TRANSAKSI'!$I$5:$I$504,'DETAIL TRANSAKSI'!$A$5:$A$504,A96)),"OK","CEK ALOKASI"))</f>
        <v/>
      </c>
    </row>
    <row r="97" customFormat="false" ht="15" hidden="false" customHeight="false" outlineLevel="0" collapsed="false">
      <c r="H97" s="0" t="str">
        <f aca="false">IF(A97="","",SUMIFS('DETAIL TRANSAKSI'!$G$5:$G$504,'DETAIL TRANSAKSI'!$A$5:$A$504,A97))</f>
        <v/>
      </c>
      <c r="J97" s="0" t="str">
        <f aca="false">IF(A97="","",SUMIFS('REFUND DAN PEMBATALAN'!$E$5:$E$504,'REFUND DAN PEMBATALAN'!$B$5:$B$504,A97,'REFUND DAN PEMBATALAN'!$I$5:$I$504,"Berhasil"))</f>
        <v/>
      </c>
      <c r="K97" s="0" t="str">
        <f aca="false">IF(A97="","",H97-I97-J97)</f>
        <v/>
      </c>
      <c r="O97" s="0" t="str">
        <f aca="false">IF(A97="","",IF(AND(I97=SUMIFS('DETAIL TRANSAKSI'!$H$5:$H$504,'DETAIL TRANSAKSI'!$A$5:$A$504,A97),J97=SUMIFS('DETAIL TRANSAKSI'!$I$5:$I$504,'DETAIL TRANSAKSI'!$A$5:$A$504,A97)),"OK","CEK ALOKASI"))</f>
        <v/>
      </c>
    </row>
    <row r="98" customFormat="false" ht="15" hidden="false" customHeight="false" outlineLevel="0" collapsed="false">
      <c r="H98" s="0" t="str">
        <f aca="false">IF(A98="","",SUMIFS('DETAIL TRANSAKSI'!$G$5:$G$504,'DETAIL TRANSAKSI'!$A$5:$A$504,A98))</f>
        <v/>
      </c>
      <c r="J98" s="0" t="str">
        <f aca="false">IF(A98="","",SUMIFS('REFUND DAN PEMBATALAN'!$E$5:$E$504,'REFUND DAN PEMBATALAN'!$B$5:$B$504,A98,'REFUND DAN PEMBATALAN'!$I$5:$I$504,"Berhasil"))</f>
        <v/>
      </c>
      <c r="K98" s="0" t="str">
        <f aca="false">IF(A98="","",H98-I98-J98)</f>
        <v/>
      </c>
      <c r="O98" s="0" t="str">
        <f aca="false">IF(A98="","",IF(AND(I98=SUMIFS('DETAIL TRANSAKSI'!$H$5:$H$504,'DETAIL TRANSAKSI'!$A$5:$A$504,A98),J98=SUMIFS('DETAIL TRANSAKSI'!$I$5:$I$504,'DETAIL TRANSAKSI'!$A$5:$A$504,A98)),"OK","CEK ALOKASI"))</f>
        <v/>
      </c>
    </row>
    <row r="99" customFormat="false" ht="15" hidden="false" customHeight="false" outlineLevel="0" collapsed="false">
      <c r="H99" s="0" t="str">
        <f aca="false">IF(A99="","",SUMIFS('DETAIL TRANSAKSI'!$G$5:$G$504,'DETAIL TRANSAKSI'!$A$5:$A$504,A99))</f>
        <v/>
      </c>
      <c r="J99" s="0" t="str">
        <f aca="false">IF(A99="","",SUMIFS('REFUND DAN PEMBATALAN'!$E$5:$E$504,'REFUND DAN PEMBATALAN'!$B$5:$B$504,A99,'REFUND DAN PEMBATALAN'!$I$5:$I$504,"Berhasil"))</f>
        <v/>
      </c>
      <c r="K99" s="0" t="str">
        <f aca="false">IF(A99="","",H99-I99-J99)</f>
        <v/>
      </c>
      <c r="O99" s="0" t="str">
        <f aca="false">IF(A99="","",IF(AND(I99=SUMIFS('DETAIL TRANSAKSI'!$H$5:$H$504,'DETAIL TRANSAKSI'!$A$5:$A$504,A99),J99=SUMIFS('DETAIL TRANSAKSI'!$I$5:$I$504,'DETAIL TRANSAKSI'!$A$5:$A$504,A99)),"OK","CEK ALOKASI"))</f>
        <v/>
      </c>
    </row>
    <row r="100" customFormat="false" ht="15" hidden="false" customHeight="false" outlineLevel="0" collapsed="false">
      <c r="H100" s="0" t="str">
        <f aca="false">IF(A100="","",SUMIFS('DETAIL TRANSAKSI'!$G$5:$G$504,'DETAIL TRANSAKSI'!$A$5:$A$504,A100))</f>
        <v/>
      </c>
      <c r="J100" s="0" t="str">
        <f aca="false">IF(A100="","",SUMIFS('REFUND DAN PEMBATALAN'!$E$5:$E$504,'REFUND DAN PEMBATALAN'!$B$5:$B$504,A100,'REFUND DAN PEMBATALAN'!$I$5:$I$504,"Berhasil"))</f>
        <v/>
      </c>
      <c r="K100" s="0" t="str">
        <f aca="false">IF(A100="","",H100-I100-J100)</f>
        <v/>
      </c>
      <c r="O100" s="0" t="str">
        <f aca="false">IF(A100="","",IF(AND(I100=SUMIFS('DETAIL TRANSAKSI'!$H$5:$H$504,'DETAIL TRANSAKSI'!$A$5:$A$504,A100),J100=SUMIFS('DETAIL TRANSAKSI'!$I$5:$I$504,'DETAIL TRANSAKSI'!$A$5:$A$504,A100)),"OK","CEK ALOKASI"))</f>
        <v/>
      </c>
    </row>
    <row r="101" customFormat="false" ht="15" hidden="false" customHeight="false" outlineLevel="0" collapsed="false">
      <c r="H101" s="0" t="str">
        <f aca="false">IF(A101="","",SUMIFS('DETAIL TRANSAKSI'!$G$5:$G$504,'DETAIL TRANSAKSI'!$A$5:$A$504,A101))</f>
        <v/>
      </c>
      <c r="J101" s="0" t="str">
        <f aca="false">IF(A101="","",SUMIFS('REFUND DAN PEMBATALAN'!$E$5:$E$504,'REFUND DAN PEMBATALAN'!$B$5:$B$504,A101,'REFUND DAN PEMBATALAN'!$I$5:$I$504,"Berhasil"))</f>
        <v/>
      </c>
      <c r="K101" s="0" t="str">
        <f aca="false">IF(A101="","",H101-I101-J101)</f>
        <v/>
      </c>
      <c r="O101" s="0" t="str">
        <f aca="false">IF(A101="","",IF(AND(I101=SUMIFS('DETAIL TRANSAKSI'!$H$5:$H$504,'DETAIL TRANSAKSI'!$A$5:$A$504,A101),J101=SUMIFS('DETAIL TRANSAKSI'!$I$5:$I$504,'DETAIL TRANSAKSI'!$A$5:$A$504,A101)),"OK","CEK ALOKASI"))</f>
        <v/>
      </c>
    </row>
    <row r="102" customFormat="false" ht="15" hidden="false" customHeight="false" outlineLevel="0" collapsed="false">
      <c r="H102" s="0" t="str">
        <f aca="false">IF(A102="","",SUMIFS('DETAIL TRANSAKSI'!$G$5:$G$504,'DETAIL TRANSAKSI'!$A$5:$A$504,A102))</f>
        <v/>
      </c>
      <c r="J102" s="0" t="str">
        <f aca="false">IF(A102="","",SUMIFS('REFUND DAN PEMBATALAN'!$E$5:$E$504,'REFUND DAN PEMBATALAN'!$B$5:$B$504,A102,'REFUND DAN PEMBATALAN'!$I$5:$I$504,"Berhasil"))</f>
        <v/>
      </c>
      <c r="K102" s="0" t="str">
        <f aca="false">IF(A102="","",H102-I102-J102)</f>
        <v/>
      </c>
      <c r="O102" s="0" t="str">
        <f aca="false">IF(A102="","",IF(AND(I102=SUMIFS('DETAIL TRANSAKSI'!$H$5:$H$504,'DETAIL TRANSAKSI'!$A$5:$A$504,A102),J102=SUMIFS('DETAIL TRANSAKSI'!$I$5:$I$504,'DETAIL TRANSAKSI'!$A$5:$A$504,A102)),"OK","CEK ALOKASI"))</f>
        <v/>
      </c>
    </row>
    <row r="103" customFormat="false" ht="15" hidden="false" customHeight="false" outlineLevel="0" collapsed="false">
      <c r="H103" s="0" t="str">
        <f aca="false">IF(A103="","",SUMIFS('DETAIL TRANSAKSI'!$G$5:$G$504,'DETAIL TRANSAKSI'!$A$5:$A$504,A103))</f>
        <v/>
      </c>
      <c r="J103" s="0" t="str">
        <f aca="false">IF(A103="","",SUMIFS('REFUND DAN PEMBATALAN'!$E$5:$E$504,'REFUND DAN PEMBATALAN'!$B$5:$B$504,A103,'REFUND DAN PEMBATALAN'!$I$5:$I$504,"Berhasil"))</f>
        <v/>
      </c>
      <c r="K103" s="0" t="str">
        <f aca="false">IF(A103="","",H103-I103-J103)</f>
        <v/>
      </c>
      <c r="O103" s="0" t="str">
        <f aca="false">IF(A103="","",IF(AND(I103=SUMIFS('DETAIL TRANSAKSI'!$H$5:$H$504,'DETAIL TRANSAKSI'!$A$5:$A$504,A103),J103=SUMIFS('DETAIL TRANSAKSI'!$I$5:$I$504,'DETAIL TRANSAKSI'!$A$5:$A$504,A103)),"OK","CEK ALOKASI"))</f>
        <v/>
      </c>
    </row>
    <row r="104" customFormat="false" ht="15" hidden="false" customHeight="false" outlineLevel="0" collapsed="false">
      <c r="H104" s="0" t="str">
        <f aca="false">IF(A104="","",SUMIFS('DETAIL TRANSAKSI'!$G$5:$G$504,'DETAIL TRANSAKSI'!$A$5:$A$504,A104))</f>
        <v/>
      </c>
      <c r="J104" s="0" t="str">
        <f aca="false">IF(A104="","",SUMIFS('REFUND DAN PEMBATALAN'!$E$5:$E$504,'REFUND DAN PEMBATALAN'!$B$5:$B$504,A104,'REFUND DAN PEMBATALAN'!$I$5:$I$504,"Berhasil"))</f>
        <v/>
      </c>
      <c r="K104" s="0" t="str">
        <f aca="false">IF(A104="","",H104-I104-J104)</f>
        <v/>
      </c>
      <c r="O104" s="0" t="str">
        <f aca="false">IF(A104="","",IF(AND(I104=SUMIFS('DETAIL TRANSAKSI'!$H$5:$H$504,'DETAIL TRANSAKSI'!$A$5:$A$504,A104),J104=SUMIFS('DETAIL TRANSAKSI'!$I$5:$I$504,'DETAIL TRANSAKSI'!$A$5:$A$504,A104)),"OK","CEK ALOKASI"))</f>
        <v/>
      </c>
    </row>
    <row r="105" customFormat="false" ht="15" hidden="false" customHeight="false" outlineLevel="0" collapsed="false">
      <c r="H105" s="0" t="str">
        <f aca="false">IF(A105="","",SUMIFS('DETAIL TRANSAKSI'!$G$5:$G$504,'DETAIL TRANSAKSI'!$A$5:$A$504,A105))</f>
        <v/>
      </c>
      <c r="J105" s="0" t="str">
        <f aca="false">IF(A105="","",SUMIFS('REFUND DAN PEMBATALAN'!$E$5:$E$504,'REFUND DAN PEMBATALAN'!$B$5:$B$504,A105,'REFUND DAN PEMBATALAN'!$I$5:$I$504,"Berhasil"))</f>
        <v/>
      </c>
      <c r="K105" s="0" t="str">
        <f aca="false">IF(A105="","",H105-I105-J105)</f>
        <v/>
      </c>
      <c r="O105" s="0" t="str">
        <f aca="false">IF(A105="","",IF(AND(I105=SUMIFS('DETAIL TRANSAKSI'!$H$5:$H$504,'DETAIL TRANSAKSI'!$A$5:$A$504,A105),J105=SUMIFS('DETAIL TRANSAKSI'!$I$5:$I$504,'DETAIL TRANSAKSI'!$A$5:$A$504,A105)),"OK","CEK ALOKASI"))</f>
        <v/>
      </c>
    </row>
    <row r="106" customFormat="false" ht="15" hidden="false" customHeight="false" outlineLevel="0" collapsed="false">
      <c r="H106" s="0" t="str">
        <f aca="false">IF(A106="","",SUMIFS('DETAIL TRANSAKSI'!$G$5:$G$504,'DETAIL TRANSAKSI'!$A$5:$A$504,A106))</f>
        <v/>
      </c>
      <c r="J106" s="0" t="str">
        <f aca="false">IF(A106="","",SUMIFS('REFUND DAN PEMBATALAN'!$E$5:$E$504,'REFUND DAN PEMBATALAN'!$B$5:$B$504,A106,'REFUND DAN PEMBATALAN'!$I$5:$I$504,"Berhasil"))</f>
        <v/>
      </c>
      <c r="K106" s="0" t="str">
        <f aca="false">IF(A106="","",H106-I106-J106)</f>
        <v/>
      </c>
      <c r="O106" s="0" t="str">
        <f aca="false">IF(A106="","",IF(AND(I106=SUMIFS('DETAIL TRANSAKSI'!$H$5:$H$504,'DETAIL TRANSAKSI'!$A$5:$A$504,A106),J106=SUMIFS('DETAIL TRANSAKSI'!$I$5:$I$504,'DETAIL TRANSAKSI'!$A$5:$A$504,A106)),"OK","CEK ALOKASI"))</f>
        <v/>
      </c>
    </row>
    <row r="107" customFormat="false" ht="15" hidden="false" customHeight="false" outlineLevel="0" collapsed="false">
      <c r="H107" s="0" t="str">
        <f aca="false">IF(A107="","",SUMIFS('DETAIL TRANSAKSI'!$G$5:$G$504,'DETAIL TRANSAKSI'!$A$5:$A$504,A107))</f>
        <v/>
      </c>
      <c r="J107" s="0" t="str">
        <f aca="false">IF(A107="","",SUMIFS('REFUND DAN PEMBATALAN'!$E$5:$E$504,'REFUND DAN PEMBATALAN'!$B$5:$B$504,A107,'REFUND DAN PEMBATALAN'!$I$5:$I$504,"Berhasil"))</f>
        <v/>
      </c>
      <c r="K107" s="0" t="str">
        <f aca="false">IF(A107="","",H107-I107-J107)</f>
        <v/>
      </c>
      <c r="O107" s="0" t="str">
        <f aca="false">IF(A107="","",IF(AND(I107=SUMIFS('DETAIL TRANSAKSI'!$H$5:$H$504,'DETAIL TRANSAKSI'!$A$5:$A$504,A107),J107=SUMIFS('DETAIL TRANSAKSI'!$I$5:$I$504,'DETAIL TRANSAKSI'!$A$5:$A$504,A107)),"OK","CEK ALOKASI"))</f>
        <v/>
      </c>
    </row>
    <row r="108" customFormat="false" ht="15" hidden="false" customHeight="false" outlineLevel="0" collapsed="false">
      <c r="H108" s="0" t="str">
        <f aca="false">IF(A108="","",SUMIFS('DETAIL TRANSAKSI'!$G$5:$G$504,'DETAIL TRANSAKSI'!$A$5:$A$504,A108))</f>
        <v/>
      </c>
      <c r="J108" s="0" t="str">
        <f aca="false">IF(A108="","",SUMIFS('REFUND DAN PEMBATALAN'!$E$5:$E$504,'REFUND DAN PEMBATALAN'!$B$5:$B$504,A108,'REFUND DAN PEMBATALAN'!$I$5:$I$504,"Berhasil"))</f>
        <v/>
      </c>
      <c r="K108" s="0" t="str">
        <f aca="false">IF(A108="","",H108-I108-J108)</f>
        <v/>
      </c>
      <c r="O108" s="0" t="str">
        <f aca="false">IF(A108="","",IF(AND(I108=SUMIFS('DETAIL TRANSAKSI'!$H$5:$H$504,'DETAIL TRANSAKSI'!$A$5:$A$504,A108),J108=SUMIFS('DETAIL TRANSAKSI'!$I$5:$I$504,'DETAIL TRANSAKSI'!$A$5:$A$504,A108)),"OK","CEK ALOKASI"))</f>
        <v/>
      </c>
    </row>
    <row r="109" customFormat="false" ht="15" hidden="false" customHeight="false" outlineLevel="0" collapsed="false">
      <c r="H109" s="0" t="str">
        <f aca="false">IF(A109="","",SUMIFS('DETAIL TRANSAKSI'!$G$5:$G$504,'DETAIL TRANSAKSI'!$A$5:$A$504,A109))</f>
        <v/>
      </c>
      <c r="J109" s="0" t="str">
        <f aca="false">IF(A109="","",SUMIFS('REFUND DAN PEMBATALAN'!$E$5:$E$504,'REFUND DAN PEMBATALAN'!$B$5:$B$504,A109,'REFUND DAN PEMBATALAN'!$I$5:$I$504,"Berhasil"))</f>
        <v/>
      </c>
      <c r="K109" s="0" t="str">
        <f aca="false">IF(A109="","",H109-I109-J109)</f>
        <v/>
      </c>
      <c r="O109" s="0" t="str">
        <f aca="false">IF(A109="","",IF(AND(I109=SUMIFS('DETAIL TRANSAKSI'!$H$5:$H$504,'DETAIL TRANSAKSI'!$A$5:$A$504,A109),J109=SUMIFS('DETAIL TRANSAKSI'!$I$5:$I$504,'DETAIL TRANSAKSI'!$A$5:$A$504,A109)),"OK","CEK ALOKASI"))</f>
        <v/>
      </c>
    </row>
    <row r="110" customFormat="false" ht="15" hidden="false" customHeight="false" outlineLevel="0" collapsed="false">
      <c r="H110" s="0" t="str">
        <f aca="false">IF(A110="","",SUMIFS('DETAIL TRANSAKSI'!$G$5:$G$504,'DETAIL TRANSAKSI'!$A$5:$A$504,A110))</f>
        <v/>
      </c>
      <c r="J110" s="0" t="str">
        <f aca="false">IF(A110="","",SUMIFS('REFUND DAN PEMBATALAN'!$E$5:$E$504,'REFUND DAN PEMBATALAN'!$B$5:$B$504,A110,'REFUND DAN PEMBATALAN'!$I$5:$I$504,"Berhasil"))</f>
        <v/>
      </c>
      <c r="K110" s="0" t="str">
        <f aca="false">IF(A110="","",H110-I110-J110)</f>
        <v/>
      </c>
      <c r="O110" s="0" t="str">
        <f aca="false">IF(A110="","",IF(AND(I110=SUMIFS('DETAIL TRANSAKSI'!$H$5:$H$504,'DETAIL TRANSAKSI'!$A$5:$A$504,A110),J110=SUMIFS('DETAIL TRANSAKSI'!$I$5:$I$504,'DETAIL TRANSAKSI'!$A$5:$A$504,A110)),"OK","CEK ALOKASI"))</f>
        <v/>
      </c>
    </row>
    <row r="111" customFormat="false" ht="15" hidden="false" customHeight="false" outlineLevel="0" collapsed="false">
      <c r="H111" s="0" t="str">
        <f aca="false">IF(A111="","",SUMIFS('DETAIL TRANSAKSI'!$G$5:$G$504,'DETAIL TRANSAKSI'!$A$5:$A$504,A111))</f>
        <v/>
      </c>
      <c r="J111" s="0" t="str">
        <f aca="false">IF(A111="","",SUMIFS('REFUND DAN PEMBATALAN'!$E$5:$E$504,'REFUND DAN PEMBATALAN'!$B$5:$B$504,A111,'REFUND DAN PEMBATALAN'!$I$5:$I$504,"Berhasil"))</f>
        <v/>
      </c>
      <c r="K111" s="0" t="str">
        <f aca="false">IF(A111="","",H111-I111-J111)</f>
        <v/>
      </c>
      <c r="O111" s="0" t="str">
        <f aca="false">IF(A111="","",IF(AND(I111=SUMIFS('DETAIL TRANSAKSI'!$H$5:$H$504,'DETAIL TRANSAKSI'!$A$5:$A$504,A111),J111=SUMIFS('DETAIL TRANSAKSI'!$I$5:$I$504,'DETAIL TRANSAKSI'!$A$5:$A$504,A111)),"OK","CEK ALOKASI"))</f>
        <v/>
      </c>
    </row>
    <row r="112" customFormat="false" ht="15" hidden="false" customHeight="false" outlineLevel="0" collapsed="false">
      <c r="H112" s="0" t="str">
        <f aca="false">IF(A112="","",SUMIFS('DETAIL TRANSAKSI'!$G$5:$G$504,'DETAIL TRANSAKSI'!$A$5:$A$504,A112))</f>
        <v/>
      </c>
      <c r="J112" s="0" t="str">
        <f aca="false">IF(A112="","",SUMIFS('REFUND DAN PEMBATALAN'!$E$5:$E$504,'REFUND DAN PEMBATALAN'!$B$5:$B$504,A112,'REFUND DAN PEMBATALAN'!$I$5:$I$504,"Berhasil"))</f>
        <v/>
      </c>
      <c r="K112" s="0" t="str">
        <f aca="false">IF(A112="","",H112-I112-J112)</f>
        <v/>
      </c>
      <c r="O112" s="0" t="str">
        <f aca="false">IF(A112="","",IF(AND(I112=SUMIFS('DETAIL TRANSAKSI'!$H$5:$H$504,'DETAIL TRANSAKSI'!$A$5:$A$504,A112),J112=SUMIFS('DETAIL TRANSAKSI'!$I$5:$I$504,'DETAIL TRANSAKSI'!$A$5:$A$504,A112)),"OK","CEK ALOKASI"))</f>
        <v/>
      </c>
    </row>
    <row r="113" customFormat="false" ht="15" hidden="false" customHeight="false" outlineLevel="0" collapsed="false">
      <c r="H113" s="0" t="str">
        <f aca="false">IF(A113="","",SUMIFS('DETAIL TRANSAKSI'!$G$5:$G$504,'DETAIL TRANSAKSI'!$A$5:$A$504,A113))</f>
        <v/>
      </c>
      <c r="J113" s="0" t="str">
        <f aca="false">IF(A113="","",SUMIFS('REFUND DAN PEMBATALAN'!$E$5:$E$504,'REFUND DAN PEMBATALAN'!$B$5:$B$504,A113,'REFUND DAN PEMBATALAN'!$I$5:$I$504,"Berhasil"))</f>
        <v/>
      </c>
      <c r="K113" s="0" t="str">
        <f aca="false">IF(A113="","",H113-I113-J113)</f>
        <v/>
      </c>
      <c r="O113" s="0" t="str">
        <f aca="false">IF(A113="","",IF(AND(I113=SUMIFS('DETAIL TRANSAKSI'!$H$5:$H$504,'DETAIL TRANSAKSI'!$A$5:$A$504,A113),J113=SUMIFS('DETAIL TRANSAKSI'!$I$5:$I$504,'DETAIL TRANSAKSI'!$A$5:$A$504,A113)),"OK","CEK ALOKASI"))</f>
        <v/>
      </c>
    </row>
    <row r="114" customFormat="false" ht="15" hidden="false" customHeight="false" outlineLevel="0" collapsed="false">
      <c r="H114" s="0" t="str">
        <f aca="false">IF(A114="","",SUMIFS('DETAIL TRANSAKSI'!$G$5:$G$504,'DETAIL TRANSAKSI'!$A$5:$A$504,A114))</f>
        <v/>
      </c>
      <c r="J114" s="0" t="str">
        <f aca="false">IF(A114="","",SUMIFS('REFUND DAN PEMBATALAN'!$E$5:$E$504,'REFUND DAN PEMBATALAN'!$B$5:$B$504,A114,'REFUND DAN PEMBATALAN'!$I$5:$I$504,"Berhasil"))</f>
        <v/>
      </c>
      <c r="K114" s="0" t="str">
        <f aca="false">IF(A114="","",H114-I114-J114)</f>
        <v/>
      </c>
      <c r="O114" s="0" t="str">
        <f aca="false">IF(A114="","",IF(AND(I114=SUMIFS('DETAIL TRANSAKSI'!$H$5:$H$504,'DETAIL TRANSAKSI'!$A$5:$A$504,A114),J114=SUMIFS('DETAIL TRANSAKSI'!$I$5:$I$504,'DETAIL TRANSAKSI'!$A$5:$A$504,A114)),"OK","CEK ALOKASI"))</f>
        <v/>
      </c>
    </row>
    <row r="115" customFormat="false" ht="15" hidden="false" customHeight="false" outlineLevel="0" collapsed="false">
      <c r="H115" s="0" t="str">
        <f aca="false">IF(A115="","",SUMIFS('DETAIL TRANSAKSI'!$G$5:$G$504,'DETAIL TRANSAKSI'!$A$5:$A$504,A115))</f>
        <v/>
      </c>
      <c r="J115" s="0" t="str">
        <f aca="false">IF(A115="","",SUMIFS('REFUND DAN PEMBATALAN'!$E$5:$E$504,'REFUND DAN PEMBATALAN'!$B$5:$B$504,A115,'REFUND DAN PEMBATALAN'!$I$5:$I$504,"Berhasil"))</f>
        <v/>
      </c>
      <c r="K115" s="0" t="str">
        <f aca="false">IF(A115="","",H115-I115-J115)</f>
        <v/>
      </c>
      <c r="O115" s="0" t="str">
        <f aca="false">IF(A115="","",IF(AND(I115=SUMIFS('DETAIL TRANSAKSI'!$H$5:$H$504,'DETAIL TRANSAKSI'!$A$5:$A$504,A115),J115=SUMIFS('DETAIL TRANSAKSI'!$I$5:$I$504,'DETAIL TRANSAKSI'!$A$5:$A$504,A115)),"OK","CEK ALOKASI"))</f>
        <v/>
      </c>
    </row>
    <row r="116" customFormat="false" ht="15" hidden="false" customHeight="false" outlineLevel="0" collapsed="false">
      <c r="H116" s="0" t="str">
        <f aca="false">IF(A116="","",SUMIFS('DETAIL TRANSAKSI'!$G$5:$G$504,'DETAIL TRANSAKSI'!$A$5:$A$504,A116))</f>
        <v/>
      </c>
      <c r="J116" s="0" t="str">
        <f aca="false">IF(A116="","",SUMIFS('REFUND DAN PEMBATALAN'!$E$5:$E$504,'REFUND DAN PEMBATALAN'!$B$5:$B$504,A116,'REFUND DAN PEMBATALAN'!$I$5:$I$504,"Berhasil"))</f>
        <v/>
      </c>
      <c r="K116" s="0" t="str">
        <f aca="false">IF(A116="","",H116-I116-J116)</f>
        <v/>
      </c>
      <c r="O116" s="0" t="str">
        <f aca="false">IF(A116="","",IF(AND(I116=SUMIFS('DETAIL TRANSAKSI'!$H$5:$H$504,'DETAIL TRANSAKSI'!$A$5:$A$504,A116),J116=SUMIFS('DETAIL TRANSAKSI'!$I$5:$I$504,'DETAIL TRANSAKSI'!$A$5:$A$504,A116)),"OK","CEK ALOKASI"))</f>
        <v/>
      </c>
    </row>
    <row r="117" customFormat="false" ht="15" hidden="false" customHeight="false" outlineLevel="0" collapsed="false">
      <c r="H117" s="0" t="str">
        <f aca="false">IF(A117="","",SUMIFS('DETAIL TRANSAKSI'!$G$5:$G$504,'DETAIL TRANSAKSI'!$A$5:$A$504,A117))</f>
        <v/>
      </c>
      <c r="J117" s="0" t="str">
        <f aca="false">IF(A117="","",SUMIFS('REFUND DAN PEMBATALAN'!$E$5:$E$504,'REFUND DAN PEMBATALAN'!$B$5:$B$504,A117,'REFUND DAN PEMBATALAN'!$I$5:$I$504,"Berhasil"))</f>
        <v/>
      </c>
      <c r="K117" s="0" t="str">
        <f aca="false">IF(A117="","",H117-I117-J117)</f>
        <v/>
      </c>
      <c r="O117" s="0" t="str">
        <f aca="false">IF(A117="","",IF(AND(I117=SUMIFS('DETAIL TRANSAKSI'!$H$5:$H$504,'DETAIL TRANSAKSI'!$A$5:$A$504,A117),J117=SUMIFS('DETAIL TRANSAKSI'!$I$5:$I$504,'DETAIL TRANSAKSI'!$A$5:$A$504,A117)),"OK","CEK ALOKASI"))</f>
        <v/>
      </c>
    </row>
    <row r="118" customFormat="false" ht="15" hidden="false" customHeight="false" outlineLevel="0" collapsed="false">
      <c r="H118" s="0" t="str">
        <f aca="false">IF(A118="","",SUMIFS('DETAIL TRANSAKSI'!$G$5:$G$504,'DETAIL TRANSAKSI'!$A$5:$A$504,A118))</f>
        <v/>
      </c>
      <c r="J118" s="0" t="str">
        <f aca="false">IF(A118="","",SUMIFS('REFUND DAN PEMBATALAN'!$E$5:$E$504,'REFUND DAN PEMBATALAN'!$B$5:$B$504,A118,'REFUND DAN PEMBATALAN'!$I$5:$I$504,"Berhasil"))</f>
        <v/>
      </c>
      <c r="K118" s="0" t="str">
        <f aca="false">IF(A118="","",H118-I118-J118)</f>
        <v/>
      </c>
      <c r="O118" s="0" t="str">
        <f aca="false">IF(A118="","",IF(AND(I118=SUMIFS('DETAIL TRANSAKSI'!$H$5:$H$504,'DETAIL TRANSAKSI'!$A$5:$A$504,A118),J118=SUMIFS('DETAIL TRANSAKSI'!$I$5:$I$504,'DETAIL TRANSAKSI'!$A$5:$A$504,A118)),"OK","CEK ALOKASI"))</f>
        <v/>
      </c>
    </row>
    <row r="119" customFormat="false" ht="15" hidden="false" customHeight="false" outlineLevel="0" collapsed="false">
      <c r="H119" s="0" t="str">
        <f aca="false">IF(A119="","",SUMIFS('DETAIL TRANSAKSI'!$G$5:$G$504,'DETAIL TRANSAKSI'!$A$5:$A$504,A119))</f>
        <v/>
      </c>
      <c r="J119" s="0" t="str">
        <f aca="false">IF(A119="","",SUMIFS('REFUND DAN PEMBATALAN'!$E$5:$E$504,'REFUND DAN PEMBATALAN'!$B$5:$B$504,A119,'REFUND DAN PEMBATALAN'!$I$5:$I$504,"Berhasil"))</f>
        <v/>
      </c>
      <c r="K119" s="0" t="str">
        <f aca="false">IF(A119="","",H119-I119-J119)</f>
        <v/>
      </c>
      <c r="O119" s="0" t="str">
        <f aca="false">IF(A119="","",IF(AND(I119=SUMIFS('DETAIL TRANSAKSI'!$H$5:$H$504,'DETAIL TRANSAKSI'!$A$5:$A$504,A119),J119=SUMIFS('DETAIL TRANSAKSI'!$I$5:$I$504,'DETAIL TRANSAKSI'!$A$5:$A$504,A119)),"OK","CEK ALOKASI"))</f>
        <v/>
      </c>
    </row>
    <row r="120" customFormat="false" ht="15" hidden="false" customHeight="false" outlineLevel="0" collapsed="false">
      <c r="H120" s="0" t="str">
        <f aca="false">IF(A120="","",SUMIFS('DETAIL TRANSAKSI'!$G$5:$G$504,'DETAIL TRANSAKSI'!$A$5:$A$504,A120))</f>
        <v/>
      </c>
      <c r="J120" s="0" t="str">
        <f aca="false">IF(A120="","",SUMIFS('REFUND DAN PEMBATALAN'!$E$5:$E$504,'REFUND DAN PEMBATALAN'!$B$5:$B$504,A120,'REFUND DAN PEMBATALAN'!$I$5:$I$504,"Berhasil"))</f>
        <v/>
      </c>
      <c r="K120" s="0" t="str">
        <f aca="false">IF(A120="","",H120-I120-J120)</f>
        <v/>
      </c>
      <c r="O120" s="0" t="str">
        <f aca="false">IF(A120="","",IF(AND(I120=SUMIFS('DETAIL TRANSAKSI'!$H$5:$H$504,'DETAIL TRANSAKSI'!$A$5:$A$504,A120),J120=SUMIFS('DETAIL TRANSAKSI'!$I$5:$I$504,'DETAIL TRANSAKSI'!$A$5:$A$504,A120)),"OK","CEK ALOKASI"))</f>
        <v/>
      </c>
    </row>
    <row r="121" customFormat="false" ht="15" hidden="false" customHeight="false" outlineLevel="0" collapsed="false">
      <c r="H121" s="0" t="str">
        <f aca="false">IF(A121="","",SUMIFS('DETAIL TRANSAKSI'!$G$5:$G$504,'DETAIL TRANSAKSI'!$A$5:$A$504,A121))</f>
        <v/>
      </c>
      <c r="J121" s="0" t="str">
        <f aca="false">IF(A121="","",SUMIFS('REFUND DAN PEMBATALAN'!$E$5:$E$504,'REFUND DAN PEMBATALAN'!$B$5:$B$504,A121,'REFUND DAN PEMBATALAN'!$I$5:$I$504,"Berhasil"))</f>
        <v/>
      </c>
      <c r="K121" s="0" t="str">
        <f aca="false">IF(A121="","",H121-I121-J121)</f>
        <v/>
      </c>
      <c r="O121" s="0" t="str">
        <f aca="false">IF(A121="","",IF(AND(I121=SUMIFS('DETAIL TRANSAKSI'!$H$5:$H$504,'DETAIL TRANSAKSI'!$A$5:$A$504,A121),J121=SUMIFS('DETAIL TRANSAKSI'!$I$5:$I$504,'DETAIL TRANSAKSI'!$A$5:$A$504,A121)),"OK","CEK ALOKASI"))</f>
        <v/>
      </c>
    </row>
    <row r="122" customFormat="false" ht="15" hidden="false" customHeight="false" outlineLevel="0" collapsed="false">
      <c r="H122" s="0" t="str">
        <f aca="false">IF(A122="","",SUMIFS('DETAIL TRANSAKSI'!$G$5:$G$504,'DETAIL TRANSAKSI'!$A$5:$A$504,A122))</f>
        <v/>
      </c>
      <c r="J122" s="0" t="str">
        <f aca="false">IF(A122="","",SUMIFS('REFUND DAN PEMBATALAN'!$E$5:$E$504,'REFUND DAN PEMBATALAN'!$B$5:$B$504,A122,'REFUND DAN PEMBATALAN'!$I$5:$I$504,"Berhasil"))</f>
        <v/>
      </c>
      <c r="K122" s="0" t="str">
        <f aca="false">IF(A122="","",H122-I122-J122)</f>
        <v/>
      </c>
      <c r="O122" s="0" t="str">
        <f aca="false">IF(A122="","",IF(AND(I122=SUMIFS('DETAIL TRANSAKSI'!$H$5:$H$504,'DETAIL TRANSAKSI'!$A$5:$A$504,A122),J122=SUMIFS('DETAIL TRANSAKSI'!$I$5:$I$504,'DETAIL TRANSAKSI'!$A$5:$A$504,A122)),"OK","CEK ALOKASI"))</f>
        <v/>
      </c>
    </row>
    <row r="123" customFormat="false" ht="15" hidden="false" customHeight="false" outlineLevel="0" collapsed="false">
      <c r="H123" s="0" t="str">
        <f aca="false">IF(A123="","",SUMIFS('DETAIL TRANSAKSI'!$G$5:$G$504,'DETAIL TRANSAKSI'!$A$5:$A$504,A123))</f>
        <v/>
      </c>
      <c r="J123" s="0" t="str">
        <f aca="false">IF(A123="","",SUMIFS('REFUND DAN PEMBATALAN'!$E$5:$E$504,'REFUND DAN PEMBATALAN'!$B$5:$B$504,A123,'REFUND DAN PEMBATALAN'!$I$5:$I$504,"Berhasil"))</f>
        <v/>
      </c>
      <c r="K123" s="0" t="str">
        <f aca="false">IF(A123="","",H123-I123-J123)</f>
        <v/>
      </c>
      <c r="O123" s="0" t="str">
        <f aca="false">IF(A123="","",IF(AND(I123=SUMIFS('DETAIL TRANSAKSI'!$H$5:$H$504,'DETAIL TRANSAKSI'!$A$5:$A$504,A123),J123=SUMIFS('DETAIL TRANSAKSI'!$I$5:$I$504,'DETAIL TRANSAKSI'!$A$5:$A$504,A123)),"OK","CEK ALOKASI"))</f>
        <v/>
      </c>
    </row>
    <row r="124" customFormat="false" ht="15" hidden="false" customHeight="false" outlineLevel="0" collapsed="false">
      <c r="H124" s="0" t="str">
        <f aca="false">IF(A124="","",SUMIFS('DETAIL TRANSAKSI'!$G$5:$G$504,'DETAIL TRANSAKSI'!$A$5:$A$504,A124))</f>
        <v/>
      </c>
      <c r="J124" s="0" t="str">
        <f aca="false">IF(A124="","",SUMIFS('REFUND DAN PEMBATALAN'!$E$5:$E$504,'REFUND DAN PEMBATALAN'!$B$5:$B$504,A124,'REFUND DAN PEMBATALAN'!$I$5:$I$504,"Berhasil"))</f>
        <v/>
      </c>
      <c r="K124" s="0" t="str">
        <f aca="false">IF(A124="","",H124-I124-J124)</f>
        <v/>
      </c>
      <c r="O124" s="0" t="str">
        <f aca="false">IF(A124="","",IF(AND(I124=SUMIFS('DETAIL TRANSAKSI'!$H$5:$H$504,'DETAIL TRANSAKSI'!$A$5:$A$504,A124),J124=SUMIFS('DETAIL TRANSAKSI'!$I$5:$I$504,'DETAIL TRANSAKSI'!$A$5:$A$504,A124)),"OK","CEK ALOKASI"))</f>
        <v/>
      </c>
    </row>
    <row r="125" customFormat="false" ht="15" hidden="false" customHeight="false" outlineLevel="0" collapsed="false">
      <c r="H125" s="0" t="str">
        <f aca="false">IF(A125="","",SUMIFS('DETAIL TRANSAKSI'!$G$5:$G$504,'DETAIL TRANSAKSI'!$A$5:$A$504,A125))</f>
        <v/>
      </c>
      <c r="J125" s="0" t="str">
        <f aca="false">IF(A125="","",SUMIFS('REFUND DAN PEMBATALAN'!$E$5:$E$504,'REFUND DAN PEMBATALAN'!$B$5:$B$504,A125,'REFUND DAN PEMBATALAN'!$I$5:$I$504,"Berhasil"))</f>
        <v/>
      </c>
      <c r="K125" s="0" t="str">
        <f aca="false">IF(A125="","",H125-I125-J125)</f>
        <v/>
      </c>
      <c r="O125" s="0" t="str">
        <f aca="false">IF(A125="","",IF(AND(I125=SUMIFS('DETAIL TRANSAKSI'!$H$5:$H$504,'DETAIL TRANSAKSI'!$A$5:$A$504,A125),J125=SUMIFS('DETAIL TRANSAKSI'!$I$5:$I$504,'DETAIL TRANSAKSI'!$A$5:$A$504,A125)),"OK","CEK ALOKASI"))</f>
        <v/>
      </c>
    </row>
    <row r="126" customFormat="false" ht="15" hidden="false" customHeight="false" outlineLevel="0" collapsed="false">
      <c r="H126" s="0" t="str">
        <f aca="false">IF(A126="","",SUMIFS('DETAIL TRANSAKSI'!$G$5:$G$504,'DETAIL TRANSAKSI'!$A$5:$A$504,A126))</f>
        <v/>
      </c>
      <c r="J126" s="0" t="str">
        <f aca="false">IF(A126="","",SUMIFS('REFUND DAN PEMBATALAN'!$E$5:$E$504,'REFUND DAN PEMBATALAN'!$B$5:$B$504,A126,'REFUND DAN PEMBATALAN'!$I$5:$I$504,"Berhasil"))</f>
        <v/>
      </c>
      <c r="K126" s="0" t="str">
        <f aca="false">IF(A126="","",H126-I126-J126)</f>
        <v/>
      </c>
      <c r="O126" s="0" t="str">
        <f aca="false">IF(A126="","",IF(AND(I126=SUMIFS('DETAIL TRANSAKSI'!$H$5:$H$504,'DETAIL TRANSAKSI'!$A$5:$A$504,A126),J126=SUMIFS('DETAIL TRANSAKSI'!$I$5:$I$504,'DETAIL TRANSAKSI'!$A$5:$A$504,A126)),"OK","CEK ALOKASI"))</f>
        <v/>
      </c>
    </row>
    <row r="127" customFormat="false" ht="15" hidden="false" customHeight="false" outlineLevel="0" collapsed="false">
      <c r="H127" s="0" t="str">
        <f aca="false">IF(A127="","",SUMIFS('DETAIL TRANSAKSI'!$G$5:$G$504,'DETAIL TRANSAKSI'!$A$5:$A$504,A127))</f>
        <v/>
      </c>
      <c r="J127" s="0" t="str">
        <f aca="false">IF(A127="","",SUMIFS('REFUND DAN PEMBATALAN'!$E$5:$E$504,'REFUND DAN PEMBATALAN'!$B$5:$B$504,A127,'REFUND DAN PEMBATALAN'!$I$5:$I$504,"Berhasil"))</f>
        <v/>
      </c>
      <c r="K127" s="0" t="str">
        <f aca="false">IF(A127="","",H127-I127-J127)</f>
        <v/>
      </c>
      <c r="O127" s="0" t="str">
        <f aca="false">IF(A127="","",IF(AND(I127=SUMIFS('DETAIL TRANSAKSI'!$H$5:$H$504,'DETAIL TRANSAKSI'!$A$5:$A$504,A127),J127=SUMIFS('DETAIL TRANSAKSI'!$I$5:$I$504,'DETAIL TRANSAKSI'!$A$5:$A$504,A127)),"OK","CEK ALOKASI"))</f>
        <v/>
      </c>
    </row>
    <row r="128" customFormat="false" ht="15" hidden="false" customHeight="false" outlineLevel="0" collapsed="false">
      <c r="H128" s="0" t="str">
        <f aca="false">IF(A128="","",SUMIFS('DETAIL TRANSAKSI'!$G$5:$G$504,'DETAIL TRANSAKSI'!$A$5:$A$504,A128))</f>
        <v/>
      </c>
      <c r="J128" s="0" t="str">
        <f aca="false">IF(A128="","",SUMIFS('REFUND DAN PEMBATALAN'!$E$5:$E$504,'REFUND DAN PEMBATALAN'!$B$5:$B$504,A128,'REFUND DAN PEMBATALAN'!$I$5:$I$504,"Berhasil"))</f>
        <v/>
      </c>
      <c r="K128" s="0" t="str">
        <f aca="false">IF(A128="","",H128-I128-J128)</f>
        <v/>
      </c>
      <c r="O128" s="0" t="str">
        <f aca="false">IF(A128="","",IF(AND(I128=SUMIFS('DETAIL TRANSAKSI'!$H$5:$H$504,'DETAIL TRANSAKSI'!$A$5:$A$504,A128),J128=SUMIFS('DETAIL TRANSAKSI'!$I$5:$I$504,'DETAIL TRANSAKSI'!$A$5:$A$504,A128)),"OK","CEK ALOKASI"))</f>
        <v/>
      </c>
    </row>
    <row r="129" customFormat="false" ht="15" hidden="false" customHeight="false" outlineLevel="0" collapsed="false">
      <c r="H129" s="0" t="str">
        <f aca="false">IF(A129="","",SUMIFS('DETAIL TRANSAKSI'!$G$5:$G$504,'DETAIL TRANSAKSI'!$A$5:$A$504,A129))</f>
        <v/>
      </c>
      <c r="J129" s="0" t="str">
        <f aca="false">IF(A129="","",SUMIFS('REFUND DAN PEMBATALAN'!$E$5:$E$504,'REFUND DAN PEMBATALAN'!$B$5:$B$504,A129,'REFUND DAN PEMBATALAN'!$I$5:$I$504,"Berhasil"))</f>
        <v/>
      </c>
      <c r="K129" s="0" t="str">
        <f aca="false">IF(A129="","",H129-I129-J129)</f>
        <v/>
      </c>
      <c r="O129" s="0" t="str">
        <f aca="false">IF(A129="","",IF(AND(I129=SUMIFS('DETAIL TRANSAKSI'!$H$5:$H$504,'DETAIL TRANSAKSI'!$A$5:$A$504,A129),J129=SUMIFS('DETAIL TRANSAKSI'!$I$5:$I$504,'DETAIL TRANSAKSI'!$A$5:$A$504,A129)),"OK","CEK ALOKASI"))</f>
        <v/>
      </c>
    </row>
    <row r="130" customFormat="false" ht="15" hidden="false" customHeight="false" outlineLevel="0" collapsed="false">
      <c r="H130" s="0" t="str">
        <f aca="false">IF(A130="","",SUMIFS('DETAIL TRANSAKSI'!$G$5:$G$504,'DETAIL TRANSAKSI'!$A$5:$A$504,A130))</f>
        <v/>
      </c>
      <c r="J130" s="0" t="str">
        <f aca="false">IF(A130="","",SUMIFS('REFUND DAN PEMBATALAN'!$E$5:$E$504,'REFUND DAN PEMBATALAN'!$B$5:$B$504,A130,'REFUND DAN PEMBATALAN'!$I$5:$I$504,"Berhasil"))</f>
        <v/>
      </c>
      <c r="K130" s="0" t="str">
        <f aca="false">IF(A130="","",H130-I130-J130)</f>
        <v/>
      </c>
      <c r="O130" s="0" t="str">
        <f aca="false">IF(A130="","",IF(AND(I130=SUMIFS('DETAIL TRANSAKSI'!$H$5:$H$504,'DETAIL TRANSAKSI'!$A$5:$A$504,A130),J130=SUMIFS('DETAIL TRANSAKSI'!$I$5:$I$504,'DETAIL TRANSAKSI'!$A$5:$A$504,A130)),"OK","CEK ALOKASI"))</f>
        <v/>
      </c>
    </row>
    <row r="131" customFormat="false" ht="15" hidden="false" customHeight="false" outlineLevel="0" collapsed="false">
      <c r="H131" s="0" t="str">
        <f aca="false">IF(A131="","",SUMIFS('DETAIL TRANSAKSI'!$G$5:$G$504,'DETAIL TRANSAKSI'!$A$5:$A$504,A131))</f>
        <v/>
      </c>
      <c r="J131" s="0" t="str">
        <f aca="false">IF(A131="","",SUMIFS('REFUND DAN PEMBATALAN'!$E$5:$E$504,'REFUND DAN PEMBATALAN'!$B$5:$B$504,A131,'REFUND DAN PEMBATALAN'!$I$5:$I$504,"Berhasil"))</f>
        <v/>
      </c>
      <c r="K131" s="0" t="str">
        <f aca="false">IF(A131="","",H131-I131-J131)</f>
        <v/>
      </c>
      <c r="O131" s="0" t="str">
        <f aca="false">IF(A131="","",IF(AND(I131=SUMIFS('DETAIL TRANSAKSI'!$H$5:$H$504,'DETAIL TRANSAKSI'!$A$5:$A$504,A131),J131=SUMIFS('DETAIL TRANSAKSI'!$I$5:$I$504,'DETAIL TRANSAKSI'!$A$5:$A$504,A131)),"OK","CEK ALOKASI"))</f>
        <v/>
      </c>
    </row>
    <row r="132" customFormat="false" ht="15" hidden="false" customHeight="false" outlineLevel="0" collapsed="false">
      <c r="H132" s="0" t="str">
        <f aca="false">IF(A132="","",SUMIFS('DETAIL TRANSAKSI'!$G$5:$G$504,'DETAIL TRANSAKSI'!$A$5:$A$504,A132))</f>
        <v/>
      </c>
      <c r="J132" s="0" t="str">
        <f aca="false">IF(A132="","",SUMIFS('REFUND DAN PEMBATALAN'!$E$5:$E$504,'REFUND DAN PEMBATALAN'!$B$5:$B$504,A132,'REFUND DAN PEMBATALAN'!$I$5:$I$504,"Berhasil"))</f>
        <v/>
      </c>
      <c r="K132" s="0" t="str">
        <f aca="false">IF(A132="","",H132-I132-J132)</f>
        <v/>
      </c>
      <c r="O132" s="0" t="str">
        <f aca="false">IF(A132="","",IF(AND(I132=SUMIFS('DETAIL TRANSAKSI'!$H$5:$H$504,'DETAIL TRANSAKSI'!$A$5:$A$504,A132),J132=SUMIFS('DETAIL TRANSAKSI'!$I$5:$I$504,'DETAIL TRANSAKSI'!$A$5:$A$504,A132)),"OK","CEK ALOKASI"))</f>
        <v/>
      </c>
    </row>
    <row r="133" customFormat="false" ht="15" hidden="false" customHeight="false" outlineLevel="0" collapsed="false">
      <c r="H133" s="0" t="str">
        <f aca="false">IF(A133="","",SUMIFS('DETAIL TRANSAKSI'!$G$5:$G$504,'DETAIL TRANSAKSI'!$A$5:$A$504,A133))</f>
        <v/>
      </c>
      <c r="J133" s="0" t="str">
        <f aca="false">IF(A133="","",SUMIFS('REFUND DAN PEMBATALAN'!$E$5:$E$504,'REFUND DAN PEMBATALAN'!$B$5:$B$504,A133,'REFUND DAN PEMBATALAN'!$I$5:$I$504,"Berhasil"))</f>
        <v/>
      </c>
      <c r="K133" s="0" t="str">
        <f aca="false">IF(A133="","",H133-I133-J133)</f>
        <v/>
      </c>
      <c r="O133" s="0" t="str">
        <f aca="false">IF(A133="","",IF(AND(I133=SUMIFS('DETAIL TRANSAKSI'!$H$5:$H$504,'DETAIL TRANSAKSI'!$A$5:$A$504,A133),J133=SUMIFS('DETAIL TRANSAKSI'!$I$5:$I$504,'DETAIL TRANSAKSI'!$A$5:$A$504,A133)),"OK","CEK ALOKASI"))</f>
        <v/>
      </c>
    </row>
    <row r="134" customFormat="false" ht="15" hidden="false" customHeight="false" outlineLevel="0" collapsed="false">
      <c r="H134" s="0" t="str">
        <f aca="false">IF(A134="","",SUMIFS('DETAIL TRANSAKSI'!$G$5:$G$504,'DETAIL TRANSAKSI'!$A$5:$A$504,A134))</f>
        <v/>
      </c>
      <c r="J134" s="0" t="str">
        <f aca="false">IF(A134="","",SUMIFS('REFUND DAN PEMBATALAN'!$E$5:$E$504,'REFUND DAN PEMBATALAN'!$B$5:$B$504,A134,'REFUND DAN PEMBATALAN'!$I$5:$I$504,"Berhasil"))</f>
        <v/>
      </c>
      <c r="K134" s="0" t="str">
        <f aca="false">IF(A134="","",H134-I134-J134)</f>
        <v/>
      </c>
      <c r="O134" s="0" t="str">
        <f aca="false">IF(A134="","",IF(AND(I134=SUMIFS('DETAIL TRANSAKSI'!$H$5:$H$504,'DETAIL TRANSAKSI'!$A$5:$A$504,A134),J134=SUMIFS('DETAIL TRANSAKSI'!$I$5:$I$504,'DETAIL TRANSAKSI'!$A$5:$A$504,A134)),"OK","CEK ALOKASI"))</f>
        <v/>
      </c>
    </row>
    <row r="135" customFormat="false" ht="15" hidden="false" customHeight="false" outlineLevel="0" collapsed="false">
      <c r="H135" s="0" t="str">
        <f aca="false">IF(A135="","",SUMIFS('DETAIL TRANSAKSI'!$G$5:$G$504,'DETAIL TRANSAKSI'!$A$5:$A$504,A135))</f>
        <v/>
      </c>
      <c r="J135" s="0" t="str">
        <f aca="false">IF(A135="","",SUMIFS('REFUND DAN PEMBATALAN'!$E$5:$E$504,'REFUND DAN PEMBATALAN'!$B$5:$B$504,A135,'REFUND DAN PEMBATALAN'!$I$5:$I$504,"Berhasil"))</f>
        <v/>
      </c>
      <c r="K135" s="0" t="str">
        <f aca="false">IF(A135="","",H135-I135-J135)</f>
        <v/>
      </c>
      <c r="O135" s="0" t="str">
        <f aca="false">IF(A135="","",IF(AND(I135=SUMIFS('DETAIL TRANSAKSI'!$H$5:$H$504,'DETAIL TRANSAKSI'!$A$5:$A$504,A135),J135=SUMIFS('DETAIL TRANSAKSI'!$I$5:$I$504,'DETAIL TRANSAKSI'!$A$5:$A$504,A135)),"OK","CEK ALOKASI"))</f>
        <v/>
      </c>
    </row>
    <row r="136" customFormat="false" ht="15" hidden="false" customHeight="false" outlineLevel="0" collapsed="false">
      <c r="H136" s="0" t="str">
        <f aca="false">IF(A136="","",SUMIFS('DETAIL TRANSAKSI'!$G$5:$G$504,'DETAIL TRANSAKSI'!$A$5:$A$504,A136))</f>
        <v/>
      </c>
      <c r="J136" s="0" t="str">
        <f aca="false">IF(A136="","",SUMIFS('REFUND DAN PEMBATALAN'!$E$5:$E$504,'REFUND DAN PEMBATALAN'!$B$5:$B$504,A136,'REFUND DAN PEMBATALAN'!$I$5:$I$504,"Berhasil"))</f>
        <v/>
      </c>
      <c r="K136" s="0" t="str">
        <f aca="false">IF(A136="","",H136-I136-J136)</f>
        <v/>
      </c>
      <c r="O136" s="0" t="str">
        <f aca="false">IF(A136="","",IF(AND(I136=SUMIFS('DETAIL TRANSAKSI'!$H$5:$H$504,'DETAIL TRANSAKSI'!$A$5:$A$504,A136),J136=SUMIFS('DETAIL TRANSAKSI'!$I$5:$I$504,'DETAIL TRANSAKSI'!$A$5:$A$504,A136)),"OK","CEK ALOKASI"))</f>
        <v/>
      </c>
    </row>
    <row r="137" customFormat="false" ht="15" hidden="false" customHeight="false" outlineLevel="0" collapsed="false">
      <c r="H137" s="0" t="str">
        <f aca="false">IF(A137="","",SUMIFS('DETAIL TRANSAKSI'!$G$5:$G$504,'DETAIL TRANSAKSI'!$A$5:$A$504,A137))</f>
        <v/>
      </c>
      <c r="J137" s="0" t="str">
        <f aca="false">IF(A137="","",SUMIFS('REFUND DAN PEMBATALAN'!$E$5:$E$504,'REFUND DAN PEMBATALAN'!$B$5:$B$504,A137,'REFUND DAN PEMBATALAN'!$I$5:$I$504,"Berhasil"))</f>
        <v/>
      </c>
      <c r="K137" s="0" t="str">
        <f aca="false">IF(A137="","",H137-I137-J137)</f>
        <v/>
      </c>
      <c r="O137" s="0" t="str">
        <f aca="false">IF(A137="","",IF(AND(I137=SUMIFS('DETAIL TRANSAKSI'!$H$5:$H$504,'DETAIL TRANSAKSI'!$A$5:$A$504,A137),J137=SUMIFS('DETAIL TRANSAKSI'!$I$5:$I$504,'DETAIL TRANSAKSI'!$A$5:$A$504,A137)),"OK","CEK ALOKASI"))</f>
        <v/>
      </c>
    </row>
    <row r="138" customFormat="false" ht="15" hidden="false" customHeight="false" outlineLevel="0" collapsed="false">
      <c r="H138" s="0" t="str">
        <f aca="false">IF(A138="","",SUMIFS('DETAIL TRANSAKSI'!$G$5:$G$504,'DETAIL TRANSAKSI'!$A$5:$A$504,A138))</f>
        <v/>
      </c>
      <c r="J138" s="0" t="str">
        <f aca="false">IF(A138="","",SUMIFS('REFUND DAN PEMBATALAN'!$E$5:$E$504,'REFUND DAN PEMBATALAN'!$B$5:$B$504,A138,'REFUND DAN PEMBATALAN'!$I$5:$I$504,"Berhasil"))</f>
        <v/>
      </c>
      <c r="K138" s="0" t="str">
        <f aca="false">IF(A138="","",H138-I138-J138)</f>
        <v/>
      </c>
      <c r="O138" s="0" t="str">
        <f aca="false">IF(A138="","",IF(AND(I138=SUMIFS('DETAIL TRANSAKSI'!$H$5:$H$504,'DETAIL TRANSAKSI'!$A$5:$A$504,A138),J138=SUMIFS('DETAIL TRANSAKSI'!$I$5:$I$504,'DETAIL TRANSAKSI'!$A$5:$A$504,A138)),"OK","CEK ALOKASI"))</f>
        <v/>
      </c>
    </row>
    <row r="139" customFormat="false" ht="15" hidden="false" customHeight="false" outlineLevel="0" collapsed="false">
      <c r="H139" s="0" t="str">
        <f aca="false">IF(A139="","",SUMIFS('DETAIL TRANSAKSI'!$G$5:$G$504,'DETAIL TRANSAKSI'!$A$5:$A$504,A139))</f>
        <v/>
      </c>
      <c r="J139" s="0" t="str">
        <f aca="false">IF(A139="","",SUMIFS('REFUND DAN PEMBATALAN'!$E$5:$E$504,'REFUND DAN PEMBATALAN'!$B$5:$B$504,A139,'REFUND DAN PEMBATALAN'!$I$5:$I$504,"Berhasil"))</f>
        <v/>
      </c>
      <c r="K139" s="0" t="str">
        <f aca="false">IF(A139="","",H139-I139-J139)</f>
        <v/>
      </c>
      <c r="O139" s="0" t="str">
        <f aca="false">IF(A139="","",IF(AND(I139=SUMIFS('DETAIL TRANSAKSI'!$H$5:$H$504,'DETAIL TRANSAKSI'!$A$5:$A$504,A139),J139=SUMIFS('DETAIL TRANSAKSI'!$I$5:$I$504,'DETAIL TRANSAKSI'!$A$5:$A$504,A139)),"OK","CEK ALOKASI"))</f>
        <v/>
      </c>
    </row>
    <row r="140" customFormat="false" ht="15" hidden="false" customHeight="false" outlineLevel="0" collapsed="false">
      <c r="H140" s="0" t="str">
        <f aca="false">IF(A140="","",SUMIFS('DETAIL TRANSAKSI'!$G$5:$G$504,'DETAIL TRANSAKSI'!$A$5:$A$504,A140))</f>
        <v/>
      </c>
      <c r="J140" s="0" t="str">
        <f aca="false">IF(A140="","",SUMIFS('REFUND DAN PEMBATALAN'!$E$5:$E$504,'REFUND DAN PEMBATALAN'!$B$5:$B$504,A140,'REFUND DAN PEMBATALAN'!$I$5:$I$504,"Berhasil"))</f>
        <v/>
      </c>
      <c r="K140" s="0" t="str">
        <f aca="false">IF(A140="","",H140-I140-J140)</f>
        <v/>
      </c>
      <c r="O140" s="0" t="str">
        <f aca="false">IF(A140="","",IF(AND(I140=SUMIFS('DETAIL TRANSAKSI'!$H$5:$H$504,'DETAIL TRANSAKSI'!$A$5:$A$504,A140),J140=SUMIFS('DETAIL TRANSAKSI'!$I$5:$I$504,'DETAIL TRANSAKSI'!$A$5:$A$504,A140)),"OK","CEK ALOKASI"))</f>
        <v/>
      </c>
    </row>
    <row r="141" customFormat="false" ht="15" hidden="false" customHeight="false" outlineLevel="0" collapsed="false">
      <c r="H141" s="0" t="str">
        <f aca="false">IF(A141="","",SUMIFS('DETAIL TRANSAKSI'!$G$5:$G$504,'DETAIL TRANSAKSI'!$A$5:$A$504,A141))</f>
        <v/>
      </c>
      <c r="J141" s="0" t="str">
        <f aca="false">IF(A141="","",SUMIFS('REFUND DAN PEMBATALAN'!$E$5:$E$504,'REFUND DAN PEMBATALAN'!$B$5:$B$504,A141,'REFUND DAN PEMBATALAN'!$I$5:$I$504,"Berhasil"))</f>
        <v/>
      </c>
      <c r="K141" s="0" t="str">
        <f aca="false">IF(A141="","",H141-I141-J141)</f>
        <v/>
      </c>
      <c r="O141" s="0" t="str">
        <f aca="false">IF(A141="","",IF(AND(I141=SUMIFS('DETAIL TRANSAKSI'!$H$5:$H$504,'DETAIL TRANSAKSI'!$A$5:$A$504,A141),J141=SUMIFS('DETAIL TRANSAKSI'!$I$5:$I$504,'DETAIL TRANSAKSI'!$A$5:$A$504,A141)),"OK","CEK ALOKASI"))</f>
        <v/>
      </c>
    </row>
    <row r="142" customFormat="false" ht="15" hidden="false" customHeight="false" outlineLevel="0" collapsed="false">
      <c r="H142" s="0" t="str">
        <f aca="false">IF(A142="","",SUMIFS('DETAIL TRANSAKSI'!$G$5:$G$504,'DETAIL TRANSAKSI'!$A$5:$A$504,A142))</f>
        <v/>
      </c>
      <c r="J142" s="0" t="str">
        <f aca="false">IF(A142="","",SUMIFS('REFUND DAN PEMBATALAN'!$E$5:$E$504,'REFUND DAN PEMBATALAN'!$B$5:$B$504,A142,'REFUND DAN PEMBATALAN'!$I$5:$I$504,"Berhasil"))</f>
        <v/>
      </c>
      <c r="K142" s="0" t="str">
        <f aca="false">IF(A142="","",H142-I142-J142)</f>
        <v/>
      </c>
      <c r="O142" s="0" t="str">
        <f aca="false">IF(A142="","",IF(AND(I142=SUMIFS('DETAIL TRANSAKSI'!$H$5:$H$504,'DETAIL TRANSAKSI'!$A$5:$A$504,A142),J142=SUMIFS('DETAIL TRANSAKSI'!$I$5:$I$504,'DETAIL TRANSAKSI'!$A$5:$A$504,A142)),"OK","CEK ALOKASI"))</f>
        <v/>
      </c>
    </row>
    <row r="143" customFormat="false" ht="15" hidden="false" customHeight="false" outlineLevel="0" collapsed="false">
      <c r="H143" s="0" t="str">
        <f aca="false">IF(A143="","",SUMIFS('DETAIL TRANSAKSI'!$G$5:$G$504,'DETAIL TRANSAKSI'!$A$5:$A$504,A143))</f>
        <v/>
      </c>
      <c r="J143" s="0" t="str">
        <f aca="false">IF(A143="","",SUMIFS('REFUND DAN PEMBATALAN'!$E$5:$E$504,'REFUND DAN PEMBATALAN'!$B$5:$B$504,A143,'REFUND DAN PEMBATALAN'!$I$5:$I$504,"Berhasil"))</f>
        <v/>
      </c>
      <c r="K143" s="0" t="str">
        <f aca="false">IF(A143="","",H143-I143-J143)</f>
        <v/>
      </c>
      <c r="O143" s="0" t="str">
        <f aca="false">IF(A143="","",IF(AND(I143=SUMIFS('DETAIL TRANSAKSI'!$H$5:$H$504,'DETAIL TRANSAKSI'!$A$5:$A$504,A143),J143=SUMIFS('DETAIL TRANSAKSI'!$I$5:$I$504,'DETAIL TRANSAKSI'!$A$5:$A$504,A143)),"OK","CEK ALOKASI"))</f>
        <v/>
      </c>
    </row>
    <row r="144" customFormat="false" ht="15" hidden="false" customHeight="false" outlineLevel="0" collapsed="false">
      <c r="H144" s="0" t="str">
        <f aca="false">IF(A144="","",SUMIFS('DETAIL TRANSAKSI'!$G$5:$G$504,'DETAIL TRANSAKSI'!$A$5:$A$504,A144))</f>
        <v/>
      </c>
      <c r="J144" s="0" t="str">
        <f aca="false">IF(A144="","",SUMIFS('REFUND DAN PEMBATALAN'!$E$5:$E$504,'REFUND DAN PEMBATALAN'!$B$5:$B$504,A144,'REFUND DAN PEMBATALAN'!$I$5:$I$504,"Berhasil"))</f>
        <v/>
      </c>
      <c r="K144" s="0" t="str">
        <f aca="false">IF(A144="","",H144-I144-J144)</f>
        <v/>
      </c>
      <c r="O144" s="0" t="str">
        <f aca="false">IF(A144="","",IF(AND(I144=SUMIFS('DETAIL TRANSAKSI'!$H$5:$H$504,'DETAIL TRANSAKSI'!$A$5:$A$504,A144),J144=SUMIFS('DETAIL TRANSAKSI'!$I$5:$I$504,'DETAIL TRANSAKSI'!$A$5:$A$504,A144)),"OK","CEK ALOKASI"))</f>
        <v/>
      </c>
    </row>
    <row r="145" customFormat="false" ht="15" hidden="false" customHeight="false" outlineLevel="0" collapsed="false">
      <c r="H145" s="0" t="str">
        <f aca="false">IF(A145="","",SUMIFS('DETAIL TRANSAKSI'!$G$5:$G$504,'DETAIL TRANSAKSI'!$A$5:$A$504,A145))</f>
        <v/>
      </c>
      <c r="J145" s="0" t="str">
        <f aca="false">IF(A145="","",SUMIFS('REFUND DAN PEMBATALAN'!$E$5:$E$504,'REFUND DAN PEMBATALAN'!$B$5:$B$504,A145,'REFUND DAN PEMBATALAN'!$I$5:$I$504,"Berhasil"))</f>
        <v/>
      </c>
      <c r="K145" s="0" t="str">
        <f aca="false">IF(A145="","",H145-I145-J145)</f>
        <v/>
      </c>
      <c r="O145" s="0" t="str">
        <f aca="false">IF(A145="","",IF(AND(I145=SUMIFS('DETAIL TRANSAKSI'!$H$5:$H$504,'DETAIL TRANSAKSI'!$A$5:$A$504,A145),J145=SUMIFS('DETAIL TRANSAKSI'!$I$5:$I$504,'DETAIL TRANSAKSI'!$A$5:$A$504,A145)),"OK","CEK ALOKASI"))</f>
        <v/>
      </c>
    </row>
    <row r="146" customFormat="false" ht="15" hidden="false" customHeight="false" outlineLevel="0" collapsed="false">
      <c r="H146" s="0" t="str">
        <f aca="false">IF(A146="","",SUMIFS('DETAIL TRANSAKSI'!$G$5:$G$504,'DETAIL TRANSAKSI'!$A$5:$A$504,A146))</f>
        <v/>
      </c>
      <c r="J146" s="0" t="str">
        <f aca="false">IF(A146="","",SUMIFS('REFUND DAN PEMBATALAN'!$E$5:$E$504,'REFUND DAN PEMBATALAN'!$B$5:$B$504,A146,'REFUND DAN PEMBATALAN'!$I$5:$I$504,"Berhasil"))</f>
        <v/>
      </c>
      <c r="K146" s="0" t="str">
        <f aca="false">IF(A146="","",H146-I146-J146)</f>
        <v/>
      </c>
      <c r="O146" s="0" t="str">
        <f aca="false">IF(A146="","",IF(AND(I146=SUMIFS('DETAIL TRANSAKSI'!$H$5:$H$504,'DETAIL TRANSAKSI'!$A$5:$A$504,A146),J146=SUMIFS('DETAIL TRANSAKSI'!$I$5:$I$504,'DETAIL TRANSAKSI'!$A$5:$A$504,A146)),"OK","CEK ALOKASI"))</f>
        <v/>
      </c>
    </row>
    <row r="147" customFormat="false" ht="15" hidden="false" customHeight="false" outlineLevel="0" collapsed="false">
      <c r="H147" s="0" t="str">
        <f aca="false">IF(A147="","",SUMIFS('DETAIL TRANSAKSI'!$G$5:$G$504,'DETAIL TRANSAKSI'!$A$5:$A$504,A147))</f>
        <v/>
      </c>
      <c r="J147" s="0" t="str">
        <f aca="false">IF(A147="","",SUMIFS('REFUND DAN PEMBATALAN'!$E$5:$E$504,'REFUND DAN PEMBATALAN'!$B$5:$B$504,A147,'REFUND DAN PEMBATALAN'!$I$5:$I$504,"Berhasil"))</f>
        <v/>
      </c>
      <c r="K147" s="0" t="str">
        <f aca="false">IF(A147="","",H147-I147-J147)</f>
        <v/>
      </c>
      <c r="O147" s="0" t="str">
        <f aca="false">IF(A147="","",IF(AND(I147=SUMIFS('DETAIL TRANSAKSI'!$H$5:$H$504,'DETAIL TRANSAKSI'!$A$5:$A$504,A147),J147=SUMIFS('DETAIL TRANSAKSI'!$I$5:$I$504,'DETAIL TRANSAKSI'!$A$5:$A$504,A147)),"OK","CEK ALOKASI"))</f>
        <v/>
      </c>
    </row>
    <row r="148" customFormat="false" ht="15" hidden="false" customHeight="false" outlineLevel="0" collapsed="false">
      <c r="H148" s="0" t="str">
        <f aca="false">IF(A148="","",SUMIFS('DETAIL TRANSAKSI'!$G$5:$G$504,'DETAIL TRANSAKSI'!$A$5:$A$504,A148))</f>
        <v/>
      </c>
      <c r="J148" s="0" t="str">
        <f aca="false">IF(A148="","",SUMIFS('REFUND DAN PEMBATALAN'!$E$5:$E$504,'REFUND DAN PEMBATALAN'!$B$5:$B$504,A148,'REFUND DAN PEMBATALAN'!$I$5:$I$504,"Berhasil"))</f>
        <v/>
      </c>
      <c r="K148" s="0" t="str">
        <f aca="false">IF(A148="","",H148-I148-J148)</f>
        <v/>
      </c>
      <c r="O148" s="0" t="str">
        <f aca="false">IF(A148="","",IF(AND(I148=SUMIFS('DETAIL TRANSAKSI'!$H$5:$H$504,'DETAIL TRANSAKSI'!$A$5:$A$504,A148),J148=SUMIFS('DETAIL TRANSAKSI'!$I$5:$I$504,'DETAIL TRANSAKSI'!$A$5:$A$504,A148)),"OK","CEK ALOKASI"))</f>
        <v/>
      </c>
    </row>
    <row r="149" customFormat="false" ht="15" hidden="false" customHeight="false" outlineLevel="0" collapsed="false">
      <c r="H149" s="0" t="str">
        <f aca="false">IF(A149="","",SUMIFS('DETAIL TRANSAKSI'!$G$5:$G$504,'DETAIL TRANSAKSI'!$A$5:$A$504,A149))</f>
        <v/>
      </c>
      <c r="J149" s="0" t="str">
        <f aca="false">IF(A149="","",SUMIFS('REFUND DAN PEMBATALAN'!$E$5:$E$504,'REFUND DAN PEMBATALAN'!$B$5:$B$504,A149,'REFUND DAN PEMBATALAN'!$I$5:$I$504,"Berhasil"))</f>
        <v/>
      </c>
      <c r="K149" s="0" t="str">
        <f aca="false">IF(A149="","",H149-I149-J149)</f>
        <v/>
      </c>
      <c r="O149" s="0" t="str">
        <f aca="false">IF(A149="","",IF(AND(I149=SUMIFS('DETAIL TRANSAKSI'!$H$5:$H$504,'DETAIL TRANSAKSI'!$A$5:$A$504,A149),J149=SUMIFS('DETAIL TRANSAKSI'!$I$5:$I$504,'DETAIL TRANSAKSI'!$A$5:$A$504,A149)),"OK","CEK ALOKASI"))</f>
        <v/>
      </c>
    </row>
    <row r="150" customFormat="false" ht="15" hidden="false" customHeight="false" outlineLevel="0" collapsed="false">
      <c r="H150" s="0" t="str">
        <f aca="false">IF(A150="","",SUMIFS('DETAIL TRANSAKSI'!$G$5:$G$504,'DETAIL TRANSAKSI'!$A$5:$A$504,A150))</f>
        <v/>
      </c>
      <c r="J150" s="0" t="str">
        <f aca="false">IF(A150="","",SUMIFS('REFUND DAN PEMBATALAN'!$E$5:$E$504,'REFUND DAN PEMBATALAN'!$B$5:$B$504,A150,'REFUND DAN PEMBATALAN'!$I$5:$I$504,"Berhasil"))</f>
        <v/>
      </c>
      <c r="K150" s="0" t="str">
        <f aca="false">IF(A150="","",H150-I150-J150)</f>
        <v/>
      </c>
      <c r="O150" s="0" t="str">
        <f aca="false">IF(A150="","",IF(AND(I150=SUMIFS('DETAIL TRANSAKSI'!$H$5:$H$504,'DETAIL TRANSAKSI'!$A$5:$A$504,A150),J150=SUMIFS('DETAIL TRANSAKSI'!$I$5:$I$504,'DETAIL TRANSAKSI'!$A$5:$A$504,A150)),"OK","CEK ALOKASI"))</f>
        <v/>
      </c>
    </row>
    <row r="151" customFormat="false" ht="15" hidden="false" customHeight="false" outlineLevel="0" collapsed="false">
      <c r="H151" s="0" t="str">
        <f aca="false">IF(A151="","",SUMIFS('DETAIL TRANSAKSI'!$G$5:$G$504,'DETAIL TRANSAKSI'!$A$5:$A$504,A151))</f>
        <v/>
      </c>
      <c r="J151" s="0" t="str">
        <f aca="false">IF(A151="","",SUMIFS('REFUND DAN PEMBATALAN'!$E$5:$E$504,'REFUND DAN PEMBATALAN'!$B$5:$B$504,A151,'REFUND DAN PEMBATALAN'!$I$5:$I$504,"Berhasil"))</f>
        <v/>
      </c>
      <c r="K151" s="0" t="str">
        <f aca="false">IF(A151="","",H151-I151-J151)</f>
        <v/>
      </c>
      <c r="O151" s="0" t="str">
        <f aca="false">IF(A151="","",IF(AND(I151=SUMIFS('DETAIL TRANSAKSI'!$H$5:$H$504,'DETAIL TRANSAKSI'!$A$5:$A$504,A151),J151=SUMIFS('DETAIL TRANSAKSI'!$I$5:$I$504,'DETAIL TRANSAKSI'!$A$5:$A$504,A151)),"OK","CEK ALOKASI"))</f>
        <v/>
      </c>
    </row>
    <row r="152" customFormat="false" ht="15" hidden="false" customHeight="false" outlineLevel="0" collapsed="false">
      <c r="H152" s="0" t="str">
        <f aca="false">IF(A152="","",SUMIFS('DETAIL TRANSAKSI'!$G$5:$G$504,'DETAIL TRANSAKSI'!$A$5:$A$504,A152))</f>
        <v/>
      </c>
      <c r="J152" s="0" t="str">
        <f aca="false">IF(A152="","",SUMIFS('REFUND DAN PEMBATALAN'!$E$5:$E$504,'REFUND DAN PEMBATALAN'!$B$5:$B$504,A152,'REFUND DAN PEMBATALAN'!$I$5:$I$504,"Berhasil"))</f>
        <v/>
      </c>
      <c r="K152" s="0" t="str">
        <f aca="false">IF(A152="","",H152-I152-J152)</f>
        <v/>
      </c>
      <c r="O152" s="0" t="str">
        <f aca="false">IF(A152="","",IF(AND(I152=SUMIFS('DETAIL TRANSAKSI'!$H$5:$H$504,'DETAIL TRANSAKSI'!$A$5:$A$504,A152),J152=SUMIFS('DETAIL TRANSAKSI'!$I$5:$I$504,'DETAIL TRANSAKSI'!$A$5:$A$504,A152)),"OK","CEK ALOKASI"))</f>
        <v/>
      </c>
    </row>
    <row r="153" customFormat="false" ht="15" hidden="false" customHeight="false" outlineLevel="0" collapsed="false">
      <c r="H153" s="0" t="str">
        <f aca="false">IF(A153="","",SUMIFS('DETAIL TRANSAKSI'!$G$5:$G$504,'DETAIL TRANSAKSI'!$A$5:$A$504,A153))</f>
        <v/>
      </c>
      <c r="J153" s="0" t="str">
        <f aca="false">IF(A153="","",SUMIFS('REFUND DAN PEMBATALAN'!$E$5:$E$504,'REFUND DAN PEMBATALAN'!$B$5:$B$504,A153,'REFUND DAN PEMBATALAN'!$I$5:$I$504,"Berhasil"))</f>
        <v/>
      </c>
      <c r="K153" s="0" t="str">
        <f aca="false">IF(A153="","",H153-I153-J153)</f>
        <v/>
      </c>
      <c r="O153" s="0" t="str">
        <f aca="false">IF(A153="","",IF(AND(I153=SUMIFS('DETAIL TRANSAKSI'!$H$5:$H$504,'DETAIL TRANSAKSI'!$A$5:$A$504,A153),J153=SUMIFS('DETAIL TRANSAKSI'!$I$5:$I$504,'DETAIL TRANSAKSI'!$A$5:$A$504,A153)),"OK","CEK ALOKASI"))</f>
        <v/>
      </c>
    </row>
    <row r="154" customFormat="false" ht="15" hidden="false" customHeight="false" outlineLevel="0" collapsed="false">
      <c r="H154" s="0" t="str">
        <f aca="false">IF(A154="","",SUMIFS('DETAIL TRANSAKSI'!$G$5:$G$504,'DETAIL TRANSAKSI'!$A$5:$A$504,A154))</f>
        <v/>
      </c>
      <c r="J154" s="0" t="str">
        <f aca="false">IF(A154="","",SUMIFS('REFUND DAN PEMBATALAN'!$E$5:$E$504,'REFUND DAN PEMBATALAN'!$B$5:$B$504,A154,'REFUND DAN PEMBATALAN'!$I$5:$I$504,"Berhasil"))</f>
        <v/>
      </c>
      <c r="K154" s="0" t="str">
        <f aca="false">IF(A154="","",H154-I154-J154)</f>
        <v/>
      </c>
      <c r="O154" s="0" t="str">
        <f aca="false">IF(A154="","",IF(AND(I154=SUMIFS('DETAIL TRANSAKSI'!$H$5:$H$504,'DETAIL TRANSAKSI'!$A$5:$A$504,A154),J154=SUMIFS('DETAIL TRANSAKSI'!$I$5:$I$504,'DETAIL TRANSAKSI'!$A$5:$A$504,A154)),"OK","CEK ALOKASI"))</f>
        <v/>
      </c>
    </row>
    <row r="155" customFormat="false" ht="15" hidden="false" customHeight="false" outlineLevel="0" collapsed="false">
      <c r="H155" s="0" t="str">
        <f aca="false">IF(A155="","",SUMIFS('DETAIL TRANSAKSI'!$G$5:$G$504,'DETAIL TRANSAKSI'!$A$5:$A$504,A155))</f>
        <v/>
      </c>
      <c r="J155" s="0" t="str">
        <f aca="false">IF(A155="","",SUMIFS('REFUND DAN PEMBATALAN'!$E$5:$E$504,'REFUND DAN PEMBATALAN'!$B$5:$B$504,A155,'REFUND DAN PEMBATALAN'!$I$5:$I$504,"Berhasil"))</f>
        <v/>
      </c>
      <c r="K155" s="0" t="str">
        <f aca="false">IF(A155="","",H155-I155-J155)</f>
        <v/>
      </c>
      <c r="O155" s="0" t="str">
        <f aca="false">IF(A155="","",IF(AND(I155=SUMIFS('DETAIL TRANSAKSI'!$H$5:$H$504,'DETAIL TRANSAKSI'!$A$5:$A$504,A155),J155=SUMIFS('DETAIL TRANSAKSI'!$I$5:$I$504,'DETAIL TRANSAKSI'!$A$5:$A$504,A155)),"OK","CEK ALOKASI"))</f>
        <v/>
      </c>
    </row>
    <row r="156" customFormat="false" ht="15" hidden="false" customHeight="false" outlineLevel="0" collapsed="false">
      <c r="H156" s="0" t="str">
        <f aca="false">IF(A156="","",SUMIFS('DETAIL TRANSAKSI'!$G$5:$G$504,'DETAIL TRANSAKSI'!$A$5:$A$504,A156))</f>
        <v/>
      </c>
      <c r="J156" s="0" t="str">
        <f aca="false">IF(A156="","",SUMIFS('REFUND DAN PEMBATALAN'!$E$5:$E$504,'REFUND DAN PEMBATALAN'!$B$5:$B$504,A156,'REFUND DAN PEMBATALAN'!$I$5:$I$504,"Berhasil"))</f>
        <v/>
      </c>
      <c r="K156" s="0" t="str">
        <f aca="false">IF(A156="","",H156-I156-J156)</f>
        <v/>
      </c>
      <c r="O156" s="0" t="str">
        <f aca="false">IF(A156="","",IF(AND(I156=SUMIFS('DETAIL TRANSAKSI'!$H$5:$H$504,'DETAIL TRANSAKSI'!$A$5:$A$504,A156),J156=SUMIFS('DETAIL TRANSAKSI'!$I$5:$I$504,'DETAIL TRANSAKSI'!$A$5:$A$504,A156)),"OK","CEK ALOKASI"))</f>
        <v/>
      </c>
    </row>
    <row r="157" customFormat="false" ht="15" hidden="false" customHeight="false" outlineLevel="0" collapsed="false">
      <c r="H157" s="0" t="str">
        <f aca="false">IF(A157="","",SUMIFS('DETAIL TRANSAKSI'!$G$5:$G$504,'DETAIL TRANSAKSI'!$A$5:$A$504,A157))</f>
        <v/>
      </c>
      <c r="J157" s="0" t="str">
        <f aca="false">IF(A157="","",SUMIFS('REFUND DAN PEMBATALAN'!$E$5:$E$504,'REFUND DAN PEMBATALAN'!$B$5:$B$504,A157,'REFUND DAN PEMBATALAN'!$I$5:$I$504,"Berhasil"))</f>
        <v/>
      </c>
      <c r="K157" s="0" t="str">
        <f aca="false">IF(A157="","",H157-I157-J157)</f>
        <v/>
      </c>
      <c r="O157" s="0" t="str">
        <f aca="false">IF(A157="","",IF(AND(I157=SUMIFS('DETAIL TRANSAKSI'!$H$5:$H$504,'DETAIL TRANSAKSI'!$A$5:$A$504,A157),J157=SUMIFS('DETAIL TRANSAKSI'!$I$5:$I$504,'DETAIL TRANSAKSI'!$A$5:$A$504,A157)),"OK","CEK ALOKASI"))</f>
        <v/>
      </c>
    </row>
    <row r="158" customFormat="false" ht="15" hidden="false" customHeight="false" outlineLevel="0" collapsed="false">
      <c r="H158" s="0" t="str">
        <f aca="false">IF(A158="","",SUMIFS('DETAIL TRANSAKSI'!$G$5:$G$504,'DETAIL TRANSAKSI'!$A$5:$A$504,A158))</f>
        <v/>
      </c>
      <c r="J158" s="0" t="str">
        <f aca="false">IF(A158="","",SUMIFS('REFUND DAN PEMBATALAN'!$E$5:$E$504,'REFUND DAN PEMBATALAN'!$B$5:$B$504,A158,'REFUND DAN PEMBATALAN'!$I$5:$I$504,"Berhasil"))</f>
        <v/>
      </c>
      <c r="K158" s="0" t="str">
        <f aca="false">IF(A158="","",H158-I158-J158)</f>
        <v/>
      </c>
      <c r="O158" s="0" t="str">
        <f aca="false">IF(A158="","",IF(AND(I158=SUMIFS('DETAIL TRANSAKSI'!$H$5:$H$504,'DETAIL TRANSAKSI'!$A$5:$A$504,A158),J158=SUMIFS('DETAIL TRANSAKSI'!$I$5:$I$504,'DETAIL TRANSAKSI'!$A$5:$A$504,A158)),"OK","CEK ALOKASI"))</f>
        <v/>
      </c>
    </row>
    <row r="159" customFormat="false" ht="15" hidden="false" customHeight="false" outlineLevel="0" collapsed="false">
      <c r="H159" s="0" t="str">
        <f aca="false">IF(A159="","",SUMIFS('DETAIL TRANSAKSI'!$G$5:$G$504,'DETAIL TRANSAKSI'!$A$5:$A$504,A159))</f>
        <v/>
      </c>
      <c r="J159" s="0" t="str">
        <f aca="false">IF(A159="","",SUMIFS('REFUND DAN PEMBATALAN'!$E$5:$E$504,'REFUND DAN PEMBATALAN'!$B$5:$B$504,A159,'REFUND DAN PEMBATALAN'!$I$5:$I$504,"Berhasil"))</f>
        <v/>
      </c>
      <c r="K159" s="0" t="str">
        <f aca="false">IF(A159="","",H159-I159-J159)</f>
        <v/>
      </c>
      <c r="O159" s="0" t="str">
        <f aca="false">IF(A159="","",IF(AND(I159=SUMIFS('DETAIL TRANSAKSI'!$H$5:$H$504,'DETAIL TRANSAKSI'!$A$5:$A$504,A159),J159=SUMIFS('DETAIL TRANSAKSI'!$I$5:$I$504,'DETAIL TRANSAKSI'!$A$5:$A$504,A159)),"OK","CEK ALOKASI"))</f>
        <v/>
      </c>
    </row>
    <row r="160" customFormat="false" ht="15" hidden="false" customHeight="false" outlineLevel="0" collapsed="false">
      <c r="H160" s="0" t="str">
        <f aca="false">IF(A160="","",SUMIFS('DETAIL TRANSAKSI'!$G$5:$G$504,'DETAIL TRANSAKSI'!$A$5:$A$504,A160))</f>
        <v/>
      </c>
      <c r="J160" s="0" t="str">
        <f aca="false">IF(A160="","",SUMIFS('REFUND DAN PEMBATALAN'!$E$5:$E$504,'REFUND DAN PEMBATALAN'!$B$5:$B$504,A160,'REFUND DAN PEMBATALAN'!$I$5:$I$504,"Berhasil"))</f>
        <v/>
      </c>
      <c r="K160" s="0" t="str">
        <f aca="false">IF(A160="","",H160-I160-J160)</f>
        <v/>
      </c>
      <c r="O160" s="0" t="str">
        <f aca="false">IF(A160="","",IF(AND(I160=SUMIFS('DETAIL TRANSAKSI'!$H$5:$H$504,'DETAIL TRANSAKSI'!$A$5:$A$504,A160),J160=SUMIFS('DETAIL TRANSAKSI'!$I$5:$I$504,'DETAIL TRANSAKSI'!$A$5:$A$504,A160)),"OK","CEK ALOKASI"))</f>
        <v/>
      </c>
    </row>
    <row r="161" customFormat="false" ht="15" hidden="false" customHeight="false" outlineLevel="0" collapsed="false">
      <c r="H161" s="0" t="str">
        <f aca="false">IF(A161="","",SUMIFS('DETAIL TRANSAKSI'!$G$5:$G$504,'DETAIL TRANSAKSI'!$A$5:$A$504,A161))</f>
        <v/>
      </c>
      <c r="J161" s="0" t="str">
        <f aca="false">IF(A161="","",SUMIFS('REFUND DAN PEMBATALAN'!$E$5:$E$504,'REFUND DAN PEMBATALAN'!$B$5:$B$504,A161,'REFUND DAN PEMBATALAN'!$I$5:$I$504,"Berhasil"))</f>
        <v/>
      </c>
      <c r="K161" s="0" t="str">
        <f aca="false">IF(A161="","",H161-I161-J161)</f>
        <v/>
      </c>
      <c r="O161" s="0" t="str">
        <f aca="false">IF(A161="","",IF(AND(I161=SUMIFS('DETAIL TRANSAKSI'!$H$5:$H$504,'DETAIL TRANSAKSI'!$A$5:$A$504,A161),J161=SUMIFS('DETAIL TRANSAKSI'!$I$5:$I$504,'DETAIL TRANSAKSI'!$A$5:$A$504,A161)),"OK","CEK ALOKASI"))</f>
        <v/>
      </c>
    </row>
    <row r="162" customFormat="false" ht="15" hidden="false" customHeight="false" outlineLevel="0" collapsed="false">
      <c r="H162" s="0" t="str">
        <f aca="false">IF(A162="","",SUMIFS('DETAIL TRANSAKSI'!$G$5:$G$504,'DETAIL TRANSAKSI'!$A$5:$A$504,A162))</f>
        <v/>
      </c>
      <c r="J162" s="0" t="str">
        <f aca="false">IF(A162="","",SUMIFS('REFUND DAN PEMBATALAN'!$E$5:$E$504,'REFUND DAN PEMBATALAN'!$B$5:$B$504,A162,'REFUND DAN PEMBATALAN'!$I$5:$I$504,"Berhasil"))</f>
        <v/>
      </c>
      <c r="K162" s="0" t="str">
        <f aca="false">IF(A162="","",H162-I162-J162)</f>
        <v/>
      </c>
      <c r="O162" s="0" t="str">
        <f aca="false">IF(A162="","",IF(AND(I162=SUMIFS('DETAIL TRANSAKSI'!$H$5:$H$504,'DETAIL TRANSAKSI'!$A$5:$A$504,A162),J162=SUMIFS('DETAIL TRANSAKSI'!$I$5:$I$504,'DETAIL TRANSAKSI'!$A$5:$A$504,A162)),"OK","CEK ALOKASI"))</f>
        <v/>
      </c>
    </row>
    <row r="163" customFormat="false" ht="15" hidden="false" customHeight="false" outlineLevel="0" collapsed="false">
      <c r="H163" s="0" t="str">
        <f aca="false">IF(A163="","",SUMIFS('DETAIL TRANSAKSI'!$G$5:$G$504,'DETAIL TRANSAKSI'!$A$5:$A$504,A163))</f>
        <v/>
      </c>
      <c r="J163" s="0" t="str">
        <f aca="false">IF(A163="","",SUMIFS('REFUND DAN PEMBATALAN'!$E$5:$E$504,'REFUND DAN PEMBATALAN'!$B$5:$B$504,A163,'REFUND DAN PEMBATALAN'!$I$5:$I$504,"Berhasil"))</f>
        <v/>
      </c>
      <c r="K163" s="0" t="str">
        <f aca="false">IF(A163="","",H163-I163-J163)</f>
        <v/>
      </c>
      <c r="O163" s="0" t="str">
        <f aca="false">IF(A163="","",IF(AND(I163=SUMIFS('DETAIL TRANSAKSI'!$H$5:$H$504,'DETAIL TRANSAKSI'!$A$5:$A$504,A163),J163=SUMIFS('DETAIL TRANSAKSI'!$I$5:$I$504,'DETAIL TRANSAKSI'!$A$5:$A$504,A163)),"OK","CEK ALOKASI"))</f>
        <v/>
      </c>
    </row>
    <row r="164" customFormat="false" ht="15" hidden="false" customHeight="false" outlineLevel="0" collapsed="false">
      <c r="H164" s="0" t="str">
        <f aca="false">IF(A164="","",SUMIFS('DETAIL TRANSAKSI'!$G$5:$G$504,'DETAIL TRANSAKSI'!$A$5:$A$504,A164))</f>
        <v/>
      </c>
      <c r="J164" s="0" t="str">
        <f aca="false">IF(A164="","",SUMIFS('REFUND DAN PEMBATALAN'!$E$5:$E$504,'REFUND DAN PEMBATALAN'!$B$5:$B$504,A164,'REFUND DAN PEMBATALAN'!$I$5:$I$504,"Berhasil"))</f>
        <v/>
      </c>
      <c r="K164" s="0" t="str">
        <f aca="false">IF(A164="","",H164-I164-J164)</f>
        <v/>
      </c>
      <c r="O164" s="0" t="str">
        <f aca="false">IF(A164="","",IF(AND(I164=SUMIFS('DETAIL TRANSAKSI'!$H$5:$H$504,'DETAIL TRANSAKSI'!$A$5:$A$504,A164),J164=SUMIFS('DETAIL TRANSAKSI'!$I$5:$I$504,'DETAIL TRANSAKSI'!$A$5:$A$504,A164)),"OK","CEK ALOKASI"))</f>
        <v/>
      </c>
    </row>
    <row r="165" customFormat="false" ht="15" hidden="false" customHeight="false" outlineLevel="0" collapsed="false">
      <c r="H165" s="0" t="str">
        <f aca="false">IF(A165="","",SUMIFS('DETAIL TRANSAKSI'!$G$5:$G$504,'DETAIL TRANSAKSI'!$A$5:$A$504,A165))</f>
        <v/>
      </c>
      <c r="J165" s="0" t="str">
        <f aca="false">IF(A165="","",SUMIFS('REFUND DAN PEMBATALAN'!$E$5:$E$504,'REFUND DAN PEMBATALAN'!$B$5:$B$504,A165,'REFUND DAN PEMBATALAN'!$I$5:$I$504,"Berhasil"))</f>
        <v/>
      </c>
      <c r="K165" s="0" t="str">
        <f aca="false">IF(A165="","",H165-I165-J165)</f>
        <v/>
      </c>
      <c r="O165" s="0" t="str">
        <f aca="false">IF(A165="","",IF(AND(I165=SUMIFS('DETAIL TRANSAKSI'!$H$5:$H$504,'DETAIL TRANSAKSI'!$A$5:$A$504,A165),J165=SUMIFS('DETAIL TRANSAKSI'!$I$5:$I$504,'DETAIL TRANSAKSI'!$A$5:$A$504,A165)),"OK","CEK ALOKASI"))</f>
        <v/>
      </c>
    </row>
    <row r="166" customFormat="false" ht="15" hidden="false" customHeight="false" outlineLevel="0" collapsed="false">
      <c r="H166" s="0" t="str">
        <f aca="false">IF(A166="","",SUMIFS('DETAIL TRANSAKSI'!$G$5:$G$504,'DETAIL TRANSAKSI'!$A$5:$A$504,A166))</f>
        <v/>
      </c>
      <c r="J166" s="0" t="str">
        <f aca="false">IF(A166="","",SUMIFS('REFUND DAN PEMBATALAN'!$E$5:$E$504,'REFUND DAN PEMBATALAN'!$B$5:$B$504,A166,'REFUND DAN PEMBATALAN'!$I$5:$I$504,"Berhasil"))</f>
        <v/>
      </c>
      <c r="K166" s="0" t="str">
        <f aca="false">IF(A166="","",H166-I166-J166)</f>
        <v/>
      </c>
      <c r="O166" s="0" t="str">
        <f aca="false">IF(A166="","",IF(AND(I166=SUMIFS('DETAIL TRANSAKSI'!$H$5:$H$504,'DETAIL TRANSAKSI'!$A$5:$A$504,A166),J166=SUMIFS('DETAIL TRANSAKSI'!$I$5:$I$504,'DETAIL TRANSAKSI'!$A$5:$A$504,A166)),"OK","CEK ALOKASI"))</f>
        <v/>
      </c>
    </row>
    <row r="167" customFormat="false" ht="15" hidden="false" customHeight="false" outlineLevel="0" collapsed="false">
      <c r="H167" s="0" t="str">
        <f aca="false">IF(A167="","",SUMIFS('DETAIL TRANSAKSI'!$G$5:$G$504,'DETAIL TRANSAKSI'!$A$5:$A$504,A167))</f>
        <v/>
      </c>
      <c r="J167" s="0" t="str">
        <f aca="false">IF(A167="","",SUMIFS('REFUND DAN PEMBATALAN'!$E$5:$E$504,'REFUND DAN PEMBATALAN'!$B$5:$B$504,A167,'REFUND DAN PEMBATALAN'!$I$5:$I$504,"Berhasil"))</f>
        <v/>
      </c>
      <c r="K167" s="0" t="str">
        <f aca="false">IF(A167="","",H167-I167-J167)</f>
        <v/>
      </c>
      <c r="O167" s="0" t="str">
        <f aca="false">IF(A167="","",IF(AND(I167=SUMIFS('DETAIL TRANSAKSI'!$H$5:$H$504,'DETAIL TRANSAKSI'!$A$5:$A$504,A167),J167=SUMIFS('DETAIL TRANSAKSI'!$I$5:$I$504,'DETAIL TRANSAKSI'!$A$5:$A$504,A167)),"OK","CEK ALOKASI"))</f>
        <v/>
      </c>
    </row>
    <row r="168" customFormat="false" ht="15" hidden="false" customHeight="false" outlineLevel="0" collapsed="false">
      <c r="H168" s="0" t="str">
        <f aca="false">IF(A168="","",SUMIFS('DETAIL TRANSAKSI'!$G$5:$G$504,'DETAIL TRANSAKSI'!$A$5:$A$504,A168))</f>
        <v/>
      </c>
      <c r="J168" s="0" t="str">
        <f aca="false">IF(A168="","",SUMIFS('REFUND DAN PEMBATALAN'!$E$5:$E$504,'REFUND DAN PEMBATALAN'!$B$5:$B$504,A168,'REFUND DAN PEMBATALAN'!$I$5:$I$504,"Berhasil"))</f>
        <v/>
      </c>
      <c r="K168" s="0" t="str">
        <f aca="false">IF(A168="","",H168-I168-J168)</f>
        <v/>
      </c>
      <c r="O168" s="0" t="str">
        <f aca="false">IF(A168="","",IF(AND(I168=SUMIFS('DETAIL TRANSAKSI'!$H$5:$H$504,'DETAIL TRANSAKSI'!$A$5:$A$504,A168),J168=SUMIFS('DETAIL TRANSAKSI'!$I$5:$I$504,'DETAIL TRANSAKSI'!$A$5:$A$504,A168)),"OK","CEK ALOKASI"))</f>
        <v/>
      </c>
    </row>
    <row r="169" customFormat="false" ht="15" hidden="false" customHeight="false" outlineLevel="0" collapsed="false">
      <c r="H169" s="0" t="str">
        <f aca="false">IF(A169="","",SUMIFS('DETAIL TRANSAKSI'!$G$5:$G$504,'DETAIL TRANSAKSI'!$A$5:$A$504,A169))</f>
        <v/>
      </c>
      <c r="J169" s="0" t="str">
        <f aca="false">IF(A169="","",SUMIFS('REFUND DAN PEMBATALAN'!$E$5:$E$504,'REFUND DAN PEMBATALAN'!$B$5:$B$504,A169,'REFUND DAN PEMBATALAN'!$I$5:$I$504,"Berhasil"))</f>
        <v/>
      </c>
      <c r="K169" s="0" t="str">
        <f aca="false">IF(A169="","",H169-I169-J169)</f>
        <v/>
      </c>
      <c r="O169" s="0" t="str">
        <f aca="false">IF(A169="","",IF(AND(I169=SUMIFS('DETAIL TRANSAKSI'!$H$5:$H$504,'DETAIL TRANSAKSI'!$A$5:$A$504,A169),J169=SUMIFS('DETAIL TRANSAKSI'!$I$5:$I$504,'DETAIL TRANSAKSI'!$A$5:$A$504,A169)),"OK","CEK ALOKASI"))</f>
        <v/>
      </c>
    </row>
    <row r="170" customFormat="false" ht="15" hidden="false" customHeight="false" outlineLevel="0" collapsed="false">
      <c r="H170" s="0" t="str">
        <f aca="false">IF(A170="","",SUMIFS('DETAIL TRANSAKSI'!$G$5:$G$504,'DETAIL TRANSAKSI'!$A$5:$A$504,A170))</f>
        <v/>
      </c>
      <c r="J170" s="0" t="str">
        <f aca="false">IF(A170="","",SUMIFS('REFUND DAN PEMBATALAN'!$E$5:$E$504,'REFUND DAN PEMBATALAN'!$B$5:$B$504,A170,'REFUND DAN PEMBATALAN'!$I$5:$I$504,"Berhasil"))</f>
        <v/>
      </c>
      <c r="K170" s="0" t="str">
        <f aca="false">IF(A170="","",H170-I170-J170)</f>
        <v/>
      </c>
      <c r="O170" s="0" t="str">
        <f aca="false">IF(A170="","",IF(AND(I170=SUMIFS('DETAIL TRANSAKSI'!$H$5:$H$504,'DETAIL TRANSAKSI'!$A$5:$A$504,A170),J170=SUMIFS('DETAIL TRANSAKSI'!$I$5:$I$504,'DETAIL TRANSAKSI'!$A$5:$A$504,A170)),"OK","CEK ALOKASI"))</f>
        <v/>
      </c>
    </row>
    <row r="171" customFormat="false" ht="15" hidden="false" customHeight="false" outlineLevel="0" collapsed="false">
      <c r="H171" s="0" t="str">
        <f aca="false">IF(A171="","",SUMIFS('DETAIL TRANSAKSI'!$G$5:$G$504,'DETAIL TRANSAKSI'!$A$5:$A$504,A171))</f>
        <v/>
      </c>
      <c r="J171" s="0" t="str">
        <f aca="false">IF(A171="","",SUMIFS('REFUND DAN PEMBATALAN'!$E$5:$E$504,'REFUND DAN PEMBATALAN'!$B$5:$B$504,A171,'REFUND DAN PEMBATALAN'!$I$5:$I$504,"Berhasil"))</f>
        <v/>
      </c>
      <c r="K171" s="0" t="str">
        <f aca="false">IF(A171="","",H171-I171-J171)</f>
        <v/>
      </c>
      <c r="O171" s="0" t="str">
        <f aca="false">IF(A171="","",IF(AND(I171=SUMIFS('DETAIL TRANSAKSI'!$H$5:$H$504,'DETAIL TRANSAKSI'!$A$5:$A$504,A171),J171=SUMIFS('DETAIL TRANSAKSI'!$I$5:$I$504,'DETAIL TRANSAKSI'!$A$5:$A$504,A171)),"OK","CEK ALOKASI"))</f>
        <v/>
      </c>
    </row>
    <row r="172" customFormat="false" ht="15" hidden="false" customHeight="false" outlineLevel="0" collapsed="false">
      <c r="H172" s="0" t="str">
        <f aca="false">IF(A172="","",SUMIFS('DETAIL TRANSAKSI'!$G$5:$G$504,'DETAIL TRANSAKSI'!$A$5:$A$504,A172))</f>
        <v/>
      </c>
      <c r="J172" s="0" t="str">
        <f aca="false">IF(A172="","",SUMIFS('REFUND DAN PEMBATALAN'!$E$5:$E$504,'REFUND DAN PEMBATALAN'!$B$5:$B$504,A172,'REFUND DAN PEMBATALAN'!$I$5:$I$504,"Berhasil"))</f>
        <v/>
      </c>
      <c r="K172" s="0" t="str">
        <f aca="false">IF(A172="","",H172-I172-J172)</f>
        <v/>
      </c>
      <c r="O172" s="0" t="str">
        <f aca="false">IF(A172="","",IF(AND(I172=SUMIFS('DETAIL TRANSAKSI'!$H$5:$H$504,'DETAIL TRANSAKSI'!$A$5:$A$504,A172),J172=SUMIFS('DETAIL TRANSAKSI'!$I$5:$I$504,'DETAIL TRANSAKSI'!$A$5:$A$504,A172)),"OK","CEK ALOKASI"))</f>
        <v/>
      </c>
    </row>
    <row r="173" customFormat="false" ht="15" hidden="false" customHeight="false" outlineLevel="0" collapsed="false">
      <c r="H173" s="0" t="str">
        <f aca="false">IF(A173="","",SUMIFS('DETAIL TRANSAKSI'!$G$5:$G$504,'DETAIL TRANSAKSI'!$A$5:$A$504,A173))</f>
        <v/>
      </c>
      <c r="J173" s="0" t="str">
        <f aca="false">IF(A173="","",SUMIFS('REFUND DAN PEMBATALAN'!$E$5:$E$504,'REFUND DAN PEMBATALAN'!$B$5:$B$504,A173,'REFUND DAN PEMBATALAN'!$I$5:$I$504,"Berhasil"))</f>
        <v/>
      </c>
      <c r="K173" s="0" t="str">
        <f aca="false">IF(A173="","",H173-I173-J173)</f>
        <v/>
      </c>
      <c r="O173" s="0" t="str">
        <f aca="false">IF(A173="","",IF(AND(I173=SUMIFS('DETAIL TRANSAKSI'!$H$5:$H$504,'DETAIL TRANSAKSI'!$A$5:$A$504,A173),J173=SUMIFS('DETAIL TRANSAKSI'!$I$5:$I$504,'DETAIL TRANSAKSI'!$A$5:$A$504,A173)),"OK","CEK ALOKASI"))</f>
        <v/>
      </c>
    </row>
    <row r="174" customFormat="false" ht="15" hidden="false" customHeight="false" outlineLevel="0" collapsed="false">
      <c r="H174" s="0" t="str">
        <f aca="false">IF(A174="","",SUMIFS('DETAIL TRANSAKSI'!$G$5:$G$504,'DETAIL TRANSAKSI'!$A$5:$A$504,A174))</f>
        <v/>
      </c>
      <c r="J174" s="0" t="str">
        <f aca="false">IF(A174="","",SUMIFS('REFUND DAN PEMBATALAN'!$E$5:$E$504,'REFUND DAN PEMBATALAN'!$B$5:$B$504,A174,'REFUND DAN PEMBATALAN'!$I$5:$I$504,"Berhasil"))</f>
        <v/>
      </c>
      <c r="K174" s="0" t="str">
        <f aca="false">IF(A174="","",H174-I174-J174)</f>
        <v/>
      </c>
      <c r="O174" s="0" t="str">
        <f aca="false">IF(A174="","",IF(AND(I174=SUMIFS('DETAIL TRANSAKSI'!$H$5:$H$504,'DETAIL TRANSAKSI'!$A$5:$A$504,A174),J174=SUMIFS('DETAIL TRANSAKSI'!$I$5:$I$504,'DETAIL TRANSAKSI'!$A$5:$A$504,A174)),"OK","CEK ALOKASI"))</f>
        <v/>
      </c>
    </row>
    <row r="175" customFormat="false" ht="15" hidden="false" customHeight="false" outlineLevel="0" collapsed="false">
      <c r="H175" s="0" t="str">
        <f aca="false">IF(A175="","",SUMIFS('DETAIL TRANSAKSI'!$G$5:$G$504,'DETAIL TRANSAKSI'!$A$5:$A$504,A175))</f>
        <v/>
      </c>
      <c r="J175" s="0" t="str">
        <f aca="false">IF(A175="","",SUMIFS('REFUND DAN PEMBATALAN'!$E$5:$E$504,'REFUND DAN PEMBATALAN'!$B$5:$B$504,A175,'REFUND DAN PEMBATALAN'!$I$5:$I$504,"Berhasil"))</f>
        <v/>
      </c>
      <c r="K175" s="0" t="str">
        <f aca="false">IF(A175="","",H175-I175-J175)</f>
        <v/>
      </c>
      <c r="O175" s="0" t="str">
        <f aca="false">IF(A175="","",IF(AND(I175=SUMIFS('DETAIL TRANSAKSI'!$H$5:$H$504,'DETAIL TRANSAKSI'!$A$5:$A$504,A175),J175=SUMIFS('DETAIL TRANSAKSI'!$I$5:$I$504,'DETAIL TRANSAKSI'!$A$5:$A$504,A175)),"OK","CEK ALOKASI"))</f>
        <v/>
      </c>
    </row>
    <row r="176" customFormat="false" ht="15" hidden="false" customHeight="false" outlineLevel="0" collapsed="false">
      <c r="H176" s="0" t="str">
        <f aca="false">IF(A176="","",SUMIFS('DETAIL TRANSAKSI'!$G$5:$G$504,'DETAIL TRANSAKSI'!$A$5:$A$504,A176))</f>
        <v/>
      </c>
      <c r="J176" s="0" t="str">
        <f aca="false">IF(A176="","",SUMIFS('REFUND DAN PEMBATALAN'!$E$5:$E$504,'REFUND DAN PEMBATALAN'!$B$5:$B$504,A176,'REFUND DAN PEMBATALAN'!$I$5:$I$504,"Berhasil"))</f>
        <v/>
      </c>
      <c r="K176" s="0" t="str">
        <f aca="false">IF(A176="","",H176-I176-J176)</f>
        <v/>
      </c>
      <c r="O176" s="0" t="str">
        <f aca="false">IF(A176="","",IF(AND(I176=SUMIFS('DETAIL TRANSAKSI'!$H$5:$H$504,'DETAIL TRANSAKSI'!$A$5:$A$504,A176),J176=SUMIFS('DETAIL TRANSAKSI'!$I$5:$I$504,'DETAIL TRANSAKSI'!$A$5:$A$504,A176)),"OK","CEK ALOKASI"))</f>
        <v/>
      </c>
    </row>
    <row r="177" customFormat="false" ht="15" hidden="false" customHeight="false" outlineLevel="0" collapsed="false">
      <c r="H177" s="0" t="str">
        <f aca="false">IF(A177="","",SUMIFS('DETAIL TRANSAKSI'!$G$5:$G$504,'DETAIL TRANSAKSI'!$A$5:$A$504,A177))</f>
        <v/>
      </c>
      <c r="J177" s="0" t="str">
        <f aca="false">IF(A177="","",SUMIFS('REFUND DAN PEMBATALAN'!$E$5:$E$504,'REFUND DAN PEMBATALAN'!$B$5:$B$504,A177,'REFUND DAN PEMBATALAN'!$I$5:$I$504,"Berhasil"))</f>
        <v/>
      </c>
      <c r="K177" s="0" t="str">
        <f aca="false">IF(A177="","",H177-I177-J177)</f>
        <v/>
      </c>
      <c r="O177" s="0" t="str">
        <f aca="false">IF(A177="","",IF(AND(I177=SUMIFS('DETAIL TRANSAKSI'!$H$5:$H$504,'DETAIL TRANSAKSI'!$A$5:$A$504,A177),J177=SUMIFS('DETAIL TRANSAKSI'!$I$5:$I$504,'DETAIL TRANSAKSI'!$A$5:$A$504,A177)),"OK","CEK ALOKASI"))</f>
        <v/>
      </c>
    </row>
    <row r="178" customFormat="false" ht="15" hidden="false" customHeight="false" outlineLevel="0" collapsed="false">
      <c r="H178" s="0" t="str">
        <f aca="false">IF(A178="","",SUMIFS('DETAIL TRANSAKSI'!$G$5:$G$504,'DETAIL TRANSAKSI'!$A$5:$A$504,A178))</f>
        <v/>
      </c>
      <c r="J178" s="0" t="str">
        <f aca="false">IF(A178="","",SUMIFS('REFUND DAN PEMBATALAN'!$E$5:$E$504,'REFUND DAN PEMBATALAN'!$B$5:$B$504,A178,'REFUND DAN PEMBATALAN'!$I$5:$I$504,"Berhasil"))</f>
        <v/>
      </c>
      <c r="K178" s="0" t="str">
        <f aca="false">IF(A178="","",H178-I178-J178)</f>
        <v/>
      </c>
      <c r="O178" s="0" t="str">
        <f aca="false">IF(A178="","",IF(AND(I178=SUMIFS('DETAIL TRANSAKSI'!$H$5:$H$504,'DETAIL TRANSAKSI'!$A$5:$A$504,A178),J178=SUMIFS('DETAIL TRANSAKSI'!$I$5:$I$504,'DETAIL TRANSAKSI'!$A$5:$A$504,A178)),"OK","CEK ALOKASI"))</f>
        <v/>
      </c>
    </row>
    <row r="179" customFormat="false" ht="15" hidden="false" customHeight="false" outlineLevel="0" collapsed="false">
      <c r="H179" s="0" t="str">
        <f aca="false">IF(A179="","",SUMIFS('DETAIL TRANSAKSI'!$G$5:$G$504,'DETAIL TRANSAKSI'!$A$5:$A$504,A179))</f>
        <v/>
      </c>
      <c r="J179" s="0" t="str">
        <f aca="false">IF(A179="","",SUMIFS('REFUND DAN PEMBATALAN'!$E$5:$E$504,'REFUND DAN PEMBATALAN'!$B$5:$B$504,A179,'REFUND DAN PEMBATALAN'!$I$5:$I$504,"Berhasil"))</f>
        <v/>
      </c>
      <c r="K179" s="0" t="str">
        <f aca="false">IF(A179="","",H179-I179-J179)</f>
        <v/>
      </c>
      <c r="O179" s="0" t="str">
        <f aca="false">IF(A179="","",IF(AND(I179=SUMIFS('DETAIL TRANSAKSI'!$H$5:$H$504,'DETAIL TRANSAKSI'!$A$5:$A$504,A179),J179=SUMIFS('DETAIL TRANSAKSI'!$I$5:$I$504,'DETAIL TRANSAKSI'!$A$5:$A$504,A179)),"OK","CEK ALOKASI"))</f>
        <v/>
      </c>
    </row>
    <row r="180" customFormat="false" ht="15" hidden="false" customHeight="false" outlineLevel="0" collapsed="false">
      <c r="H180" s="0" t="str">
        <f aca="false">IF(A180="","",SUMIFS('DETAIL TRANSAKSI'!$G$5:$G$504,'DETAIL TRANSAKSI'!$A$5:$A$504,A180))</f>
        <v/>
      </c>
      <c r="J180" s="0" t="str">
        <f aca="false">IF(A180="","",SUMIFS('REFUND DAN PEMBATALAN'!$E$5:$E$504,'REFUND DAN PEMBATALAN'!$B$5:$B$504,A180,'REFUND DAN PEMBATALAN'!$I$5:$I$504,"Berhasil"))</f>
        <v/>
      </c>
      <c r="K180" s="0" t="str">
        <f aca="false">IF(A180="","",H180-I180-J180)</f>
        <v/>
      </c>
      <c r="O180" s="0" t="str">
        <f aca="false">IF(A180="","",IF(AND(I180=SUMIFS('DETAIL TRANSAKSI'!$H$5:$H$504,'DETAIL TRANSAKSI'!$A$5:$A$504,A180),J180=SUMIFS('DETAIL TRANSAKSI'!$I$5:$I$504,'DETAIL TRANSAKSI'!$A$5:$A$504,A180)),"OK","CEK ALOKASI"))</f>
        <v/>
      </c>
    </row>
    <row r="181" customFormat="false" ht="15" hidden="false" customHeight="false" outlineLevel="0" collapsed="false">
      <c r="H181" s="0" t="str">
        <f aca="false">IF(A181="","",SUMIFS('DETAIL TRANSAKSI'!$G$5:$G$504,'DETAIL TRANSAKSI'!$A$5:$A$504,A181))</f>
        <v/>
      </c>
      <c r="J181" s="0" t="str">
        <f aca="false">IF(A181="","",SUMIFS('REFUND DAN PEMBATALAN'!$E$5:$E$504,'REFUND DAN PEMBATALAN'!$B$5:$B$504,A181,'REFUND DAN PEMBATALAN'!$I$5:$I$504,"Berhasil"))</f>
        <v/>
      </c>
      <c r="K181" s="0" t="str">
        <f aca="false">IF(A181="","",H181-I181-J181)</f>
        <v/>
      </c>
      <c r="O181" s="0" t="str">
        <f aca="false">IF(A181="","",IF(AND(I181=SUMIFS('DETAIL TRANSAKSI'!$H$5:$H$504,'DETAIL TRANSAKSI'!$A$5:$A$504,A181),J181=SUMIFS('DETAIL TRANSAKSI'!$I$5:$I$504,'DETAIL TRANSAKSI'!$A$5:$A$504,A181)),"OK","CEK ALOKASI"))</f>
        <v/>
      </c>
    </row>
    <row r="182" customFormat="false" ht="15" hidden="false" customHeight="false" outlineLevel="0" collapsed="false">
      <c r="H182" s="0" t="str">
        <f aca="false">IF(A182="","",SUMIFS('DETAIL TRANSAKSI'!$G$5:$G$504,'DETAIL TRANSAKSI'!$A$5:$A$504,A182))</f>
        <v/>
      </c>
      <c r="J182" s="0" t="str">
        <f aca="false">IF(A182="","",SUMIFS('REFUND DAN PEMBATALAN'!$E$5:$E$504,'REFUND DAN PEMBATALAN'!$B$5:$B$504,A182,'REFUND DAN PEMBATALAN'!$I$5:$I$504,"Berhasil"))</f>
        <v/>
      </c>
      <c r="K182" s="0" t="str">
        <f aca="false">IF(A182="","",H182-I182-J182)</f>
        <v/>
      </c>
      <c r="O182" s="0" t="str">
        <f aca="false">IF(A182="","",IF(AND(I182=SUMIFS('DETAIL TRANSAKSI'!$H$5:$H$504,'DETAIL TRANSAKSI'!$A$5:$A$504,A182),J182=SUMIFS('DETAIL TRANSAKSI'!$I$5:$I$504,'DETAIL TRANSAKSI'!$A$5:$A$504,A182)),"OK","CEK ALOKASI"))</f>
        <v/>
      </c>
    </row>
    <row r="183" customFormat="false" ht="15" hidden="false" customHeight="false" outlineLevel="0" collapsed="false">
      <c r="H183" s="0" t="str">
        <f aca="false">IF(A183="","",SUMIFS('DETAIL TRANSAKSI'!$G$5:$G$504,'DETAIL TRANSAKSI'!$A$5:$A$504,A183))</f>
        <v/>
      </c>
      <c r="J183" s="0" t="str">
        <f aca="false">IF(A183="","",SUMIFS('REFUND DAN PEMBATALAN'!$E$5:$E$504,'REFUND DAN PEMBATALAN'!$B$5:$B$504,A183,'REFUND DAN PEMBATALAN'!$I$5:$I$504,"Berhasil"))</f>
        <v/>
      </c>
      <c r="K183" s="0" t="str">
        <f aca="false">IF(A183="","",H183-I183-J183)</f>
        <v/>
      </c>
      <c r="O183" s="0" t="str">
        <f aca="false">IF(A183="","",IF(AND(I183=SUMIFS('DETAIL TRANSAKSI'!$H$5:$H$504,'DETAIL TRANSAKSI'!$A$5:$A$504,A183),J183=SUMIFS('DETAIL TRANSAKSI'!$I$5:$I$504,'DETAIL TRANSAKSI'!$A$5:$A$504,A183)),"OK","CEK ALOKASI"))</f>
        <v/>
      </c>
    </row>
    <row r="184" customFormat="false" ht="15" hidden="false" customHeight="false" outlineLevel="0" collapsed="false">
      <c r="H184" s="0" t="str">
        <f aca="false">IF(A184="","",SUMIFS('DETAIL TRANSAKSI'!$G$5:$G$504,'DETAIL TRANSAKSI'!$A$5:$A$504,A184))</f>
        <v/>
      </c>
      <c r="J184" s="0" t="str">
        <f aca="false">IF(A184="","",SUMIFS('REFUND DAN PEMBATALAN'!$E$5:$E$504,'REFUND DAN PEMBATALAN'!$B$5:$B$504,A184,'REFUND DAN PEMBATALAN'!$I$5:$I$504,"Berhasil"))</f>
        <v/>
      </c>
      <c r="K184" s="0" t="str">
        <f aca="false">IF(A184="","",H184-I184-J184)</f>
        <v/>
      </c>
      <c r="O184" s="0" t="str">
        <f aca="false">IF(A184="","",IF(AND(I184=SUMIFS('DETAIL TRANSAKSI'!$H$5:$H$504,'DETAIL TRANSAKSI'!$A$5:$A$504,A184),J184=SUMIFS('DETAIL TRANSAKSI'!$I$5:$I$504,'DETAIL TRANSAKSI'!$A$5:$A$504,A184)),"OK","CEK ALOKASI"))</f>
        <v/>
      </c>
    </row>
    <row r="185" customFormat="false" ht="15" hidden="false" customHeight="false" outlineLevel="0" collapsed="false">
      <c r="H185" s="0" t="str">
        <f aca="false">IF(A185="","",SUMIFS('DETAIL TRANSAKSI'!$G$5:$G$504,'DETAIL TRANSAKSI'!$A$5:$A$504,A185))</f>
        <v/>
      </c>
      <c r="J185" s="0" t="str">
        <f aca="false">IF(A185="","",SUMIFS('REFUND DAN PEMBATALAN'!$E$5:$E$504,'REFUND DAN PEMBATALAN'!$B$5:$B$504,A185,'REFUND DAN PEMBATALAN'!$I$5:$I$504,"Berhasil"))</f>
        <v/>
      </c>
      <c r="K185" s="0" t="str">
        <f aca="false">IF(A185="","",H185-I185-J185)</f>
        <v/>
      </c>
      <c r="O185" s="0" t="str">
        <f aca="false">IF(A185="","",IF(AND(I185=SUMIFS('DETAIL TRANSAKSI'!$H$5:$H$504,'DETAIL TRANSAKSI'!$A$5:$A$504,A185),J185=SUMIFS('DETAIL TRANSAKSI'!$I$5:$I$504,'DETAIL TRANSAKSI'!$A$5:$A$504,A185)),"OK","CEK ALOKASI"))</f>
        <v/>
      </c>
    </row>
    <row r="186" customFormat="false" ht="15" hidden="false" customHeight="false" outlineLevel="0" collapsed="false">
      <c r="H186" s="0" t="str">
        <f aca="false">IF(A186="","",SUMIFS('DETAIL TRANSAKSI'!$G$5:$G$504,'DETAIL TRANSAKSI'!$A$5:$A$504,A186))</f>
        <v/>
      </c>
      <c r="J186" s="0" t="str">
        <f aca="false">IF(A186="","",SUMIFS('REFUND DAN PEMBATALAN'!$E$5:$E$504,'REFUND DAN PEMBATALAN'!$B$5:$B$504,A186,'REFUND DAN PEMBATALAN'!$I$5:$I$504,"Berhasil"))</f>
        <v/>
      </c>
      <c r="K186" s="0" t="str">
        <f aca="false">IF(A186="","",H186-I186-J186)</f>
        <v/>
      </c>
      <c r="O186" s="0" t="str">
        <f aca="false">IF(A186="","",IF(AND(I186=SUMIFS('DETAIL TRANSAKSI'!$H$5:$H$504,'DETAIL TRANSAKSI'!$A$5:$A$504,A186),J186=SUMIFS('DETAIL TRANSAKSI'!$I$5:$I$504,'DETAIL TRANSAKSI'!$A$5:$A$504,A186)),"OK","CEK ALOKASI"))</f>
        <v/>
      </c>
    </row>
    <row r="187" customFormat="false" ht="15" hidden="false" customHeight="false" outlineLevel="0" collapsed="false">
      <c r="H187" s="0" t="str">
        <f aca="false">IF(A187="","",SUMIFS('DETAIL TRANSAKSI'!$G$5:$G$504,'DETAIL TRANSAKSI'!$A$5:$A$504,A187))</f>
        <v/>
      </c>
      <c r="J187" s="0" t="str">
        <f aca="false">IF(A187="","",SUMIFS('REFUND DAN PEMBATALAN'!$E$5:$E$504,'REFUND DAN PEMBATALAN'!$B$5:$B$504,A187,'REFUND DAN PEMBATALAN'!$I$5:$I$504,"Berhasil"))</f>
        <v/>
      </c>
      <c r="K187" s="0" t="str">
        <f aca="false">IF(A187="","",H187-I187-J187)</f>
        <v/>
      </c>
      <c r="O187" s="0" t="str">
        <f aca="false">IF(A187="","",IF(AND(I187=SUMIFS('DETAIL TRANSAKSI'!$H$5:$H$504,'DETAIL TRANSAKSI'!$A$5:$A$504,A187),J187=SUMIFS('DETAIL TRANSAKSI'!$I$5:$I$504,'DETAIL TRANSAKSI'!$A$5:$A$504,A187)),"OK","CEK ALOKASI"))</f>
        <v/>
      </c>
    </row>
    <row r="188" customFormat="false" ht="15" hidden="false" customHeight="false" outlineLevel="0" collapsed="false">
      <c r="H188" s="0" t="str">
        <f aca="false">IF(A188="","",SUMIFS('DETAIL TRANSAKSI'!$G$5:$G$504,'DETAIL TRANSAKSI'!$A$5:$A$504,A188))</f>
        <v/>
      </c>
      <c r="J188" s="0" t="str">
        <f aca="false">IF(A188="","",SUMIFS('REFUND DAN PEMBATALAN'!$E$5:$E$504,'REFUND DAN PEMBATALAN'!$B$5:$B$504,A188,'REFUND DAN PEMBATALAN'!$I$5:$I$504,"Berhasil"))</f>
        <v/>
      </c>
      <c r="K188" s="0" t="str">
        <f aca="false">IF(A188="","",H188-I188-J188)</f>
        <v/>
      </c>
      <c r="O188" s="0" t="str">
        <f aca="false">IF(A188="","",IF(AND(I188=SUMIFS('DETAIL TRANSAKSI'!$H$5:$H$504,'DETAIL TRANSAKSI'!$A$5:$A$504,A188),J188=SUMIFS('DETAIL TRANSAKSI'!$I$5:$I$504,'DETAIL TRANSAKSI'!$A$5:$A$504,A188)),"OK","CEK ALOKASI"))</f>
        <v/>
      </c>
    </row>
    <row r="189" customFormat="false" ht="15" hidden="false" customHeight="false" outlineLevel="0" collapsed="false">
      <c r="H189" s="0" t="str">
        <f aca="false">IF(A189="","",SUMIFS('DETAIL TRANSAKSI'!$G$5:$G$504,'DETAIL TRANSAKSI'!$A$5:$A$504,A189))</f>
        <v/>
      </c>
      <c r="J189" s="0" t="str">
        <f aca="false">IF(A189="","",SUMIFS('REFUND DAN PEMBATALAN'!$E$5:$E$504,'REFUND DAN PEMBATALAN'!$B$5:$B$504,A189,'REFUND DAN PEMBATALAN'!$I$5:$I$504,"Berhasil"))</f>
        <v/>
      </c>
      <c r="K189" s="0" t="str">
        <f aca="false">IF(A189="","",H189-I189-J189)</f>
        <v/>
      </c>
      <c r="O189" s="0" t="str">
        <f aca="false">IF(A189="","",IF(AND(I189=SUMIFS('DETAIL TRANSAKSI'!$H$5:$H$504,'DETAIL TRANSAKSI'!$A$5:$A$504,A189),J189=SUMIFS('DETAIL TRANSAKSI'!$I$5:$I$504,'DETAIL TRANSAKSI'!$A$5:$A$504,A189)),"OK","CEK ALOKASI"))</f>
        <v/>
      </c>
    </row>
    <row r="190" customFormat="false" ht="15" hidden="false" customHeight="false" outlineLevel="0" collapsed="false">
      <c r="H190" s="0" t="str">
        <f aca="false">IF(A190="","",SUMIFS('DETAIL TRANSAKSI'!$G$5:$G$504,'DETAIL TRANSAKSI'!$A$5:$A$504,A190))</f>
        <v/>
      </c>
      <c r="J190" s="0" t="str">
        <f aca="false">IF(A190="","",SUMIFS('REFUND DAN PEMBATALAN'!$E$5:$E$504,'REFUND DAN PEMBATALAN'!$B$5:$B$504,A190,'REFUND DAN PEMBATALAN'!$I$5:$I$504,"Berhasil"))</f>
        <v/>
      </c>
      <c r="K190" s="0" t="str">
        <f aca="false">IF(A190="","",H190-I190-J190)</f>
        <v/>
      </c>
      <c r="O190" s="0" t="str">
        <f aca="false">IF(A190="","",IF(AND(I190=SUMIFS('DETAIL TRANSAKSI'!$H$5:$H$504,'DETAIL TRANSAKSI'!$A$5:$A$504,A190),J190=SUMIFS('DETAIL TRANSAKSI'!$I$5:$I$504,'DETAIL TRANSAKSI'!$A$5:$A$504,A190)),"OK","CEK ALOKASI"))</f>
        <v/>
      </c>
    </row>
    <row r="191" customFormat="false" ht="15" hidden="false" customHeight="false" outlineLevel="0" collapsed="false">
      <c r="H191" s="0" t="str">
        <f aca="false">IF(A191="","",SUMIFS('DETAIL TRANSAKSI'!$G$5:$G$504,'DETAIL TRANSAKSI'!$A$5:$A$504,A191))</f>
        <v/>
      </c>
      <c r="J191" s="0" t="str">
        <f aca="false">IF(A191="","",SUMIFS('REFUND DAN PEMBATALAN'!$E$5:$E$504,'REFUND DAN PEMBATALAN'!$B$5:$B$504,A191,'REFUND DAN PEMBATALAN'!$I$5:$I$504,"Berhasil"))</f>
        <v/>
      </c>
      <c r="K191" s="0" t="str">
        <f aca="false">IF(A191="","",H191-I191-J191)</f>
        <v/>
      </c>
      <c r="O191" s="0" t="str">
        <f aca="false">IF(A191="","",IF(AND(I191=SUMIFS('DETAIL TRANSAKSI'!$H$5:$H$504,'DETAIL TRANSAKSI'!$A$5:$A$504,A191),J191=SUMIFS('DETAIL TRANSAKSI'!$I$5:$I$504,'DETAIL TRANSAKSI'!$A$5:$A$504,A191)),"OK","CEK ALOKASI"))</f>
        <v/>
      </c>
    </row>
    <row r="192" customFormat="false" ht="15" hidden="false" customHeight="false" outlineLevel="0" collapsed="false">
      <c r="H192" s="0" t="str">
        <f aca="false">IF(A192="","",SUMIFS('DETAIL TRANSAKSI'!$G$5:$G$504,'DETAIL TRANSAKSI'!$A$5:$A$504,A192))</f>
        <v/>
      </c>
      <c r="J192" s="0" t="str">
        <f aca="false">IF(A192="","",SUMIFS('REFUND DAN PEMBATALAN'!$E$5:$E$504,'REFUND DAN PEMBATALAN'!$B$5:$B$504,A192,'REFUND DAN PEMBATALAN'!$I$5:$I$504,"Berhasil"))</f>
        <v/>
      </c>
      <c r="K192" s="0" t="str">
        <f aca="false">IF(A192="","",H192-I192-J192)</f>
        <v/>
      </c>
      <c r="O192" s="0" t="str">
        <f aca="false">IF(A192="","",IF(AND(I192=SUMIFS('DETAIL TRANSAKSI'!$H$5:$H$504,'DETAIL TRANSAKSI'!$A$5:$A$504,A192),J192=SUMIFS('DETAIL TRANSAKSI'!$I$5:$I$504,'DETAIL TRANSAKSI'!$A$5:$A$504,A192)),"OK","CEK ALOKASI"))</f>
        <v/>
      </c>
    </row>
    <row r="193" customFormat="false" ht="15" hidden="false" customHeight="false" outlineLevel="0" collapsed="false">
      <c r="H193" s="0" t="str">
        <f aca="false">IF(A193="","",SUMIFS('DETAIL TRANSAKSI'!$G$5:$G$504,'DETAIL TRANSAKSI'!$A$5:$A$504,A193))</f>
        <v/>
      </c>
      <c r="J193" s="0" t="str">
        <f aca="false">IF(A193="","",SUMIFS('REFUND DAN PEMBATALAN'!$E$5:$E$504,'REFUND DAN PEMBATALAN'!$B$5:$B$504,A193,'REFUND DAN PEMBATALAN'!$I$5:$I$504,"Berhasil"))</f>
        <v/>
      </c>
      <c r="K193" s="0" t="str">
        <f aca="false">IF(A193="","",H193-I193-J193)</f>
        <v/>
      </c>
      <c r="O193" s="0" t="str">
        <f aca="false">IF(A193="","",IF(AND(I193=SUMIFS('DETAIL TRANSAKSI'!$H$5:$H$504,'DETAIL TRANSAKSI'!$A$5:$A$504,A193),J193=SUMIFS('DETAIL TRANSAKSI'!$I$5:$I$504,'DETAIL TRANSAKSI'!$A$5:$A$504,A193)),"OK","CEK ALOKASI"))</f>
        <v/>
      </c>
    </row>
    <row r="194" customFormat="false" ht="15" hidden="false" customHeight="false" outlineLevel="0" collapsed="false">
      <c r="H194" s="0" t="str">
        <f aca="false">IF(A194="","",SUMIFS('DETAIL TRANSAKSI'!$G$5:$G$504,'DETAIL TRANSAKSI'!$A$5:$A$504,A194))</f>
        <v/>
      </c>
      <c r="J194" s="0" t="str">
        <f aca="false">IF(A194="","",SUMIFS('REFUND DAN PEMBATALAN'!$E$5:$E$504,'REFUND DAN PEMBATALAN'!$B$5:$B$504,A194,'REFUND DAN PEMBATALAN'!$I$5:$I$504,"Berhasil"))</f>
        <v/>
      </c>
      <c r="K194" s="0" t="str">
        <f aca="false">IF(A194="","",H194-I194-J194)</f>
        <v/>
      </c>
      <c r="O194" s="0" t="str">
        <f aca="false">IF(A194="","",IF(AND(I194=SUMIFS('DETAIL TRANSAKSI'!$H$5:$H$504,'DETAIL TRANSAKSI'!$A$5:$A$504,A194),J194=SUMIFS('DETAIL TRANSAKSI'!$I$5:$I$504,'DETAIL TRANSAKSI'!$A$5:$A$504,A194)),"OK","CEK ALOKASI"))</f>
        <v/>
      </c>
    </row>
    <row r="195" customFormat="false" ht="15" hidden="false" customHeight="false" outlineLevel="0" collapsed="false">
      <c r="H195" s="0" t="str">
        <f aca="false">IF(A195="","",SUMIFS('DETAIL TRANSAKSI'!$G$5:$G$504,'DETAIL TRANSAKSI'!$A$5:$A$504,A195))</f>
        <v/>
      </c>
      <c r="J195" s="0" t="str">
        <f aca="false">IF(A195="","",SUMIFS('REFUND DAN PEMBATALAN'!$E$5:$E$504,'REFUND DAN PEMBATALAN'!$B$5:$B$504,A195,'REFUND DAN PEMBATALAN'!$I$5:$I$504,"Berhasil"))</f>
        <v/>
      </c>
      <c r="K195" s="0" t="str">
        <f aca="false">IF(A195="","",H195-I195-J195)</f>
        <v/>
      </c>
      <c r="O195" s="0" t="str">
        <f aca="false">IF(A195="","",IF(AND(I195=SUMIFS('DETAIL TRANSAKSI'!$H$5:$H$504,'DETAIL TRANSAKSI'!$A$5:$A$504,A195),J195=SUMIFS('DETAIL TRANSAKSI'!$I$5:$I$504,'DETAIL TRANSAKSI'!$A$5:$A$504,A195)),"OK","CEK ALOKASI"))</f>
        <v/>
      </c>
    </row>
    <row r="196" customFormat="false" ht="15" hidden="false" customHeight="false" outlineLevel="0" collapsed="false">
      <c r="H196" s="0" t="str">
        <f aca="false">IF(A196="","",SUMIFS('DETAIL TRANSAKSI'!$G$5:$G$504,'DETAIL TRANSAKSI'!$A$5:$A$504,A196))</f>
        <v/>
      </c>
      <c r="J196" s="0" t="str">
        <f aca="false">IF(A196="","",SUMIFS('REFUND DAN PEMBATALAN'!$E$5:$E$504,'REFUND DAN PEMBATALAN'!$B$5:$B$504,A196,'REFUND DAN PEMBATALAN'!$I$5:$I$504,"Berhasil"))</f>
        <v/>
      </c>
      <c r="K196" s="0" t="str">
        <f aca="false">IF(A196="","",H196-I196-J196)</f>
        <v/>
      </c>
      <c r="O196" s="0" t="str">
        <f aca="false">IF(A196="","",IF(AND(I196=SUMIFS('DETAIL TRANSAKSI'!$H$5:$H$504,'DETAIL TRANSAKSI'!$A$5:$A$504,A196),J196=SUMIFS('DETAIL TRANSAKSI'!$I$5:$I$504,'DETAIL TRANSAKSI'!$A$5:$A$504,A196)),"OK","CEK ALOKASI"))</f>
        <v/>
      </c>
    </row>
    <row r="197" customFormat="false" ht="15" hidden="false" customHeight="false" outlineLevel="0" collapsed="false">
      <c r="H197" s="0" t="str">
        <f aca="false">IF(A197="","",SUMIFS('DETAIL TRANSAKSI'!$G$5:$G$504,'DETAIL TRANSAKSI'!$A$5:$A$504,A197))</f>
        <v/>
      </c>
      <c r="J197" s="0" t="str">
        <f aca="false">IF(A197="","",SUMIFS('REFUND DAN PEMBATALAN'!$E$5:$E$504,'REFUND DAN PEMBATALAN'!$B$5:$B$504,A197,'REFUND DAN PEMBATALAN'!$I$5:$I$504,"Berhasil"))</f>
        <v/>
      </c>
      <c r="K197" s="0" t="str">
        <f aca="false">IF(A197="","",H197-I197-J197)</f>
        <v/>
      </c>
      <c r="O197" s="0" t="str">
        <f aca="false">IF(A197="","",IF(AND(I197=SUMIFS('DETAIL TRANSAKSI'!$H$5:$H$504,'DETAIL TRANSAKSI'!$A$5:$A$504,A197),J197=SUMIFS('DETAIL TRANSAKSI'!$I$5:$I$504,'DETAIL TRANSAKSI'!$A$5:$A$504,A197)),"OK","CEK ALOKASI"))</f>
        <v/>
      </c>
    </row>
    <row r="198" customFormat="false" ht="15" hidden="false" customHeight="false" outlineLevel="0" collapsed="false">
      <c r="H198" s="0" t="str">
        <f aca="false">IF(A198="","",SUMIFS('DETAIL TRANSAKSI'!$G$5:$G$504,'DETAIL TRANSAKSI'!$A$5:$A$504,A198))</f>
        <v/>
      </c>
      <c r="J198" s="0" t="str">
        <f aca="false">IF(A198="","",SUMIFS('REFUND DAN PEMBATALAN'!$E$5:$E$504,'REFUND DAN PEMBATALAN'!$B$5:$B$504,A198,'REFUND DAN PEMBATALAN'!$I$5:$I$504,"Berhasil"))</f>
        <v/>
      </c>
      <c r="K198" s="0" t="str">
        <f aca="false">IF(A198="","",H198-I198-J198)</f>
        <v/>
      </c>
      <c r="O198" s="0" t="str">
        <f aca="false">IF(A198="","",IF(AND(I198=SUMIFS('DETAIL TRANSAKSI'!$H$5:$H$504,'DETAIL TRANSAKSI'!$A$5:$A$504,A198),J198=SUMIFS('DETAIL TRANSAKSI'!$I$5:$I$504,'DETAIL TRANSAKSI'!$A$5:$A$504,A198)),"OK","CEK ALOKASI"))</f>
        <v/>
      </c>
    </row>
    <row r="199" customFormat="false" ht="15" hidden="false" customHeight="false" outlineLevel="0" collapsed="false">
      <c r="H199" s="0" t="str">
        <f aca="false">IF(A199="","",SUMIFS('DETAIL TRANSAKSI'!$G$5:$G$504,'DETAIL TRANSAKSI'!$A$5:$A$504,A199))</f>
        <v/>
      </c>
      <c r="J199" s="0" t="str">
        <f aca="false">IF(A199="","",SUMIFS('REFUND DAN PEMBATALAN'!$E$5:$E$504,'REFUND DAN PEMBATALAN'!$B$5:$B$504,A199,'REFUND DAN PEMBATALAN'!$I$5:$I$504,"Berhasil"))</f>
        <v/>
      </c>
      <c r="K199" s="0" t="str">
        <f aca="false">IF(A199="","",H199-I199-J199)</f>
        <v/>
      </c>
      <c r="O199" s="0" t="str">
        <f aca="false">IF(A199="","",IF(AND(I199=SUMIFS('DETAIL TRANSAKSI'!$H$5:$H$504,'DETAIL TRANSAKSI'!$A$5:$A$504,A199),J199=SUMIFS('DETAIL TRANSAKSI'!$I$5:$I$504,'DETAIL TRANSAKSI'!$A$5:$A$504,A199)),"OK","CEK ALOKASI"))</f>
        <v/>
      </c>
    </row>
    <row r="200" customFormat="false" ht="15" hidden="false" customHeight="false" outlineLevel="0" collapsed="false">
      <c r="H200" s="0" t="str">
        <f aca="false">IF(A200="","",SUMIFS('DETAIL TRANSAKSI'!$G$5:$G$504,'DETAIL TRANSAKSI'!$A$5:$A$504,A200))</f>
        <v/>
      </c>
      <c r="J200" s="0" t="str">
        <f aca="false">IF(A200="","",SUMIFS('REFUND DAN PEMBATALAN'!$E$5:$E$504,'REFUND DAN PEMBATALAN'!$B$5:$B$504,A200,'REFUND DAN PEMBATALAN'!$I$5:$I$504,"Berhasil"))</f>
        <v/>
      </c>
      <c r="K200" s="0" t="str">
        <f aca="false">IF(A200="","",H200-I200-J200)</f>
        <v/>
      </c>
      <c r="O200" s="0" t="str">
        <f aca="false">IF(A200="","",IF(AND(I200=SUMIFS('DETAIL TRANSAKSI'!$H$5:$H$504,'DETAIL TRANSAKSI'!$A$5:$A$504,A200),J200=SUMIFS('DETAIL TRANSAKSI'!$I$5:$I$504,'DETAIL TRANSAKSI'!$A$5:$A$504,A200)),"OK","CEK ALOKASI"))</f>
        <v/>
      </c>
    </row>
    <row r="201" customFormat="false" ht="15" hidden="false" customHeight="false" outlineLevel="0" collapsed="false">
      <c r="H201" s="0" t="str">
        <f aca="false">IF(A201="","",SUMIFS('DETAIL TRANSAKSI'!$G$5:$G$504,'DETAIL TRANSAKSI'!$A$5:$A$504,A201))</f>
        <v/>
      </c>
      <c r="J201" s="0" t="str">
        <f aca="false">IF(A201="","",SUMIFS('REFUND DAN PEMBATALAN'!$E$5:$E$504,'REFUND DAN PEMBATALAN'!$B$5:$B$504,A201,'REFUND DAN PEMBATALAN'!$I$5:$I$504,"Berhasil"))</f>
        <v/>
      </c>
      <c r="K201" s="0" t="str">
        <f aca="false">IF(A201="","",H201-I201-J201)</f>
        <v/>
      </c>
      <c r="O201" s="0" t="str">
        <f aca="false">IF(A201="","",IF(AND(I201=SUMIFS('DETAIL TRANSAKSI'!$H$5:$H$504,'DETAIL TRANSAKSI'!$A$5:$A$504,A201),J201=SUMIFS('DETAIL TRANSAKSI'!$I$5:$I$504,'DETAIL TRANSAKSI'!$A$5:$A$504,A201)),"OK","CEK ALOKASI"))</f>
        <v/>
      </c>
    </row>
    <row r="202" customFormat="false" ht="15" hidden="false" customHeight="false" outlineLevel="0" collapsed="false">
      <c r="H202" s="0" t="str">
        <f aca="false">IF(A202="","",SUMIFS('DETAIL TRANSAKSI'!$G$5:$G$504,'DETAIL TRANSAKSI'!$A$5:$A$504,A202))</f>
        <v/>
      </c>
      <c r="J202" s="0" t="str">
        <f aca="false">IF(A202="","",SUMIFS('REFUND DAN PEMBATALAN'!$E$5:$E$504,'REFUND DAN PEMBATALAN'!$B$5:$B$504,A202,'REFUND DAN PEMBATALAN'!$I$5:$I$504,"Berhasil"))</f>
        <v/>
      </c>
      <c r="K202" s="0" t="str">
        <f aca="false">IF(A202="","",H202-I202-J202)</f>
        <v/>
      </c>
      <c r="O202" s="0" t="str">
        <f aca="false">IF(A202="","",IF(AND(I202=SUMIFS('DETAIL TRANSAKSI'!$H$5:$H$504,'DETAIL TRANSAKSI'!$A$5:$A$504,A202),J202=SUMIFS('DETAIL TRANSAKSI'!$I$5:$I$504,'DETAIL TRANSAKSI'!$A$5:$A$504,A202)),"OK","CEK ALOKASI"))</f>
        <v/>
      </c>
    </row>
    <row r="203" customFormat="false" ht="15" hidden="false" customHeight="false" outlineLevel="0" collapsed="false">
      <c r="H203" s="0" t="str">
        <f aca="false">IF(A203="","",SUMIFS('DETAIL TRANSAKSI'!$G$5:$G$504,'DETAIL TRANSAKSI'!$A$5:$A$504,A203))</f>
        <v/>
      </c>
      <c r="J203" s="0" t="str">
        <f aca="false">IF(A203="","",SUMIFS('REFUND DAN PEMBATALAN'!$E$5:$E$504,'REFUND DAN PEMBATALAN'!$B$5:$B$504,A203,'REFUND DAN PEMBATALAN'!$I$5:$I$504,"Berhasil"))</f>
        <v/>
      </c>
      <c r="K203" s="0" t="str">
        <f aca="false">IF(A203="","",H203-I203-J203)</f>
        <v/>
      </c>
      <c r="O203" s="0" t="str">
        <f aca="false">IF(A203="","",IF(AND(I203=SUMIFS('DETAIL TRANSAKSI'!$H$5:$H$504,'DETAIL TRANSAKSI'!$A$5:$A$504,A203),J203=SUMIFS('DETAIL TRANSAKSI'!$I$5:$I$504,'DETAIL TRANSAKSI'!$A$5:$A$504,A203)),"OK","CEK ALOKASI"))</f>
        <v/>
      </c>
    </row>
    <row r="204" customFormat="false" ht="15" hidden="false" customHeight="false" outlineLevel="0" collapsed="false">
      <c r="H204" s="0" t="str">
        <f aca="false">IF(A204="","",SUMIFS('DETAIL TRANSAKSI'!$G$5:$G$504,'DETAIL TRANSAKSI'!$A$5:$A$504,A204))</f>
        <v/>
      </c>
      <c r="J204" s="0" t="str">
        <f aca="false">IF(A204="","",SUMIFS('REFUND DAN PEMBATALAN'!$E$5:$E$504,'REFUND DAN PEMBATALAN'!$B$5:$B$504,A204,'REFUND DAN PEMBATALAN'!$I$5:$I$504,"Berhasil"))</f>
        <v/>
      </c>
      <c r="K204" s="0" t="str">
        <f aca="false">IF(A204="","",H204-I204-J204)</f>
        <v/>
      </c>
      <c r="O204" s="0" t="str">
        <f aca="false">IF(A204="","",IF(AND(I204=SUMIFS('DETAIL TRANSAKSI'!$H$5:$H$504,'DETAIL TRANSAKSI'!$A$5:$A$504,A204),J204=SUMIFS('DETAIL TRANSAKSI'!$I$5:$I$504,'DETAIL TRANSAKSI'!$A$5:$A$504,A204)),"OK","CEK ALOKASI"))</f>
        <v/>
      </c>
    </row>
    <row r="205" customFormat="false" ht="15" hidden="false" customHeight="false" outlineLevel="0" collapsed="false">
      <c r="H205" s="0" t="str">
        <f aca="false">IF(A205="","",SUMIFS('DETAIL TRANSAKSI'!$G$5:$G$504,'DETAIL TRANSAKSI'!$A$5:$A$504,A205))</f>
        <v/>
      </c>
      <c r="J205" s="0" t="str">
        <f aca="false">IF(A205="","",SUMIFS('REFUND DAN PEMBATALAN'!$E$5:$E$504,'REFUND DAN PEMBATALAN'!$B$5:$B$504,A205,'REFUND DAN PEMBATALAN'!$I$5:$I$504,"Berhasil"))</f>
        <v/>
      </c>
      <c r="K205" s="0" t="str">
        <f aca="false">IF(A205="","",H205-I205-J205)</f>
        <v/>
      </c>
      <c r="O205" s="0" t="str">
        <f aca="false">IF(A205="","",IF(AND(I205=SUMIFS('DETAIL TRANSAKSI'!$H$5:$H$504,'DETAIL TRANSAKSI'!$A$5:$A$504,A205),J205=SUMIFS('DETAIL TRANSAKSI'!$I$5:$I$504,'DETAIL TRANSAKSI'!$A$5:$A$504,A205)),"OK","CEK ALOKASI"))</f>
        <v/>
      </c>
    </row>
    <row r="206" customFormat="false" ht="15" hidden="false" customHeight="false" outlineLevel="0" collapsed="false">
      <c r="H206" s="0" t="str">
        <f aca="false">IF(A206="","",SUMIFS('DETAIL TRANSAKSI'!$G$5:$G$504,'DETAIL TRANSAKSI'!$A$5:$A$504,A206))</f>
        <v/>
      </c>
      <c r="J206" s="0" t="str">
        <f aca="false">IF(A206="","",SUMIFS('REFUND DAN PEMBATALAN'!$E$5:$E$504,'REFUND DAN PEMBATALAN'!$B$5:$B$504,A206,'REFUND DAN PEMBATALAN'!$I$5:$I$504,"Berhasil"))</f>
        <v/>
      </c>
      <c r="K206" s="0" t="str">
        <f aca="false">IF(A206="","",H206-I206-J206)</f>
        <v/>
      </c>
      <c r="O206" s="0" t="str">
        <f aca="false">IF(A206="","",IF(AND(I206=SUMIFS('DETAIL TRANSAKSI'!$H$5:$H$504,'DETAIL TRANSAKSI'!$A$5:$A$504,A206),J206=SUMIFS('DETAIL TRANSAKSI'!$I$5:$I$504,'DETAIL TRANSAKSI'!$A$5:$A$504,A206)),"OK","CEK ALOKASI"))</f>
        <v/>
      </c>
    </row>
    <row r="207" customFormat="false" ht="15" hidden="false" customHeight="false" outlineLevel="0" collapsed="false">
      <c r="H207" s="0" t="str">
        <f aca="false">IF(A207="","",SUMIFS('DETAIL TRANSAKSI'!$G$5:$G$504,'DETAIL TRANSAKSI'!$A$5:$A$504,A207))</f>
        <v/>
      </c>
      <c r="J207" s="0" t="str">
        <f aca="false">IF(A207="","",SUMIFS('REFUND DAN PEMBATALAN'!$E$5:$E$504,'REFUND DAN PEMBATALAN'!$B$5:$B$504,A207,'REFUND DAN PEMBATALAN'!$I$5:$I$504,"Berhasil"))</f>
        <v/>
      </c>
      <c r="K207" s="0" t="str">
        <f aca="false">IF(A207="","",H207-I207-J207)</f>
        <v/>
      </c>
      <c r="O207" s="0" t="str">
        <f aca="false">IF(A207="","",IF(AND(I207=SUMIFS('DETAIL TRANSAKSI'!$H$5:$H$504,'DETAIL TRANSAKSI'!$A$5:$A$504,A207),J207=SUMIFS('DETAIL TRANSAKSI'!$I$5:$I$504,'DETAIL TRANSAKSI'!$A$5:$A$504,A207)),"OK","CEK ALOKASI"))</f>
        <v/>
      </c>
    </row>
    <row r="208" customFormat="false" ht="15" hidden="false" customHeight="false" outlineLevel="0" collapsed="false">
      <c r="H208" s="0" t="str">
        <f aca="false">IF(A208="","",SUMIFS('DETAIL TRANSAKSI'!$G$5:$G$504,'DETAIL TRANSAKSI'!$A$5:$A$504,A208))</f>
        <v/>
      </c>
      <c r="J208" s="0" t="str">
        <f aca="false">IF(A208="","",SUMIFS('REFUND DAN PEMBATALAN'!$E$5:$E$504,'REFUND DAN PEMBATALAN'!$B$5:$B$504,A208,'REFUND DAN PEMBATALAN'!$I$5:$I$504,"Berhasil"))</f>
        <v/>
      </c>
      <c r="K208" s="0" t="str">
        <f aca="false">IF(A208="","",H208-I208-J208)</f>
        <v/>
      </c>
      <c r="O208" s="0" t="str">
        <f aca="false">IF(A208="","",IF(AND(I208=SUMIFS('DETAIL TRANSAKSI'!$H$5:$H$504,'DETAIL TRANSAKSI'!$A$5:$A$504,A208),J208=SUMIFS('DETAIL TRANSAKSI'!$I$5:$I$504,'DETAIL TRANSAKSI'!$A$5:$A$504,A208)),"OK","CEK ALOKASI"))</f>
        <v/>
      </c>
    </row>
    <row r="209" customFormat="false" ht="15" hidden="false" customHeight="false" outlineLevel="0" collapsed="false">
      <c r="H209" s="0" t="str">
        <f aca="false">IF(A209="","",SUMIFS('DETAIL TRANSAKSI'!$G$5:$G$504,'DETAIL TRANSAKSI'!$A$5:$A$504,A209))</f>
        <v/>
      </c>
      <c r="J209" s="0" t="str">
        <f aca="false">IF(A209="","",SUMIFS('REFUND DAN PEMBATALAN'!$E$5:$E$504,'REFUND DAN PEMBATALAN'!$B$5:$B$504,A209,'REFUND DAN PEMBATALAN'!$I$5:$I$504,"Berhasil"))</f>
        <v/>
      </c>
      <c r="K209" s="0" t="str">
        <f aca="false">IF(A209="","",H209-I209-J209)</f>
        <v/>
      </c>
      <c r="O209" s="0" t="str">
        <f aca="false">IF(A209="","",IF(AND(I209=SUMIFS('DETAIL TRANSAKSI'!$H$5:$H$504,'DETAIL TRANSAKSI'!$A$5:$A$504,A209),J209=SUMIFS('DETAIL TRANSAKSI'!$I$5:$I$504,'DETAIL TRANSAKSI'!$A$5:$A$504,A209)),"OK","CEK ALOKASI"))</f>
        <v/>
      </c>
    </row>
    <row r="210" customFormat="false" ht="15" hidden="false" customHeight="false" outlineLevel="0" collapsed="false">
      <c r="H210" s="0" t="str">
        <f aca="false">IF(A210="","",SUMIFS('DETAIL TRANSAKSI'!$G$5:$G$504,'DETAIL TRANSAKSI'!$A$5:$A$504,A210))</f>
        <v/>
      </c>
      <c r="J210" s="0" t="str">
        <f aca="false">IF(A210="","",SUMIFS('REFUND DAN PEMBATALAN'!$E$5:$E$504,'REFUND DAN PEMBATALAN'!$B$5:$B$504,A210,'REFUND DAN PEMBATALAN'!$I$5:$I$504,"Berhasil"))</f>
        <v/>
      </c>
      <c r="K210" s="0" t="str">
        <f aca="false">IF(A210="","",H210-I210-J210)</f>
        <v/>
      </c>
      <c r="O210" s="0" t="str">
        <f aca="false">IF(A210="","",IF(AND(I210=SUMIFS('DETAIL TRANSAKSI'!$H$5:$H$504,'DETAIL TRANSAKSI'!$A$5:$A$504,A210),J210=SUMIFS('DETAIL TRANSAKSI'!$I$5:$I$504,'DETAIL TRANSAKSI'!$A$5:$A$504,A210)),"OK","CEK ALOKASI"))</f>
        <v/>
      </c>
    </row>
    <row r="211" customFormat="false" ht="15" hidden="false" customHeight="false" outlineLevel="0" collapsed="false">
      <c r="H211" s="0" t="str">
        <f aca="false">IF(A211="","",SUMIFS('DETAIL TRANSAKSI'!$G$5:$G$504,'DETAIL TRANSAKSI'!$A$5:$A$504,A211))</f>
        <v/>
      </c>
      <c r="J211" s="0" t="str">
        <f aca="false">IF(A211="","",SUMIFS('REFUND DAN PEMBATALAN'!$E$5:$E$504,'REFUND DAN PEMBATALAN'!$B$5:$B$504,A211,'REFUND DAN PEMBATALAN'!$I$5:$I$504,"Berhasil"))</f>
        <v/>
      </c>
      <c r="K211" s="0" t="str">
        <f aca="false">IF(A211="","",H211-I211-J211)</f>
        <v/>
      </c>
      <c r="O211" s="0" t="str">
        <f aca="false">IF(A211="","",IF(AND(I211=SUMIFS('DETAIL TRANSAKSI'!$H$5:$H$504,'DETAIL TRANSAKSI'!$A$5:$A$504,A211),J211=SUMIFS('DETAIL TRANSAKSI'!$I$5:$I$504,'DETAIL TRANSAKSI'!$A$5:$A$504,A211)),"OK","CEK ALOKASI"))</f>
        <v/>
      </c>
    </row>
    <row r="212" customFormat="false" ht="15" hidden="false" customHeight="false" outlineLevel="0" collapsed="false">
      <c r="H212" s="0" t="str">
        <f aca="false">IF(A212="","",SUMIFS('DETAIL TRANSAKSI'!$G$5:$G$504,'DETAIL TRANSAKSI'!$A$5:$A$504,A212))</f>
        <v/>
      </c>
      <c r="J212" s="0" t="str">
        <f aca="false">IF(A212="","",SUMIFS('REFUND DAN PEMBATALAN'!$E$5:$E$504,'REFUND DAN PEMBATALAN'!$B$5:$B$504,A212,'REFUND DAN PEMBATALAN'!$I$5:$I$504,"Berhasil"))</f>
        <v/>
      </c>
      <c r="K212" s="0" t="str">
        <f aca="false">IF(A212="","",H212-I212-J212)</f>
        <v/>
      </c>
      <c r="O212" s="0" t="str">
        <f aca="false">IF(A212="","",IF(AND(I212=SUMIFS('DETAIL TRANSAKSI'!$H$5:$H$504,'DETAIL TRANSAKSI'!$A$5:$A$504,A212),J212=SUMIFS('DETAIL TRANSAKSI'!$I$5:$I$504,'DETAIL TRANSAKSI'!$A$5:$A$504,A212)),"OK","CEK ALOKASI"))</f>
        <v/>
      </c>
    </row>
    <row r="213" customFormat="false" ht="15" hidden="false" customHeight="false" outlineLevel="0" collapsed="false">
      <c r="H213" s="0" t="str">
        <f aca="false">IF(A213="","",SUMIFS('DETAIL TRANSAKSI'!$G$5:$G$504,'DETAIL TRANSAKSI'!$A$5:$A$504,A213))</f>
        <v/>
      </c>
      <c r="J213" s="0" t="str">
        <f aca="false">IF(A213="","",SUMIFS('REFUND DAN PEMBATALAN'!$E$5:$E$504,'REFUND DAN PEMBATALAN'!$B$5:$B$504,A213,'REFUND DAN PEMBATALAN'!$I$5:$I$504,"Berhasil"))</f>
        <v/>
      </c>
      <c r="K213" s="0" t="str">
        <f aca="false">IF(A213="","",H213-I213-J213)</f>
        <v/>
      </c>
      <c r="O213" s="0" t="str">
        <f aca="false">IF(A213="","",IF(AND(I213=SUMIFS('DETAIL TRANSAKSI'!$H$5:$H$504,'DETAIL TRANSAKSI'!$A$5:$A$504,A213),J213=SUMIFS('DETAIL TRANSAKSI'!$I$5:$I$504,'DETAIL TRANSAKSI'!$A$5:$A$504,A213)),"OK","CEK ALOKASI"))</f>
        <v/>
      </c>
    </row>
    <row r="214" customFormat="false" ht="15" hidden="false" customHeight="false" outlineLevel="0" collapsed="false">
      <c r="H214" s="0" t="str">
        <f aca="false">IF(A214="","",SUMIFS('DETAIL TRANSAKSI'!$G$5:$G$504,'DETAIL TRANSAKSI'!$A$5:$A$504,A214))</f>
        <v/>
      </c>
      <c r="J214" s="0" t="str">
        <f aca="false">IF(A214="","",SUMIFS('REFUND DAN PEMBATALAN'!$E$5:$E$504,'REFUND DAN PEMBATALAN'!$B$5:$B$504,A214,'REFUND DAN PEMBATALAN'!$I$5:$I$504,"Berhasil"))</f>
        <v/>
      </c>
      <c r="K214" s="0" t="str">
        <f aca="false">IF(A214="","",H214-I214-J214)</f>
        <v/>
      </c>
      <c r="O214" s="0" t="str">
        <f aca="false">IF(A214="","",IF(AND(I214=SUMIFS('DETAIL TRANSAKSI'!$H$5:$H$504,'DETAIL TRANSAKSI'!$A$5:$A$504,A214),J214=SUMIFS('DETAIL TRANSAKSI'!$I$5:$I$504,'DETAIL TRANSAKSI'!$A$5:$A$504,A214)),"OK","CEK ALOKASI"))</f>
        <v/>
      </c>
    </row>
    <row r="215" customFormat="false" ht="15" hidden="false" customHeight="false" outlineLevel="0" collapsed="false">
      <c r="H215" s="0" t="str">
        <f aca="false">IF(A215="","",SUMIFS('DETAIL TRANSAKSI'!$G$5:$G$504,'DETAIL TRANSAKSI'!$A$5:$A$504,A215))</f>
        <v/>
      </c>
      <c r="J215" s="0" t="str">
        <f aca="false">IF(A215="","",SUMIFS('REFUND DAN PEMBATALAN'!$E$5:$E$504,'REFUND DAN PEMBATALAN'!$B$5:$B$504,A215,'REFUND DAN PEMBATALAN'!$I$5:$I$504,"Berhasil"))</f>
        <v/>
      </c>
      <c r="K215" s="0" t="str">
        <f aca="false">IF(A215="","",H215-I215-J215)</f>
        <v/>
      </c>
      <c r="O215" s="0" t="str">
        <f aca="false">IF(A215="","",IF(AND(I215=SUMIFS('DETAIL TRANSAKSI'!$H$5:$H$504,'DETAIL TRANSAKSI'!$A$5:$A$504,A215),J215=SUMIFS('DETAIL TRANSAKSI'!$I$5:$I$504,'DETAIL TRANSAKSI'!$A$5:$A$504,A215)),"OK","CEK ALOKASI"))</f>
        <v/>
      </c>
    </row>
    <row r="216" customFormat="false" ht="15" hidden="false" customHeight="false" outlineLevel="0" collapsed="false">
      <c r="H216" s="0" t="str">
        <f aca="false">IF(A216="","",SUMIFS('DETAIL TRANSAKSI'!$G$5:$G$504,'DETAIL TRANSAKSI'!$A$5:$A$504,A216))</f>
        <v/>
      </c>
      <c r="J216" s="0" t="str">
        <f aca="false">IF(A216="","",SUMIFS('REFUND DAN PEMBATALAN'!$E$5:$E$504,'REFUND DAN PEMBATALAN'!$B$5:$B$504,A216,'REFUND DAN PEMBATALAN'!$I$5:$I$504,"Berhasil"))</f>
        <v/>
      </c>
      <c r="K216" s="0" t="str">
        <f aca="false">IF(A216="","",H216-I216-J216)</f>
        <v/>
      </c>
      <c r="O216" s="0" t="str">
        <f aca="false">IF(A216="","",IF(AND(I216=SUMIFS('DETAIL TRANSAKSI'!$H$5:$H$504,'DETAIL TRANSAKSI'!$A$5:$A$504,A216),J216=SUMIFS('DETAIL TRANSAKSI'!$I$5:$I$504,'DETAIL TRANSAKSI'!$A$5:$A$504,A216)),"OK","CEK ALOKASI"))</f>
        <v/>
      </c>
    </row>
    <row r="217" customFormat="false" ht="15" hidden="false" customHeight="false" outlineLevel="0" collapsed="false">
      <c r="H217" s="0" t="str">
        <f aca="false">IF(A217="","",SUMIFS('DETAIL TRANSAKSI'!$G$5:$G$504,'DETAIL TRANSAKSI'!$A$5:$A$504,A217))</f>
        <v/>
      </c>
      <c r="J217" s="0" t="str">
        <f aca="false">IF(A217="","",SUMIFS('REFUND DAN PEMBATALAN'!$E$5:$E$504,'REFUND DAN PEMBATALAN'!$B$5:$B$504,A217,'REFUND DAN PEMBATALAN'!$I$5:$I$504,"Berhasil"))</f>
        <v/>
      </c>
      <c r="K217" s="0" t="str">
        <f aca="false">IF(A217="","",H217-I217-J217)</f>
        <v/>
      </c>
      <c r="O217" s="0" t="str">
        <f aca="false">IF(A217="","",IF(AND(I217=SUMIFS('DETAIL TRANSAKSI'!$H$5:$H$504,'DETAIL TRANSAKSI'!$A$5:$A$504,A217),J217=SUMIFS('DETAIL TRANSAKSI'!$I$5:$I$504,'DETAIL TRANSAKSI'!$A$5:$A$504,A217)),"OK","CEK ALOKASI"))</f>
        <v/>
      </c>
    </row>
    <row r="218" customFormat="false" ht="15" hidden="false" customHeight="false" outlineLevel="0" collapsed="false">
      <c r="H218" s="0" t="str">
        <f aca="false">IF(A218="","",SUMIFS('DETAIL TRANSAKSI'!$G$5:$G$504,'DETAIL TRANSAKSI'!$A$5:$A$504,A218))</f>
        <v/>
      </c>
      <c r="J218" s="0" t="str">
        <f aca="false">IF(A218="","",SUMIFS('REFUND DAN PEMBATALAN'!$E$5:$E$504,'REFUND DAN PEMBATALAN'!$B$5:$B$504,A218,'REFUND DAN PEMBATALAN'!$I$5:$I$504,"Berhasil"))</f>
        <v/>
      </c>
      <c r="K218" s="0" t="str">
        <f aca="false">IF(A218="","",H218-I218-J218)</f>
        <v/>
      </c>
      <c r="O218" s="0" t="str">
        <f aca="false">IF(A218="","",IF(AND(I218=SUMIFS('DETAIL TRANSAKSI'!$H$5:$H$504,'DETAIL TRANSAKSI'!$A$5:$A$504,A218),J218=SUMIFS('DETAIL TRANSAKSI'!$I$5:$I$504,'DETAIL TRANSAKSI'!$A$5:$A$504,A218)),"OK","CEK ALOKASI"))</f>
        <v/>
      </c>
    </row>
    <row r="219" customFormat="false" ht="15" hidden="false" customHeight="false" outlineLevel="0" collapsed="false">
      <c r="H219" s="0" t="str">
        <f aca="false">IF(A219="","",SUMIFS('DETAIL TRANSAKSI'!$G$5:$G$504,'DETAIL TRANSAKSI'!$A$5:$A$504,A219))</f>
        <v/>
      </c>
      <c r="J219" s="0" t="str">
        <f aca="false">IF(A219="","",SUMIFS('REFUND DAN PEMBATALAN'!$E$5:$E$504,'REFUND DAN PEMBATALAN'!$B$5:$B$504,A219,'REFUND DAN PEMBATALAN'!$I$5:$I$504,"Berhasil"))</f>
        <v/>
      </c>
      <c r="K219" s="0" t="str">
        <f aca="false">IF(A219="","",H219-I219-J219)</f>
        <v/>
      </c>
      <c r="O219" s="0" t="str">
        <f aca="false">IF(A219="","",IF(AND(I219=SUMIFS('DETAIL TRANSAKSI'!$H$5:$H$504,'DETAIL TRANSAKSI'!$A$5:$A$504,A219),J219=SUMIFS('DETAIL TRANSAKSI'!$I$5:$I$504,'DETAIL TRANSAKSI'!$A$5:$A$504,A219)),"OK","CEK ALOKASI"))</f>
        <v/>
      </c>
    </row>
    <row r="220" customFormat="false" ht="15" hidden="false" customHeight="false" outlineLevel="0" collapsed="false">
      <c r="H220" s="0" t="str">
        <f aca="false">IF(A220="","",SUMIFS('DETAIL TRANSAKSI'!$G$5:$G$504,'DETAIL TRANSAKSI'!$A$5:$A$504,A220))</f>
        <v/>
      </c>
      <c r="J220" s="0" t="str">
        <f aca="false">IF(A220="","",SUMIFS('REFUND DAN PEMBATALAN'!$E$5:$E$504,'REFUND DAN PEMBATALAN'!$B$5:$B$504,A220,'REFUND DAN PEMBATALAN'!$I$5:$I$504,"Berhasil"))</f>
        <v/>
      </c>
      <c r="K220" s="0" t="str">
        <f aca="false">IF(A220="","",H220-I220-J220)</f>
        <v/>
      </c>
      <c r="O220" s="0" t="str">
        <f aca="false">IF(A220="","",IF(AND(I220=SUMIFS('DETAIL TRANSAKSI'!$H$5:$H$504,'DETAIL TRANSAKSI'!$A$5:$A$504,A220),J220=SUMIFS('DETAIL TRANSAKSI'!$I$5:$I$504,'DETAIL TRANSAKSI'!$A$5:$A$504,A220)),"OK","CEK ALOKASI"))</f>
        <v/>
      </c>
    </row>
    <row r="221" customFormat="false" ht="15" hidden="false" customHeight="false" outlineLevel="0" collapsed="false">
      <c r="H221" s="0" t="str">
        <f aca="false">IF(A221="","",SUMIFS('DETAIL TRANSAKSI'!$G$5:$G$504,'DETAIL TRANSAKSI'!$A$5:$A$504,A221))</f>
        <v/>
      </c>
      <c r="J221" s="0" t="str">
        <f aca="false">IF(A221="","",SUMIFS('REFUND DAN PEMBATALAN'!$E$5:$E$504,'REFUND DAN PEMBATALAN'!$B$5:$B$504,A221,'REFUND DAN PEMBATALAN'!$I$5:$I$504,"Berhasil"))</f>
        <v/>
      </c>
      <c r="K221" s="0" t="str">
        <f aca="false">IF(A221="","",H221-I221-J221)</f>
        <v/>
      </c>
      <c r="O221" s="0" t="str">
        <f aca="false">IF(A221="","",IF(AND(I221=SUMIFS('DETAIL TRANSAKSI'!$H$5:$H$504,'DETAIL TRANSAKSI'!$A$5:$A$504,A221),J221=SUMIFS('DETAIL TRANSAKSI'!$I$5:$I$504,'DETAIL TRANSAKSI'!$A$5:$A$504,A221)),"OK","CEK ALOKASI"))</f>
        <v/>
      </c>
    </row>
    <row r="222" customFormat="false" ht="15" hidden="false" customHeight="false" outlineLevel="0" collapsed="false">
      <c r="H222" s="0" t="str">
        <f aca="false">IF(A222="","",SUMIFS('DETAIL TRANSAKSI'!$G$5:$G$504,'DETAIL TRANSAKSI'!$A$5:$A$504,A222))</f>
        <v/>
      </c>
      <c r="J222" s="0" t="str">
        <f aca="false">IF(A222="","",SUMIFS('REFUND DAN PEMBATALAN'!$E$5:$E$504,'REFUND DAN PEMBATALAN'!$B$5:$B$504,A222,'REFUND DAN PEMBATALAN'!$I$5:$I$504,"Berhasil"))</f>
        <v/>
      </c>
      <c r="K222" s="0" t="str">
        <f aca="false">IF(A222="","",H222-I222-J222)</f>
        <v/>
      </c>
      <c r="O222" s="0" t="str">
        <f aca="false">IF(A222="","",IF(AND(I222=SUMIFS('DETAIL TRANSAKSI'!$H$5:$H$504,'DETAIL TRANSAKSI'!$A$5:$A$504,A222),J222=SUMIFS('DETAIL TRANSAKSI'!$I$5:$I$504,'DETAIL TRANSAKSI'!$A$5:$A$504,A222)),"OK","CEK ALOKASI"))</f>
        <v/>
      </c>
    </row>
    <row r="223" customFormat="false" ht="15" hidden="false" customHeight="false" outlineLevel="0" collapsed="false">
      <c r="H223" s="0" t="str">
        <f aca="false">IF(A223="","",SUMIFS('DETAIL TRANSAKSI'!$G$5:$G$504,'DETAIL TRANSAKSI'!$A$5:$A$504,A223))</f>
        <v/>
      </c>
      <c r="J223" s="0" t="str">
        <f aca="false">IF(A223="","",SUMIFS('REFUND DAN PEMBATALAN'!$E$5:$E$504,'REFUND DAN PEMBATALAN'!$B$5:$B$504,A223,'REFUND DAN PEMBATALAN'!$I$5:$I$504,"Berhasil"))</f>
        <v/>
      </c>
      <c r="K223" s="0" t="str">
        <f aca="false">IF(A223="","",H223-I223-J223)</f>
        <v/>
      </c>
      <c r="O223" s="0" t="str">
        <f aca="false">IF(A223="","",IF(AND(I223=SUMIFS('DETAIL TRANSAKSI'!$H$5:$H$504,'DETAIL TRANSAKSI'!$A$5:$A$504,A223),J223=SUMIFS('DETAIL TRANSAKSI'!$I$5:$I$504,'DETAIL TRANSAKSI'!$A$5:$A$504,A223)),"OK","CEK ALOKASI"))</f>
        <v/>
      </c>
    </row>
    <row r="224" customFormat="false" ht="15" hidden="false" customHeight="false" outlineLevel="0" collapsed="false">
      <c r="H224" s="0" t="str">
        <f aca="false">IF(A224="","",SUMIFS('DETAIL TRANSAKSI'!$G$5:$G$504,'DETAIL TRANSAKSI'!$A$5:$A$504,A224))</f>
        <v/>
      </c>
      <c r="J224" s="0" t="str">
        <f aca="false">IF(A224="","",SUMIFS('REFUND DAN PEMBATALAN'!$E$5:$E$504,'REFUND DAN PEMBATALAN'!$B$5:$B$504,A224,'REFUND DAN PEMBATALAN'!$I$5:$I$504,"Berhasil"))</f>
        <v/>
      </c>
      <c r="K224" s="0" t="str">
        <f aca="false">IF(A224="","",H224-I224-J224)</f>
        <v/>
      </c>
      <c r="O224" s="0" t="str">
        <f aca="false">IF(A224="","",IF(AND(I224=SUMIFS('DETAIL TRANSAKSI'!$H$5:$H$504,'DETAIL TRANSAKSI'!$A$5:$A$504,A224),J224=SUMIFS('DETAIL TRANSAKSI'!$I$5:$I$504,'DETAIL TRANSAKSI'!$A$5:$A$504,A224)),"OK","CEK ALOKASI"))</f>
        <v/>
      </c>
    </row>
    <row r="225" customFormat="false" ht="15" hidden="false" customHeight="false" outlineLevel="0" collapsed="false">
      <c r="H225" s="0" t="str">
        <f aca="false">IF(A225="","",SUMIFS('DETAIL TRANSAKSI'!$G$5:$G$504,'DETAIL TRANSAKSI'!$A$5:$A$504,A225))</f>
        <v/>
      </c>
      <c r="J225" s="0" t="str">
        <f aca="false">IF(A225="","",SUMIFS('REFUND DAN PEMBATALAN'!$E$5:$E$504,'REFUND DAN PEMBATALAN'!$B$5:$B$504,A225,'REFUND DAN PEMBATALAN'!$I$5:$I$504,"Berhasil"))</f>
        <v/>
      </c>
      <c r="K225" s="0" t="str">
        <f aca="false">IF(A225="","",H225-I225-J225)</f>
        <v/>
      </c>
      <c r="O225" s="0" t="str">
        <f aca="false">IF(A225="","",IF(AND(I225=SUMIFS('DETAIL TRANSAKSI'!$H$5:$H$504,'DETAIL TRANSAKSI'!$A$5:$A$504,A225),J225=SUMIFS('DETAIL TRANSAKSI'!$I$5:$I$504,'DETAIL TRANSAKSI'!$A$5:$A$504,A225)),"OK","CEK ALOKASI"))</f>
        <v/>
      </c>
    </row>
    <row r="226" customFormat="false" ht="15" hidden="false" customHeight="false" outlineLevel="0" collapsed="false">
      <c r="H226" s="0" t="str">
        <f aca="false">IF(A226="","",SUMIFS('DETAIL TRANSAKSI'!$G$5:$G$504,'DETAIL TRANSAKSI'!$A$5:$A$504,A226))</f>
        <v/>
      </c>
      <c r="J226" s="0" t="str">
        <f aca="false">IF(A226="","",SUMIFS('REFUND DAN PEMBATALAN'!$E$5:$E$504,'REFUND DAN PEMBATALAN'!$B$5:$B$504,A226,'REFUND DAN PEMBATALAN'!$I$5:$I$504,"Berhasil"))</f>
        <v/>
      </c>
      <c r="K226" s="0" t="str">
        <f aca="false">IF(A226="","",H226-I226-J226)</f>
        <v/>
      </c>
      <c r="O226" s="0" t="str">
        <f aca="false">IF(A226="","",IF(AND(I226=SUMIFS('DETAIL TRANSAKSI'!$H$5:$H$504,'DETAIL TRANSAKSI'!$A$5:$A$504,A226),J226=SUMIFS('DETAIL TRANSAKSI'!$I$5:$I$504,'DETAIL TRANSAKSI'!$A$5:$A$504,A226)),"OK","CEK ALOKASI"))</f>
        <v/>
      </c>
    </row>
    <row r="227" customFormat="false" ht="15" hidden="false" customHeight="false" outlineLevel="0" collapsed="false">
      <c r="H227" s="0" t="str">
        <f aca="false">IF(A227="","",SUMIFS('DETAIL TRANSAKSI'!$G$5:$G$504,'DETAIL TRANSAKSI'!$A$5:$A$504,A227))</f>
        <v/>
      </c>
      <c r="J227" s="0" t="str">
        <f aca="false">IF(A227="","",SUMIFS('REFUND DAN PEMBATALAN'!$E$5:$E$504,'REFUND DAN PEMBATALAN'!$B$5:$B$504,A227,'REFUND DAN PEMBATALAN'!$I$5:$I$504,"Berhasil"))</f>
        <v/>
      </c>
      <c r="K227" s="0" t="str">
        <f aca="false">IF(A227="","",H227-I227-J227)</f>
        <v/>
      </c>
      <c r="O227" s="0" t="str">
        <f aca="false">IF(A227="","",IF(AND(I227=SUMIFS('DETAIL TRANSAKSI'!$H$5:$H$504,'DETAIL TRANSAKSI'!$A$5:$A$504,A227),J227=SUMIFS('DETAIL TRANSAKSI'!$I$5:$I$504,'DETAIL TRANSAKSI'!$A$5:$A$504,A227)),"OK","CEK ALOKASI"))</f>
        <v/>
      </c>
    </row>
    <row r="228" customFormat="false" ht="15" hidden="false" customHeight="false" outlineLevel="0" collapsed="false">
      <c r="H228" s="0" t="str">
        <f aca="false">IF(A228="","",SUMIFS('DETAIL TRANSAKSI'!$G$5:$G$504,'DETAIL TRANSAKSI'!$A$5:$A$504,A228))</f>
        <v/>
      </c>
      <c r="J228" s="0" t="str">
        <f aca="false">IF(A228="","",SUMIFS('REFUND DAN PEMBATALAN'!$E$5:$E$504,'REFUND DAN PEMBATALAN'!$B$5:$B$504,A228,'REFUND DAN PEMBATALAN'!$I$5:$I$504,"Berhasil"))</f>
        <v/>
      </c>
      <c r="K228" s="0" t="str">
        <f aca="false">IF(A228="","",H228-I228-J228)</f>
        <v/>
      </c>
      <c r="O228" s="0" t="str">
        <f aca="false">IF(A228="","",IF(AND(I228=SUMIFS('DETAIL TRANSAKSI'!$H$5:$H$504,'DETAIL TRANSAKSI'!$A$5:$A$504,A228),J228=SUMIFS('DETAIL TRANSAKSI'!$I$5:$I$504,'DETAIL TRANSAKSI'!$A$5:$A$504,A228)),"OK","CEK ALOKASI"))</f>
        <v/>
      </c>
    </row>
    <row r="229" customFormat="false" ht="15" hidden="false" customHeight="false" outlineLevel="0" collapsed="false">
      <c r="H229" s="0" t="str">
        <f aca="false">IF(A229="","",SUMIFS('DETAIL TRANSAKSI'!$G$5:$G$504,'DETAIL TRANSAKSI'!$A$5:$A$504,A229))</f>
        <v/>
      </c>
      <c r="J229" s="0" t="str">
        <f aca="false">IF(A229="","",SUMIFS('REFUND DAN PEMBATALAN'!$E$5:$E$504,'REFUND DAN PEMBATALAN'!$B$5:$B$504,A229,'REFUND DAN PEMBATALAN'!$I$5:$I$504,"Berhasil"))</f>
        <v/>
      </c>
      <c r="K229" s="0" t="str">
        <f aca="false">IF(A229="","",H229-I229-J229)</f>
        <v/>
      </c>
      <c r="O229" s="0" t="str">
        <f aca="false">IF(A229="","",IF(AND(I229=SUMIFS('DETAIL TRANSAKSI'!$H$5:$H$504,'DETAIL TRANSAKSI'!$A$5:$A$504,A229),J229=SUMIFS('DETAIL TRANSAKSI'!$I$5:$I$504,'DETAIL TRANSAKSI'!$A$5:$A$504,A229)),"OK","CEK ALOKASI"))</f>
        <v/>
      </c>
    </row>
    <row r="230" customFormat="false" ht="15" hidden="false" customHeight="false" outlineLevel="0" collapsed="false">
      <c r="H230" s="0" t="str">
        <f aca="false">IF(A230="","",SUMIFS('DETAIL TRANSAKSI'!$G$5:$G$504,'DETAIL TRANSAKSI'!$A$5:$A$504,A230))</f>
        <v/>
      </c>
      <c r="J230" s="0" t="str">
        <f aca="false">IF(A230="","",SUMIFS('REFUND DAN PEMBATALAN'!$E$5:$E$504,'REFUND DAN PEMBATALAN'!$B$5:$B$504,A230,'REFUND DAN PEMBATALAN'!$I$5:$I$504,"Berhasil"))</f>
        <v/>
      </c>
      <c r="K230" s="0" t="str">
        <f aca="false">IF(A230="","",H230-I230-J230)</f>
        <v/>
      </c>
      <c r="O230" s="0" t="str">
        <f aca="false">IF(A230="","",IF(AND(I230=SUMIFS('DETAIL TRANSAKSI'!$H$5:$H$504,'DETAIL TRANSAKSI'!$A$5:$A$504,A230),J230=SUMIFS('DETAIL TRANSAKSI'!$I$5:$I$504,'DETAIL TRANSAKSI'!$A$5:$A$504,A230)),"OK","CEK ALOKASI"))</f>
        <v/>
      </c>
    </row>
    <row r="231" customFormat="false" ht="15" hidden="false" customHeight="false" outlineLevel="0" collapsed="false">
      <c r="H231" s="0" t="str">
        <f aca="false">IF(A231="","",SUMIFS('DETAIL TRANSAKSI'!$G$5:$G$504,'DETAIL TRANSAKSI'!$A$5:$A$504,A231))</f>
        <v/>
      </c>
      <c r="J231" s="0" t="str">
        <f aca="false">IF(A231="","",SUMIFS('REFUND DAN PEMBATALAN'!$E$5:$E$504,'REFUND DAN PEMBATALAN'!$B$5:$B$504,A231,'REFUND DAN PEMBATALAN'!$I$5:$I$504,"Berhasil"))</f>
        <v/>
      </c>
      <c r="K231" s="0" t="str">
        <f aca="false">IF(A231="","",H231-I231-J231)</f>
        <v/>
      </c>
      <c r="O231" s="0" t="str">
        <f aca="false">IF(A231="","",IF(AND(I231=SUMIFS('DETAIL TRANSAKSI'!$H$5:$H$504,'DETAIL TRANSAKSI'!$A$5:$A$504,A231),J231=SUMIFS('DETAIL TRANSAKSI'!$I$5:$I$504,'DETAIL TRANSAKSI'!$A$5:$A$504,A231)),"OK","CEK ALOKASI"))</f>
        <v/>
      </c>
    </row>
    <row r="232" customFormat="false" ht="15" hidden="false" customHeight="false" outlineLevel="0" collapsed="false">
      <c r="H232" s="0" t="str">
        <f aca="false">IF(A232="","",SUMIFS('DETAIL TRANSAKSI'!$G$5:$G$504,'DETAIL TRANSAKSI'!$A$5:$A$504,A232))</f>
        <v/>
      </c>
      <c r="J232" s="0" t="str">
        <f aca="false">IF(A232="","",SUMIFS('REFUND DAN PEMBATALAN'!$E$5:$E$504,'REFUND DAN PEMBATALAN'!$B$5:$B$504,A232,'REFUND DAN PEMBATALAN'!$I$5:$I$504,"Berhasil"))</f>
        <v/>
      </c>
      <c r="K232" s="0" t="str">
        <f aca="false">IF(A232="","",H232-I232-J232)</f>
        <v/>
      </c>
      <c r="O232" s="0" t="str">
        <f aca="false">IF(A232="","",IF(AND(I232=SUMIFS('DETAIL TRANSAKSI'!$H$5:$H$504,'DETAIL TRANSAKSI'!$A$5:$A$504,A232),J232=SUMIFS('DETAIL TRANSAKSI'!$I$5:$I$504,'DETAIL TRANSAKSI'!$A$5:$A$504,A232)),"OK","CEK ALOKASI"))</f>
        <v/>
      </c>
    </row>
    <row r="233" customFormat="false" ht="15" hidden="false" customHeight="false" outlineLevel="0" collapsed="false">
      <c r="H233" s="0" t="str">
        <f aca="false">IF(A233="","",SUMIFS('DETAIL TRANSAKSI'!$G$5:$G$504,'DETAIL TRANSAKSI'!$A$5:$A$504,A233))</f>
        <v/>
      </c>
      <c r="J233" s="0" t="str">
        <f aca="false">IF(A233="","",SUMIFS('REFUND DAN PEMBATALAN'!$E$5:$E$504,'REFUND DAN PEMBATALAN'!$B$5:$B$504,A233,'REFUND DAN PEMBATALAN'!$I$5:$I$504,"Berhasil"))</f>
        <v/>
      </c>
      <c r="K233" s="0" t="str">
        <f aca="false">IF(A233="","",H233-I233-J233)</f>
        <v/>
      </c>
      <c r="O233" s="0" t="str">
        <f aca="false">IF(A233="","",IF(AND(I233=SUMIFS('DETAIL TRANSAKSI'!$H$5:$H$504,'DETAIL TRANSAKSI'!$A$5:$A$504,A233),J233=SUMIFS('DETAIL TRANSAKSI'!$I$5:$I$504,'DETAIL TRANSAKSI'!$A$5:$A$504,A233)),"OK","CEK ALOKASI"))</f>
        <v/>
      </c>
    </row>
    <row r="234" customFormat="false" ht="15" hidden="false" customHeight="false" outlineLevel="0" collapsed="false">
      <c r="H234" s="0" t="str">
        <f aca="false">IF(A234="","",SUMIFS('DETAIL TRANSAKSI'!$G$5:$G$504,'DETAIL TRANSAKSI'!$A$5:$A$504,A234))</f>
        <v/>
      </c>
      <c r="J234" s="0" t="str">
        <f aca="false">IF(A234="","",SUMIFS('REFUND DAN PEMBATALAN'!$E$5:$E$504,'REFUND DAN PEMBATALAN'!$B$5:$B$504,A234,'REFUND DAN PEMBATALAN'!$I$5:$I$504,"Berhasil"))</f>
        <v/>
      </c>
      <c r="K234" s="0" t="str">
        <f aca="false">IF(A234="","",H234-I234-J234)</f>
        <v/>
      </c>
      <c r="O234" s="0" t="str">
        <f aca="false">IF(A234="","",IF(AND(I234=SUMIFS('DETAIL TRANSAKSI'!$H$5:$H$504,'DETAIL TRANSAKSI'!$A$5:$A$504,A234),J234=SUMIFS('DETAIL TRANSAKSI'!$I$5:$I$504,'DETAIL TRANSAKSI'!$A$5:$A$504,A234)),"OK","CEK ALOKASI"))</f>
        <v/>
      </c>
    </row>
    <row r="235" customFormat="false" ht="15" hidden="false" customHeight="false" outlineLevel="0" collapsed="false">
      <c r="H235" s="0" t="str">
        <f aca="false">IF(A235="","",SUMIFS('DETAIL TRANSAKSI'!$G$5:$G$504,'DETAIL TRANSAKSI'!$A$5:$A$504,A235))</f>
        <v/>
      </c>
      <c r="J235" s="0" t="str">
        <f aca="false">IF(A235="","",SUMIFS('REFUND DAN PEMBATALAN'!$E$5:$E$504,'REFUND DAN PEMBATALAN'!$B$5:$B$504,A235,'REFUND DAN PEMBATALAN'!$I$5:$I$504,"Berhasil"))</f>
        <v/>
      </c>
      <c r="K235" s="0" t="str">
        <f aca="false">IF(A235="","",H235-I235-J235)</f>
        <v/>
      </c>
      <c r="O235" s="0" t="str">
        <f aca="false">IF(A235="","",IF(AND(I235=SUMIFS('DETAIL TRANSAKSI'!$H$5:$H$504,'DETAIL TRANSAKSI'!$A$5:$A$504,A235),J235=SUMIFS('DETAIL TRANSAKSI'!$I$5:$I$504,'DETAIL TRANSAKSI'!$A$5:$A$504,A235)),"OK","CEK ALOKASI"))</f>
        <v/>
      </c>
    </row>
    <row r="236" customFormat="false" ht="15" hidden="false" customHeight="false" outlineLevel="0" collapsed="false">
      <c r="H236" s="0" t="str">
        <f aca="false">IF(A236="","",SUMIFS('DETAIL TRANSAKSI'!$G$5:$G$504,'DETAIL TRANSAKSI'!$A$5:$A$504,A236))</f>
        <v/>
      </c>
      <c r="J236" s="0" t="str">
        <f aca="false">IF(A236="","",SUMIFS('REFUND DAN PEMBATALAN'!$E$5:$E$504,'REFUND DAN PEMBATALAN'!$B$5:$B$504,A236,'REFUND DAN PEMBATALAN'!$I$5:$I$504,"Berhasil"))</f>
        <v/>
      </c>
      <c r="K236" s="0" t="str">
        <f aca="false">IF(A236="","",H236-I236-J236)</f>
        <v/>
      </c>
      <c r="O236" s="0" t="str">
        <f aca="false">IF(A236="","",IF(AND(I236=SUMIFS('DETAIL TRANSAKSI'!$H$5:$H$504,'DETAIL TRANSAKSI'!$A$5:$A$504,A236),J236=SUMIFS('DETAIL TRANSAKSI'!$I$5:$I$504,'DETAIL TRANSAKSI'!$A$5:$A$504,A236)),"OK","CEK ALOKASI"))</f>
        <v/>
      </c>
    </row>
    <row r="237" customFormat="false" ht="15" hidden="false" customHeight="false" outlineLevel="0" collapsed="false">
      <c r="H237" s="0" t="str">
        <f aca="false">IF(A237="","",SUMIFS('DETAIL TRANSAKSI'!$G$5:$G$504,'DETAIL TRANSAKSI'!$A$5:$A$504,A237))</f>
        <v/>
      </c>
      <c r="J237" s="0" t="str">
        <f aca="false">IF(A237="","",SUMIFS('REFUND DAN PEMBATALAN'!$E$5:$E$504,'REFUND DAN PEMBATALAN'!$B$5:$B$504,A237,'REFUND DAN PEMBATALAN'!$I$5:$I$504,"Berhasil"))</f>
        <v/>
      </c>
      <c r="K237" s="0" t="str">
        <f aca="false">IF(A237="","",H237-I237-J237)</f>
        <v/>
      </c>
      <c r="O237" s="0" t="str">
        <f aca="false">IF(A237="","",IF(AND(I237=SUMIFS('DETAIL TRANSAKSI'!$H$5:$H$504,'DETAIL TRANSAKSI'!$A$5:$A$504,A237),J237=SUMIFS('DETAIL TRANSAKSI'!$I$5:$I$504,'DETAIL TRANSAKSI'!$A$5:$A$504,A237)),"OK","CEK ALOKASI"))</f>
        <v/>
      </c>
    </row>
    <row r="238" customFormat="false" ht="15" hidden="false" customHeight="false" outlineLevel="0" collapsed="false">
      <c r="H238" s="0" t="str">
        <f aca="false">IF(A238="","",SUMIFS('DETAIL TRANSAKSI'!$G$5:$G$504,'DETAIL TRANSAKSI'!$A$5:$A$504,A238))</f>
        <v/>
      </c>
      <c r="J238" s="0" t="str">
        <f aca="false">IF(A238="","",SUMIFS('REFUND DAN PEMBATALAN'!$E$5:$E$504,'REFUND DAN PEMBATALAN'!$B$5:$B$504,A238,'REFUND DAN PEMBATALAN'!$I$5:$I$504,"Berhasil"))</f>
        <v/>
      </c>
      <c r="K238" s="0" t="str">
        <f aca="false">IF(A238="","",H238-I238-J238)</f>
        <v/>
      </c>
      <c r="O238" s="0" t="str">
        <f aca="false">IF(A238="","",IF(AND(I238=SUMIFS('DETAIL TRANSAKSI'!$H$5:$H$504,'DETAIL TRANSAKSI'!$A$5:$A$504,A238),J238=SUMIFS('DETAIL TRANSAKSI'!$I$5:$I$504,'DETAIL TRANSAKSI'!$A$5:$A$504,A238)),"OK","CEK ALOKASI"))</f>
        <v/>
      </c>
    </row>
    <row r="239" customFormat="false" ht="15" hidden="false" customHeight="false" outlineLevel="0" collapsed="false">
      <c r="H239" s="0" t="str">
        <f aca="false">IF(A239="","",SUMIFS('DETAIL TRANSAKSI'!$G$5:$G$504,'DETAIL TRANSAKSI'!$A$5:$A$504,A239))</f>
        <v/>
      </c>
      <c r="J239" s="0" t="str">
        <f aca="false">IF(A239="","",SUMIFS('REFUND DAN PEMBATALAN'!$E$5:$E$504,'REFUND DAN PEMBATALAN'!$B$5:$B$504,A239,'REFUND DAN PEMBATALAN'!$I$5:$I$504,"Berhasil"))</f>
        <v/>
      </c>
      <c r="K239" s="0" t="str">
        <f aca="false">IF(A239="","",H239-I239-J239)</f>
        <v/>
      </c>
      <c r="O239" s="0" t="str">
        <f aca="false">IF(A239="","",IF(AND(I239=SUMIFS('DETAIL TRANSAKSI'!$H$5:$H$504,'DETAIL TRANSAKSI'!$A$5:$A$504,A239),J239=SUMIFS('DETAIL TRANSAKSI'!$I$5:$I$504,'DETAIL TRANSAKSI'!$A$5:$A$504,A239)),"OK","CEK ALOKASI"))</f>
        <v/>
      </c>
    </row>
    <row r="240" customFormat="false" ht="15" hidden="false" customHeight="false" outlineLevel="0" collapsed="false">
      <c r="H240" s="0" t="str">
        <f aca="false">IF(A240="","",SUMIFS('DETAIL TRANSAKSI'!$G$5:$G$504,'DETAIL TRANSAKSI'!$A$5:$A$504,A240))</f>
        <v/>
      </c>
      <c r="J240" s="0" t="str">
        <f aca="false">IF(A240="","",SUMIFS('REFUND DAN PEMBATALAN'!$E$5:$E$504,'REFUND DAN PEMBATALAN'!$B$5:$B$504,A240,'REFUND DAN PEMBATALAN'!$I$5:$I$504,"Berhasil"))</f>
        <v/>
      </c>
      <c r="K240" s="0" t="str">
        <f aca="false">IF(A240="","",H240-I240-J240)</f>
        <v/>
      </c>
      <c r="O240" s="0" t="str">
        <f aca="false">IF(A240="","",IF(AND(I240=SUMIFS('DETAIL TRANSAKSI'!$H$5:$H$504,'DETAIL TRANSAKSI'!$A$5:$A$504,A240),J240=SUMIFS('DETAIL TRANSAKSI'!$I$5:$I$504,'DETAIL TRANSAKSI'!$A$5:$A$504,A240)),"OK","CEK ALOKASI"))</f>
        <v/>
      </c>
    </row>
    <row r="241" customFormat="false" ht="15" hidden="false" customHeight="false" outlineLevel="0" collapsed="false">
      <c r="H241" s="0" t="str">
        <f aca="false">IF(A241="","",SUMIFS('DETAIL TRANSAKSI'!$G$5:$G$504,'DETAIL TRANSAKSI'!$A$5:$A$504,A241))</f>
        <v/>
      </c>
      <c r="J241" s="0" t="str">
        <f aca="false">IF(A241="","",SUMIFS('REFUND DAN PEMBATALAN'!$E$5:$E$504,'REFUND DAN PEMBATALAN'!$B$5:$B$504,A241,'REFUND DAN PEMBATALAN'!$I$5:$I$504,"Berhasil"))</f>
        <v/>
      </c>
      <c r="K241" s="0" t="str">
        <f aca="false">IF(A241="","",H241-I241-J241)</f>
        <v/>
      </c>
      <c r="O241" s="0" t="str">
        <f aca="false">IF(A241="","",IF(AND(I241=SUMIFS('DETAIL TRANSAKSI'!$H$5:$H$504,'DETAIL TRANSAKSI'!$A$5:$A$504,A241),J241=SUMIFS('DETAIL TRANSAKSI'!$I$5:$I$504,'DETAIL TRANSAKSI'!$A$5:$A$504,A241)),"OK","CEK ALOKASI"))</f>
        <v/>
      </c>
    </row>
    <row r="242" customFormat="false" ht="15" hidden="false" customHeight="false" outlineLevel="0" collapsed="false">
      <c r="H242" s="0" t="str">
        <f aca="false">IF(A242="","",SUMIFS('DETAIL TRANSAKSI'!$G$5:$G$504,'DETAIL TRANSAKSI'!$A$5:$A$504,A242))</f>
        <v/>
      </c>
      <c r="J242" s="0" t="str">
        <f aca="false">IF(A242="","",SUMIFS('REFUND DAN PEMBATALAN'!$E$5:$E$504,'REFUND DAN PEMBATALAN'!$B$5:$B$504,A242,'REFUND DAN PEMBATALAN'!$I$5:$I$504,"Berhasil"))</f>
        <v/>
      </c>
      <c r="K242" s="0" t="str">
        <f aca="false">IF(A242="","",H242-I242-J242)</f>
        <v/>
      </c>
      <c r="O242" s="0" t="str">
        <f aca="false">IF(A242="","",IF(AND(I242=SUMIFS('DETAIL TRANSAKSI'!$H$5:$H$504,'DETAIL TRANSAKSI'!$A$5:$A$504,A242),J242=SUMIFS('DETAIL TRANSAKSI'!$I$5:$I$504,'DETAIL TRANSAKSI'!$A$5:$A$504,A242)),"OK","CEK ALOKASI"))</f>
        <v/>
      </c>
    </row>
    <row r="243" customFormat="false" ht="15" hidden="false" customHeight="false" outlineLevel="0" collapsed="false">
      <c r="H243" s="0" t="str">
        <f aca="false">IF(A243="","",SUMIFS('DETAIL TRANSAKSI'!$G$5:$G$504,'DETAIL TRANSAKSI'!$A$5:$A$504,A243))</f>
        <v/>
      </c>
      <c r="J243" s="0" t="str">
        <f aca="false">IF(A243="","",SUMIFS('REFUND DAN PEMBATALAN'!$E$5:$E$504,'REFUND DAN PEMBATALAN'!$B$5:$B$504,A243,'REFUND DAN PEMBATALAN'!$I$5:$I$504,"Berhasil"))</f>
        <v/>
      </c>
      <c r="K243" s="0" t="str">
        <f aca="false">IF(A243="","",H243-I243-J243)</f>
        <v/>
      </c>
      <c r="O243" s="0" t="str">
        <f aca="false">IF(A243="","",IF(AND(I243=SUMIFS('DETAIL TRANSAKSI'!$H$5:$H$504,'DETAIL TRANSAKSI'!$A$5:$A$504,A243),J243=SUMIFS('DETAIL TRANSAKSI'!$I$5:$I$504,'DETAIL TRANSAKSI'!$A$5:$A$504,A243)),"OK","CEK ALOKASI"))</f>
        <v/>
      </c>
    </row>
    <row r="244" customFormat="false" ht="15" hidden="false" customHeight="false" outlineLevel="0" collapsed="false">
      <c r="H244" s="0" t="str">
        <f aca="false">IF(A244="","",SUMIFS('DETAIL TRANSAKSI'!$G$5:$G$504,'DETAIL TRANSAKSI'!$A$5:$A$504,A244))</f>
        <v/>
      </c>
      <c r="J244" s="0" t="str">
        <f aca="false">IF(A244="","",SUMIFS('REFUND DAN PEMBATALAN'!$E$5:$E$504,'REFUND DAN PEMBATALAN'!$B$5:$B$504,A244,'REFUND DAN PEMBATALAN'!$I$5:$I$504,"Berhasil"))</f>
        <v/>
      </c>
      <c r="K244" s="0" t="str">
        <f aca="false">IF(A244="","",H244-I244-J244)</f>
        <v/>
      </c>
      <c r="O244" s="0" t="str">
        <f aca="false">IF(A244="","",IF(AND(I244=SUMIFS('DETAIL TRANSAKSI'!$H$5:$H$504,'DETAIL TRANSAKSI'!$A$5:$A$504,A244),J244=SUMIFS('DETAIL TRANSAKSI'!$I$5:$I$504,'DETAIL TRANSAKSI'!$A$5:$A$504,A244)),"OK","CEK ALOKASI"))</f>
        <v/>
      </c>
    </row>
    <row r="245" customFormat="false" ht="15" hidden="false" customHeight="false" outlineLevel="0" collapsed="false">
      <c r="H245" s="0" t="str">
        <f aca="false">IF(A245="","",SUMIFS('DETAIL TRANSAKSI'!$G$5:$G$504,'DETAIL TRANSAKSI'!$A$5:$A$504,A245))</f>
        <v/>
      </c>
      <c r="J245" s="0" t="str">
        <f aca="false">IF(A245="","",SUMIFS('REFUND DAN PEMBATALAN'!$E$5:$E$504,'REFUND DAN PEMBATALAN'!$B$5:$B$504,A245,'REFUND DAN PEMBATALAN'!$I$5:$I$504,"Berhasil"))</f>
        <v/>
      </c>
      <c r="K245" s="0" t="str">
        <f aca="false">IF(A245="","",H245-I245-J245)</f>
        <v/>
      </c>
      <c r="O245" s="0" t="str">
        <f aca="false">IF(A245="","",IF(AND(I245=SUMIFS('DETAIL TRANSAKSI'!$H$5:$H$504,'DETAIL TRANSAKSI'!$A$5:$A$504,A245),J245=SUMIFS('DETAIL TRANSAKSI'!$I$5:$I$504,'DETAIL TRANSAKSI'!$A$5:$A$504,A245)),"OK","CEK ALOKASI"))</f>
        <v/>
      </c>
    </row>
    <row r="246" customFormat="false" ht="15" hidden="false" customHeight="false" outlineLevel="0" collapsed="false">
      <c r="H246" s="0" t="str">
        <f aca="false">IF(A246="","",SUMIFS('DETAIL TRANSAKSI'!$G$5:$G$504,'DETAIL TRANSAKSI'!$A$5:$A$504,A246))</f>
        <v/>
      </c>
      <c r="J246" s="0" t="str">
        <f aca="false">IF(A246="","",SUMIFS('REFUND DAN PEMBATALAN'!$E$5:$E$504,'REFUND DAN PEMBATALAN'!$B$5:$B$504,A246,'REFUND DAN PEMBATALAN'!$I$5:$I$504,"Berhasil"))</f>
        <v/>
      </c>
      <c r="K246" s="0" t="str">
        <f aca="false">IF(A246="","",H246-I246-J246)</f>
        <v/>
      </c>
      <c r="O246" s="0" t="str">
        <f aca="false">IF(A246="","",IF(AND(I246=SUMIFS('DETAIL TRANSAKSI'!$H$5:$H$504,'DETAIL TRANSAKSI'!$A$5:$A$504,A246),J246=SUMIFS('DETAIL TRANSAKSI'!$I$5:$I$504,'DETAIL TRANSAKSI'!$A$5:$A$504,A246)),"OK","CEK ALOKASI"))</f>
        <v/>
      </c>
    </row>
    <row r="247" customFormat="false" ht="15" hidden="false" customHeight="false" outlineLevel="0" collapsed="false">
      <c r="H247" s="0" t="str">
        <f aca="false">IF(A247="","",SUMIFS('DETAIL TRANSAKSI'!$G$5:$G$504,'DETAIL TRANSAKSI'!$A$5:$A$504,A247))</f>
        <v/>
      </c>
      <c r="J247" s="0" t="str">
        <f aca="false">IF(A247="","",SUMIFS('REFUND DAN PEMBATALAN'!$E$5:$E$504,'REFUND DAN PEMBATALAN'!$B$5:$B$504,A247,'REFUND DAN PEMBATALAN'!$I$5:$I$504,"Berhasil"))</f>
        <v/>
      </c>
      <c r="K247" s="0" t="str">
        <f aca="false">IF(A247="","",H247-I247-J247)</f>
        <v/>
      </c>
      <c r="O247" s="0" t="str">
        <f aca="false">IF(A247="","",IF(AND(I247=SUMIFS('DETAIL TRANSAKSI'!$H$5:$H$504,'DETAIL TRANSAKSI'!$A$5:$A$504,A247),J247=SUMIFS('DETAIL TRANSAKSI'!$I$5:$I$504,'DETAIL TRANSAKSI'!$A$5:$A$504,A247)),"OK","CEK ALOKASI"))</f>
        <v/>
      </c>
    </row>
    <row r="248" customFormat="false" ht="15" hidden="false" customHeight="false" outlineLevel="0" collapsed="false">
      <c r="H248" s="0" t="str">
        <f aca="false">IF(A248="","",SUMIFS('DETAIL TRANSAKSI'!$G$5:$G$504,'DETAIL TRANSAKSI'!$A$5:$A$504,A248))</f>
        <v/>
      </c>
      <c r="J248" s="0" t="str">
        <f aca="false">IF(A248="","",SUMIFS('REFUND DAN PEMBATALAN'!$E$5:$E$504,'REFUND DAN PEMBATALAN'!$B$5:$B$504,A248,'REFUND DAN PEMBATALAN'!$I$5:$I$504,"Berhasil"))</f>
        <v/>
      </c>
      <c r="K248" s="0" t="str">
        <f aca="false">IF(A248="","",H248-I248-J248)</f>
        <v/>
      </c>
      <c r="O248" s="0" t="str">
        <f aca="false">IF(A248="","",IF(AND(I248=SUMIFS('DETAIL TRANSAKSI'!$H$5:$H$504,'DETAIL TRANSAKSI'!$A$5:$A$504,A248),J248=SUMIFS('DETAIL TRANSAKSI'!$I$5:$I$504,'DETAIL TRANSAKSI'!$A$5:$A$504,A248)),"OK","CEK ALOKASI"))</f>
        <v/>
      </c>
    </row>
    <row r="249" customFormat="false" ht="15" hidden="false" customHeight="false" outlineLevel="0" collapsed="false">
      <c r="H249" s="0" t="str">
        <f aca="false">IF(A249="","",SUMIFS('DETAIL TRANSAKSI'!$G$5:$G$504,'DETAIL TRANSAKSI'!$A$5:$A$504,A249))</f>
        <v/>
      </c>
      <c r="J249" s="0" t="str">
        <f aca="false">IF(A249="","",SUMIFS('REFUND DAN PEMBATALAN'!$E$5:$E$504,'REFUND DAN PEMBATALAN'!$B$5:$B$504,A249,'REFUND DAN PEMBATALAN'!$I$5:$I$504,"Berhasil"))</f>
        <v/>
      </c>
      <c r="K249" s="0" t="str">
        <f aca="false">IF(A249="","",H249-I249-J249)</f>
        <v/>
      </c>
      <c r="O249" s="0" t="str">
        <f aca="false">IF(A249="","",IF(AND(I249=SUMIFS('DETAIL TRANSAKSI'!$H$5:$H$504,'DETAIL TRANSAKSI'!$A$5:$A$504,A249),J249=SUMIFS('DETAIL TRANSAKSI'!$I$5:$I$504,'DETAIL TRANSAKSI'!$A$5:$A$504,A249)),"OK","CEK ALOKASI"))</f>
        <v/>
      </c>
    </row>
    <row r="250" customFormat="false" ht="15" hidden="false" customHeight="false" outlineLevel="0" collapsed="false">
      <c r="H250" s="0" t="str">
        <f aca="false">IF(A250="","",SUMIFS('DETAIL TRANSAKSI'!$G$5:$G$504,'DETAIL TRANSAKSI'!$A$5:$A$504,A250))</f>
        <v/>
      </c>
      <c r="J250" s="0" t="str">
        <f aca="false">IF(A250="","",SUMIFS('REFUND DAN PEMBATALAN'!$E$5:$E$504,'REFUND DAN PEMBATALAN'!$B$5:$B$504,A250,'REFUND DAN PEMBATALAN'!$I$5:$I$504,"Berhasil"))</f>
        <v/>
      </c>
      <c r="K250" s="0" t="str">
        <f aca="false">IF(A250="","",H250-I250-J250)</f>
        <v/>
      </c>
      <c r="O250" s="0" t="str">
        <f aca="false">IF(A250="","",IF(AND(I250=SUMIFS('DETAIL TRANSAKSI'!$H$5:$H$504,'DETAIL TRANSAKSI'!$A$5:$A$504,A250),J250=SUMIFS('DETAIL TRANSAKSI'!$I$5:$I$504,'DETAIL TRANSAKSI'!$A$5:$A$504,A250)),"OK","CEK ALOKASI"))</f>
        <v/>
      </c>
    </row>
    <row r="251" customFormat="false" ht="15" hidden="false" customHeight="false" outlineLevel="0" collapsed="false">
      <c r="H251" s="0" t="str">
        <f aca="false">IF(A251="","",SUMIFS('DETAIL TRANSAKSI'!$G$5:$G$504,'DETAIL TRANSAKSI'!$A$5:$A$504,A251))</f>
        <v/>
      </c>
      <c r="J251" s="0" t="str">
        <f aca="false">IF(A251="","",SUMIFS('REFUND DAN PEMBATALAN'!$E$5:$E$504,'REFUND DAN PEMBATALAN'!$B$5:$B$504,A251,'REFUND DAN PEMBATALAN'!$I$5:$I$504,"Berhasil"))</f>
        <v/>
      </c>
      <c r="K251" s="0" t="str">
        <f aca="false">IF(A251="","",H251-I251-J251)</f>
        <v/>
      </c>
      <c r="O251" s="0" t="str">
        <f aca="false">IF(A251="","",IF(AND(I251=SUMIFS('DETAIL TRANSAKSI'!$H$5:$H$504,'DETAIL TRANSAKSI'!$A$5:$A$504,A251),J251=SUMIFS('DETAIL TRANSAKSI'!$I$5:$I$504,'DETAIL TRANSAKSI'!$A$5:$A$504,A251)),"OK","CEK ALOKASI"))</f>
        <v/>
      </c>
    </row>
    <row r="252" customFormat="false" ht="15" hidden="false" customHeight="false" outlineLevel="0" collapsed="false">
      <c r="H252" s="0" t="str">
        <f aca="false">IF(A252="","",SUMIFS('DETAIL TRANSAKSI'!$G$5:$G$504,'DETAIL TRANSAKSI'!$A$5:$A$504,A252))</f>
        <v/>
      </c>
      <c r="J252" s="0" t="str">
        <f aca="false">IF(A252="","",SUMIFS('REFUND DAN PEMBATALAN'!$E$5:$E$504,'REFUND DAN PEMBATALAN'!$B$5:$B$504,A252,'REFUND DAN PEMBATALAN'!$I$5:$I$504,"Berhasil"))</f>
        <v/>
      </c>
      <c r="K252" s="0" t="str">
        <f aca="false">IF(A252="","",H252-I252-J252)</f>
        <v/>
      </c>
      <c r="O252" s="0" t="str">
        <f aca="false">IF(A252="","",IF(AND(I252=SUMIFS('DETAIL TRANSAKSI'!$H$5:$H$504,'DETAIL TRANSAKSI'!$A$5:$A$504,A252),J252=SUMIFS('DETAIL TRANSAKSI'!$I$5:$I$504,'DETAIL TRANSAKSI'!$A$5:$A$504,A252)),"OK","CEK ALOKASI"))</f>
        <v/>
      </c>
    </row>
    <row r="253" customFormat="false" ht="15" hidden="false" customHeight="false" outlineLevel="0" collapsed="false">
      <c r="H253" s="0" t="str">
        <f aca="false">IF(A253="","",SUMIFS('DETAIL TRANSAKSI'!$G$5:$G$504,'DETAIL TRANSAKSI'!$A$5:$A$504,A253))</f>
        <v/>
      </c>
      <c r="J253" s="0" t="str">
        <f aca="false">IF(A253="","",SUMIFS('REFUND DAN PEMBATALAN'!$E$5:$E$504,'REFUND DAN PEMBATALAN'!$B$5:$B$504,A253,'REFUND DAN PEMBATALAN'!$I$5:$I$504,"Berhasil"))</f>
        <v/>
      </c>
      <c r="K253" s="0" t="str">
        <f aca="false">IF(A253="","",H253-I253-J253)</f>
        <v/>
      </c>
      <c r="O253" s="0" t="str">
        <f aca="false">IF(A253="","",IF(AND(I253=SUMIFS('DETAIL TRANSAKSI'!$H$5:$H$504,'DETAIL TRANSAKSI'!$A$5:$A$504,A253),J253=SUMIFS('DETAIL TRANSAKSI'!$I$5:$I$504,'DETAIL TRANSAKSI'!$A$5:$A$504,A253)),"OK","CEK ALOKASI"))</f>
        <v/>
      </c>
    </row>
    <row r="254" customFormat="false" ht="15" hidden="false" customHeight="false" outlineLevel="0" collapsed="false">
      <c r="H254" s="0" t="str">
        <f aca="false">IF(A254="","",SUMIFS('DETAIL TRANSAKSI'!$G$5:$G$504,'DETAIL TRANSAKSI'!$A$5:$A$504,A254))</f>
        <v/>
      </c>
      <c r="J254" s="0" t="str">
        <f aca="false">IF(A254="","",SUMIFS('REFUND DAN PEMBATALAN'!$E$5:$E$504,'REFUND DAN PEMBATALAN'!$B$5:$B$504,A254,'REFUND DAN PEMBATALAN'!$I$5:$I$504,"Berhasil"))</f>
        <v/>
      </c>
      <c r="K254" s="0" t="str">
        <f aca="false">IF(A254="","",H254-I254-J254)</f>
        <v/>
      </c>
      <c r="O254" s="0" t="str">
        <f aca="false">IF(A254="","",IF(AND(I254=SUMIFS('DETAIL TRANSAKSI'!$H$5:$H$504,'DETAIL TRANSAKSI'!$A$5:$A$504,A254),J254=SUMIFS('DETAIL TRANSAKSI'!$I$5:$I$504,'DETAIL TRANSAKSI'!$A$5:$A$504,A254)),"OK","CEK ALOKASI"))</f>
        <v/>
      </c>
    </row>
    <row r="255" customFormat="false" ht="15" hidden="false" customHeight="false" outlineLevel="0" collapsed="false">
      <c r="H255" s="0" t="str">
        <f aca="false">IF(A255="","",SUMIFS('DETAIL TRANSAKSI'!$G$5:$G$504,'DETAIL TRANSAKSI'!$A$5:$A$504,A255))</f>
        <v/>
      </c>
      <c r="J255" s="0" t="str">
        <f aca="false">IF(A255="","",SUMIFS('REFUND DAN PEMBATALAN'!$E$5:$E$504,'REFUND DAN PEMBATALAN'!$B$5:$B$504,A255,'REFUND DAN PEMBATALAN'!$I$5:$I$504,"Berhasil"))</f>
        <v/>
      </c>
      <c r="K255" s="0" t="str">
        <f aca="false">IF(A255="","",H255-I255-J255)</f>
        <v/>
      </c>
      <c r="O255" s="0" t="str">
        <f aca="false">IF(A255="","",IF(AND(I255=SUMIFS('DETAIL TRANSAKSI'!$H$5:$H$504,'DETAIL TRANSAKSI'!$A$5:$A$504,A255),J255=SUMIFS('DETAIL TRANSAKSI'!$I$5:$I$504,'DETAIL TRANSAKSI'!$A$5:$A$504,A255)),"OK","CEK ALOKASI"))</f>
        <v/>
      </c>
    </row>
    <row r="256" customFormat="false" ht="15" hidden="false" customHeight="false" outlineLevel="0" collapsed="false">
      <c r="H256" s="0" t="str">
        <f aca="false">IF(A256="","",SUMIFS('DETAIL TRANSAKSI'!$G$5:$G$504,'DETAIL TRANSAKSI'!$A$5:$A$504,A256))</f>
        <v/>
      </c>
      <c r="J256" s="0" t="str">
        <f aca="false">IF(A256="","",SUMIFS('REFUND DAN PEMBATALAN'!$E$5:$E$504,'REFUND DAN PEMBATALAN'!$B$5:$B$504,A256,'REFUND DAN PEMBATALAN'!$I$5:$I$504,"Berhasil"))</f>
        <v/>
      </c>
      <c r="K256" s="0" t="str">
        <f aca="false">IF(A256="","",H256-I256-J256)</f>
        <v/>
      </c>
      <c r="O256" s="0" t="str">
        <f aca="false">IF(A256="","",IF(AND(I256=SUMIFS('DETAIL TRANSAKSI'!$H$5:$H$504,'DETAIL TRANSAKSI'!$A$5:$A$504,A256),J256=SUMIFS('DETAIL TRANSAKSI'!$I$5:$I$504,'DETAIL TRANSAKSI'!$A$5:$A$504,A256)),"OK","CEK ALOKASI"))</f>
        <v/>
      </c>
    </row>
    <row r="257" customFormat="false" ht="15" hidden="false" customHeight="false" outlineLevel="0" collapsed="false">
      <c r="H257" s="0" t="str">
        <f aca="false">IF(A257="","",SUMIFS('DETAIL TRANSAKSI'!$G$5:$G$504,'DETAIL TRANSAKSI'!$A$5:$A$504,A257))</f>
        <v/>
      </c>
      <c r="J257" s="0" t="str">
        <f aca="false">IF(A257="","",SUMIFS('REFUND DAN PEMBATALAN'!$E$5:$E$504,'REFUND DAN PEMBATALAN'!$B$5:$B$504,A257,'REFUND DAN PEMBATALAN'!$I$5:$I$504,"Berhasil"))</f>
        <v/>
      </c>
      <c r="K257" s="0" t="str">
        <f aca="false">IF(A257="","",H257-I257-J257)</f>
        <v/>
      </c>
      <c r="O257" s="0" t="str">
        <f aca="false">IF(A257="","",IF(AND(I257=SUMIFS('DETAIL TRANSAKSI'!$H$5:$H$504,'DETAIL TRANSAKSI'!$A$5:$A$504,A257),J257=SUMIFS('DETAIL TRANSAKSI'!$I$5:$I$504,'DETAIL TRANSAKSI'!$A$5:$A$504,A257)),"OK","CEK ALOKASI"))</f>
        <v/>
      </c>
    </row>
    <row r="258" customFormat="false" ht="15" hidden="false" customHeight="false" outlineLevel="0" collapsed="false">
      <c r="H258" s="0" t="str">
        <f aca="false">IF(A258="","",SUMIFS('DETAIL TRANSAKSI'!$G$5:$G$504,'DETAIL TRANSAKSI'!$A$5:$A$504,A258))</f>
        <v/>
      </c>
      <c r="J258" s="0" t="str">
        <f aca="false">IF(A258="","",SUMIFS('REFUND DAN PEMBATALAN'!$E$5:$E$504,'REFUND DAN PEMBATALAN'!$B$5:$B$504,A258,'REFUND DAN PEMBATALAN'!$I$5:$I$504,"Berhasil"))</f>
        <v/>
      </c>
      <c r="K258" s="0" t="str">
        <f aca="false">IF(A258="","",H258-I258-J258)</f>
        <v/>
      </c>
      <c r="O258" s="0" t="str">
        <f aca="false">IF(A258="","",IF(AND(I258=SUMIFS('DETAIL TRANSAKSI'!$H$5:$H$504,'DETAIL TRANSAKSI'!$A$5:$A$504,A258),J258=SUMIFS('DETAIL TRANSAKSI'!$I$5:$I$504,'DETAIL TRANSAKSI'!$A$5:$A$504,A258)),"OK","CEK ALOKASI"))</f>
        <v/>
      </c>
    </row>
    <row r="259" customFormat="false" ht="15" hidden="false" customHeight="false" outlineLevel="0" collapsed="false">
      <c r="H259" s="0" t="str">
        <f aca="false">IF(A259="","",SUMIFS('DETAIL TRANSAKSI'!$G$5:$G$504,'DETAIL TRANSAKSI'!$A$5:$A$504,A259))</f>
        <v/>
      </c>
      <c r="J259" s="0" t="str">
        <f aca="false">IF(A259="","",SUMIFS('REFUND DAN PEMBATALAN'!$E$5:$E$504,'REFUND DAN PEMBATALAN'!$B$5:$B$504,A259,'REFUND DAN PEMBATALAN'!$I$5:$I$504,"Berhasil"))</f>
        <v/>
      </c>
      <c r="K259" s="0" t="str">
        <f aca="false">IF(A259="","",H259-I259-J259)</f>
        <v/>
      </c>
      <c r="O259" s="0" t="str">
        <f aca="false">IF(A259="","",IF(AND(I259=SUMIFS('DETAIL TRANSAKSI'!$H$5:$H$504,'DETAIL TRANSAKSI'!$A$5:$A$504,A259),J259=SUMIFS('DETAIL TRANSAKSI'!$I$5:$I$504,'DETAIL TRANSAKSI'!$A$5:$A$504,A259)),"OK","CEK ALOKASI"))</f>
        <v/>
      </c>
    </row>
    <row r="260" customFormat="false" ht="15" hidden="false" customHeight="false" outlineLevel="0" collapsed="false">
      <c r="H260" s="0" t="str">
        <f aca="false">IF(A260="","",SUMIFS('DETAIL TRANSAKSI'!$G$5:$G$504,'DETAIL TRANSAKSI'!$A$5:$A$504,A260))</f>
        <v/>
      </c>
      <c r="J260" s="0" t="str">
        <f aca="false">IF(A260="","",SUMIFS('REFUND DAN PEMBATALAN'!$E$5:$E$504,'REFUND DAN PEMBATALAN'!$B$5:$B$504,A260,'REFUND DAN PEMBATALAN'!$I$5:$I$504,"Berhasil"))</f>
        <v/>
      </c>
      <c r="K260" s="0" t="str">
        <f aca="false">IF(A260="","",H260-I260-J260)</f>
        <v/>
      </c>
      <c r="O260" s="0" t="str">
        <f aca="false">IF(A260="","",IF(AND(I260=SUMIFS('DETAIL TRANSAKSI'!$H$5:$H$504,'DETAIL TRANSAKSI'!$A$5:$A$504,A260),J260=SUMIFS('DETAIL TRANSAKSI'!$I$5:$I$504,'DETAIL TRANSAKSI'!$A$5:$A$504,A260)),"OK","CEK ALOKASI"))</f>
        <v/>
      </c>
    </row>
    <row r="261" customFormat="false" ht="15" hidden="false" customHeight="false" outlineLevel="0" collapsed="false">
      <c r="H261" s="0" t="str">
        <f aca="false">IF(A261="","",SUMIFS('DETAIL TRANSAKSI'!$G$5:$G$504,'DETAIL TRANSAKSI'!$A$5:$A$504,A261))</f>
        <v/>
      </c>
      <c r="J261" s="0" t="str">
        <f aca="false">IF(A261="","",SUMIFS('REFUND DAN PEMBATALAN'!$E$5:$E$504,'REFUND DAN PEMBATALAN'!$B$5:$B$504,A261,'REFUND DAN PEMBATALAN'!$I$5:$I$504,"Berhasil"))</f>
        <v/>
      </c>
      <c r="K261" s="0" t="str">
        <f aca="false">IF(A261="","",H261-I261-J261)</f>
        <v/>
      </c>
      <c r="O261" s="0" t="str">
        <f aca="false">IF(A261="","",IF(AND(I261=SUMIFS('DETAIL TRANSAKSI'!$H$5:$H$504,'DETAIL TRANSAKSI'!$A$5:$A$504,A261),J261=SUMIFS('DETAIL TRANSAKSI'!$I$5:$I$504,'DETAIL TRANSAKSI'!$A$5:$A$504,A261)),"OK","CEK ALOKASI"))</f>
        <v/>
      </c>
    </row>
    <row r="262" customFormat="false" ht="15" hidden="false" customHeight="false" outlineLevel="0" collapsed="false">
      <c r="H262" s="0" t="str">
        <f aca="false">IF(A262="","",SUMIFS('DETAIL TRANSAKSI'!$G$5:$G$504,'DETAIL TRANSAKSI'!$A$5:$A$504,A262))</f>
        <v/>
      </c>
      <c r="J262" s="0" t="str">
        <f aca="false">IF(A262="","",SUMIFS('REFUND DAN PEMBATALAN'!$E$5:$E$504,'REFUND DAN PEMBATALAN'!$B$5:$B$504,A262,'REFUND DAN PEMBATALAN'!$I$5:$I$504,"Berhasil"))</f>
        <v/>
      </c>
      <c r="K262" s="0" t="str">
        <f aca="false">IF(A262="","",H262-I262-J262)</f>
        <v/>
      </c>
      <c r="O262" s="0" t="str">
        <f aca="false">IF(A262="","",IF(AND(I262=SUMIFS('DETAIL TRANSAKSI'!$H$5:$H$504,'DETAIL TRANSAKSI'!$A$5:$A$504,A262),J262=SUMIFS('DETAIL TRANSAKSI'!$I$5:$I$504,'DETAIL TRANSAKSI'!$A$5:$A$504,A262)),"OK","CEK ALOKASI"))</f>
        <v/>
      </c>
    </row>
    <row r="263" customFormat="false" ht="15" hidden="false" customHeight="false" outlineLevel="0" collapsed="false">
      <c r="H263" s="0" t="str">
        <f aca="false">IF(A263="","",SUMIFS('DETAIL TRANSAKSI'!$G$5:$G$504,'DETAIL TRANSAKSI'!$A$5:$A$504,A263))</f>
        <v/>
      </c>
      <c r="J263" s="0" t="str">
        <f aca="false">IF(A263="","",SUMIFS('REFUND DAN PEMBATALAN'!$E$5:$E$504,'REFUND DAN PEMBATALAN'!$B$5:$B$504,A263,'REFUND DAN PEMBATALAN'!$I$5:$I$504,"Berhasil"))</f>
        <v/>
      </c>
      <c r="K263" s="0" t="str">
        <f aca="false">IF(A263="","",H263-I263-J263)</f>
        <v/>
      </c>
      <c r="O263" s="0" t="str">
        <f aca="false">IF(A263="","",IF(AND(I263=SUMIFS('DETAIL TRANSAKSI'!$H$5:$H$504,'DETAIL TRANSAKSI'!$A$5:$A$504,A263),J263=SUMIFS('DETAIL TRANSAKSI'!$I$5:$I$504,'DETAIL TRANSAKSI'!$A$5:$A$504,A263)),"OK","CEK ALOKASI"))</f>
        <v/>
      </c>
    </row>
    <row r="264" customFormat="false" ht="15" hidden="false" customHeight="false" outlineLevel="0" collapsed="false">
      <c r="H264" s="0" t="str">
        <f aca="false">IF(A264="","",SUMIFS('DETAIL TRANSAKSI'!$G$5:$G$504,'DETAIL TRANSAKSI'!$A$5:$A$504,A264))</f>
        <v/>
      </c>
      <c r="J264" s="0" t="str">
        <f aca="false">IF(A264="","",SUMIFS('REFUND DAN PEMBATALAN'!$E$5:$E$504,'REFUND DAN PEMBATALAN'!$B$5:$B$504,A264,'REFUND DAN PEMBATALAN'!$I$5:$I$504,"Berhasil"))</f>
        <v/>
      </c>
      <c r="K264" s="0" t="str">
        <f aca="false">IF(A264="","",H264-I264-J264)</f>
        <v/>
      </c>
      <c r="O264" s="0" t="str">
        <f aca="false">IF(A264="","",IF(AND(I264=SUMIFS('DETAIL TRANSAKSI'!$H$5:$H$504,'DETAIL TRANSAKSI'!$A$5:$A$504,A264),J264=SUMIFS('DETAIL TRANSAKSI'!$I$5:$I$504,'DETAIL TRANSAKSI'!$A$5:$A$504,A264)),"OK","CEK ALOKASI"))</f>
        <v/>
      </c>
    </row>
    <row r="265" customFormat="false" ht="15" hidden="false" customHeight="false" outlineLevel="0" collapsed="false">
      <c r="H265" s="0" t="str">
        <f aca="false">IF(A265="","",SUMIFS('DETAIL TRANSAKSI'!$G$5:$G$504,'DETAIL TRANSAKSI'!$A$5:$A$504,A265))</f>
        <v/>
      </c>
      <c r="J265" s="0" t="str">
        <f aca="false">IF(A265="","",SUMIFS('REFUND DAN PEMBATALAN'!$E$5:$E$504,'REFUND DAN PEMBATALAN'!$B$5:$B$504,A265,'REFUND DAN PEMBATALAN'!$I$5:$I$504,"Berhasil"))</f>
        <v/>
      </c>
      <c r="K265" s="0" t="str">
        <f aca="false">IF(A265="","",H265-I265-J265)</f>
        <v/>
      </c>
      <c r="O265" s="0" t="str">
        <f aca="false">IF(A265="","",IF(AND(I265=SUMIFS('DETAIL TRANSAKSI'!$H$5:$H$504,'DETAIL TRANSAKSI'!$A$5:$A$504,A265),J265=SUMIFS('DETAIL TRANSAKSI'!$I$5:$I$504,'DETAIL TRANSAKSI'!$A$5:$A$504,A265)),"OK","CEK ALOKASI"))</f>
        <v/>
      </c>
    </row>
    <row r="266" customFormat="false" ht="15" hidden="false" customHeight="false" outlineLevel="0" collapsed="false">
      <c r="H266" s="0" t="str">
        <f aca="false">IF(A266="","",SUMIFS('DETAIL TRANSAKSI'!$G$5:$G$504,'DETAIL TRANSAKSI'!$A$5:$A$504,A266))</f>
        <v/>
      </c>
      <c r="J266" s="0" t="str">
        <f aca="false">IF(A266="","",SUMIFS('REFUND DAN PEMBATALAN'!$E$5:$E$504,'REFUND DAN PEMBATALAN'!$B$5:$B$504,A266,'REFUND DAN PEMBATALAN'!$I$5:$I$504,"Berhasil"))</f>
        <v/>
      </c>
      <c r="K266" s="0" t="str">
        <f aca="false">IF(A266="","",H266-I266-J266)</f>
        <v/>
      </c>
      <c r="O266" s="0" t="str">
        <f aca="false">IF(A266="","",IF(AND(I266=SUMIFS('DETAIL TRANSAKSI'!$H$5:$H$504,'DETAIL TRANSAKSI'!$A$5:$A$504,A266),J266=SUMIFS('DETAIL TRANSAKSI'!$I$5:$I$504,'DETAIL TRANSAKSI'!$A$5:$A$504,A266)),"OK","CEK ALOKASI"))</f>
        <v/>
      </c>
    </row>
    <row r="267" customFormat="false" ht="15" hidden="false" customHeight="false" outlineLevel="0" collapsed="false">
      <c r="H267" s="0" t="str">
        <f aca="false">IF(A267="","",SUMIFS('DETAIL TRANSAKSI'!$G$5:$G$504,'DETAIL TRANSAKSI'!$A$5:$A$504,A267))</f>
        <v/>
      </c>
      <c r="J267" s="0" t="str">
        <f aca="false">IF(A267="","",SUMIFS('REFUND DAN PEMBATALAN'!$E$5:$E$504,'REFUND DAN PEMBATALAN'!$B$5:$B$504,A267,'REFUND DAN PEMBATALAN'!$I$5:$I$504,"Berhasil"))</f>
        <v/>
      </c>
      <c r="K267" s="0" t="str">
        <f aca="false">IF(A267="","",H267-I267-J267)</f>
        <v/>
      </c>
      <c r="O267" s="0" t="str">
        <f aca="false">IF(A267="","",IF(AND(I267=SUMIFS('DETAIL TRANSAKSI'!$H$5:$H$504,'DETAIL TRANSAKSI'!$A$5:$A$504,A267),J267=SUMIFS('DETAIL TRANSAKSI'!$I$5:$I$504,'DETAIL TRANSAKSI'!$A$5:$A$504,A267)),"OK","CEK ALOKASI"))</f>
        <v/>
      </c>
    </row>
    <row r="268" customFormat="false" ht="15" hidden="false" customHeight="false" outlineLevel="0" collapsed="false">
      <c r="H268" s="0" t="str">
        <f aca="false">IF(A268="","",SUMIFS('DETAIL TRANSAKSI'!$G$5:$G$504,'DETAIL TRANSAKSI'!$A$5:$A$504,A268))</f>
        <v/>
      </c>
      <c r="J268" s="0" t="str">
        <f aca="false">IF(A268="","",SUMIFS('REFUND DAN PEMBATALAN'!$E$5:$E$504,'REFUND DAN PEMBATALAN'!$B$5:$B$504,A268,'REFUND DAN PEMBATALAN'!$I$5:$I$504,"Berhasil"))</f>
        <v/>
      </c>
      <c r="K268" s="0" t="str">
        <f aca="false">IF(A268="","",H268-I268-J268)</f>
        <v/>
      </c>
      <c r="O268" s="0" t="str">
        <f aca="false">IF(A268="","",IF(AND(I268=SUMIFS('DETAIL TRANSAKSI'!$H$5:$H$504,'DETAIL TRANSAKSI'!$A$5:$A$504,A268),J268=SUMIFS('DETAIL TRANSAKSI'!$I$5:$I$504,'DETAIL TRANSAKSI'!$A$5:$A$504,A268)),"OK","CEK ALOKASI"))</f>
        <v/>
      </c>
    </row>
    <row r="269" customFormat="false" ht="15" hidden="false" customHeight="false" outlineLevel="0" collapsed="false">
      <c r="H269" s="0" t="str">
        <f aca="false">IF(A269="","",SUMIFS('DETAIL TRANSAKSI'!$G$5:$G$504,'DETAIL TRANSAKSI'!$A$5:$A$504,A269))</f>
        <v/>
      </c>
      <c r="J269" s="0" t="str">
        <f aca="false">IF(A269="","",SUMIFS('REFUND DAN PEMBATALAN'!$E$5:$E$504,'REFUND DAN PEMBATALAN'!$B$5:$B$504,A269,'REFUND DAN PEMBATALAN'!$I$5:$I$504,"Berhasil"))</f>
        <v/>
      </c>
      <c r="K269" s="0" t="str">
        <f aca="false">IF(A269="","",H269-I269-J269)</f>
        <v/>
      </c>
      <c r="O269" s="0" t="str">
        <f aca="false">IF(A269="","",IF(AND(I269=SUMIFS('DETAIL TRANSAKSI'!$H$5:$H$504,'DETAIL TRANSAKSI'!$A$5:$A$504,A269),J269=SUMIFS('DETAIL TRANSAKSI'!$I$5:$I$504,'DETAIL TRANSAKSI'!$A$5:$A$504,A269)),"OK","CEK ALOKASI"))</f>
        <v/>
      </c>
    </row>
    <row r="270" customFormat="false" ht="15" hidden="false" customHeight="false" outlineLevel="0" collapsed="false">
      <c r="H270" s="0" t="str">
        <f aca="false">IF(A270="","",SUMIFS('DETAIL TRANSAKSI'!$G$5:$G$504,'DETAIL TRANSAKSI'!$A$5:$A$504,A270))</f>
        <v/>
      </c>
      <c r="J270" s="0" t="str">
        <f aca="false">IF(A270="","",SUMIFS('REFUND DAN PEMBATALAN'!$E$5:$E$504,'REFUND DAN PEMBATALAN'!$B$5:$B$504,A270,'REFUND DAN PEMBATALAN'!$I$5:$I$504,"Berhasil"))</f>
        <v/>
      </c>
      <c r="K270" s="0" t="str">
        <f aca="false">IF(A270="","",H270-I270-J270)</f>
        <v/>
      </c>
      <c r="O270" s="0" t="str">
        <f aca="false">IF(A270="","",IF(AND(I270=SUMIFS('DETAIL TRANSAKSI'!$H$5:$H$504,'DETAIL TRANSAKSI'!$A$5:$A$504,A270),J270=SUMIFS('DETAIL TRANSAKSI'!$I$5:$I$504,'DETAIL TRANSAKSI'!$A$5:$A$504,A270)),"OK","CEK ALOKASI"))</f>
        <v/>
      </c>
    </row>
    <row r="271" customFormat="false" ht="15" hidden="false" customHeight="false" outlineLevel="0" collapsed="false">
      <c r="H271" s="0" t="str">
        <f aca="false">IF(A271="","",SUMIFS('DETAIL TRANSAKSI'!$G$5:$G$504,'DETAIL TRANSAKSI'!$A$5:$A$504,A271))</f>
        <v/>
      </c>
      <c r="J271" s="0" t="str">
        <f aca="false">IF(A271="","",SUMIFS('REFUND DAN PEMBATALAN'!$E$5:$E$504,'REFUND DAN PEMBATALAN'!$B$5:$B$504,A271,'REFUND DAN PEMBATALAN'!$I$5:$I$504,"Berhasil"))</f>
        <v/>
      </c>
      <c r="K271" s="0" t="str">
        <f aca="false">IF(A271="","",H271-I271-J271)</f>
        <v/>
      </c>
      <c r="O271" s="0" t="str">
        <f aca="false">IF(A271="","",IF(AND(I271=SUMIFS('DETAIL TRANSAKSI'!$H$5:$H$504,'DETAIL TRANSAKSI'!$A$5:$A$504,A271),J271=SUMIFS('DETAIL TRANSAKSI'!$I$5:$I$504,'DETAIL TRANSAKSI'!$A$5:$A$504,A271)),"OK","CEK ALOKASI"))</f>
        <v/>
      </c>
    </row>
    <row r="272" customFormat="false" ht="15" hidden="false" customHeight="false" outlineLevel="0" collapsed="false">
      <c r="H272" s="0" t="str">
        <f aca="false">IF(A272="","",SUMIFS('DETAIL TRANSAKSI'!$G$5:$G$504,'DETAIL TRANSAKSI'!$A$5:$A$504,A272))</f>
        <v/>
      </c>
      <c r="J272" s="0" t="str">
        <f aca="false">IF(A272="","",SUMIFS('REFUND DAN PEMBATALAN'!$E$5:$E$504,'REFUND DAN PEMBATALAN'!$B$5:$B$504,A272,'REFUND DAN PEMBATALAN'!$I$5:$I$504,"Berhasil"))</f>
        <v/>
      </c>
      <c r="K272" s="0" t="str">
        <f aca="false">IF(A272="","",H272-I272-J272)</f>
        <v/>
      </c>
      <c r="O272" s="0" t="str">
        <f aca="false">IF(A272="","",IF(AND(I272=SUMIFS('DETAIL TRANSAKSI'!$H$5:$H$504,'DETAIL TRANSAKSI'!$A$5:$A$504,A272),J272=SUMIFS('DETAIL TRANSAKSI'!$I$5:$I$504,'DETAIL TRANSAKSI'!$A$5:$A$504,A272)),"OK","CEK ALOKASI"))</f>
        <v/>
      </c>
    </row>
    <row r="273" customFormat="false" ht="15" hidden="false" customHeight="false" outlineLevel="0" collapsed="false">
      <c r="H273" s="0" t="str">
        <f aca="false">IF(A273="","",SUMIFS('DETAIL TRANSAKSI'!$G$5:$G$504,'DETAIL TRANSAKSI'!$A$5:$A$504,A273))</f>
        <v/>
      </c>
      <c r="J273" s="0" t="str">
        <f aca="false">IF(A273="","",SUMIFS('REFUND DAN PEMBATALAN'!$E$5:$E$504,'REFUND DAN PEMBATALAN'!$B$5:$B$504,A273,'REFUND DAN PEMBATALAN'!$I$5:$I$504,"Berhasil"))</f>
        <v/>
      </c>
      <c r="K273" s="0" t="str">
        <f aca="false">IF(A273="","",H273-I273-J273)</f>
        <v/>
      </c>
      <c r="O273" s="0" t="str">
        <f aca="false">IF(A273="","",IF(AND(I273=SUMIFS('DETAIL TRANSAKSI'!$H$5:$H$504,'DETAIL TRANSAKSI'!$A$5:$A$504,A273),J273=SUMIFS('DETAIL TRANSAKSI'!$I$5:$I$504,'DETAIL TRANSAKSI'!$A$5:$A$504,A273)),"OK","CEK ALOKASI"))</f>
        <v/>
      </c>
    </row>
    <row r="274" customFormat="false" ht="15" hidden="false" customHeight="false" outlineLevel="0" collapsed="false">
      <c r="H274" s="0" t="str">
        <f aca="false">IF(A274="","",SUMIFS('DETAIL TRANSAKSI'!$G$5:$G$504,'DETAIL TRANSAKSI'!$A$5:$A$504,A274))</f>
        <v/>
      </c>
      <c r="J274" s="0" t="str">
        <f aca="false">IF(A274="","",SUMIFS('REFUND DAN PEMBATALAN'!$E$5:$E$504,'REFUND DAN PEMBATALAN'!$B$5:$B$504,A274,'REFUND DAN PEMBATALAN'!$I$5:$I$504,"Berhasil"))</f>
        <v/>
      </c>
      <c r="K274" s="0" t="str">
        <f aca="false">IF(A274="","",H274-I274-J274)</f>
        <v/>
      </c>
      <c r="O274" s="0" t="str">
        <f aca="false">IF(A274="","",IF(AND(I274=SUMIFS('DETAIL TRANSAKSI'!$H$5:$H$504,'DETAIL TRANSAKSI'!$A$5:$A$504,A274),J274=SUMIFS('DETAIL TRANSAKSI'!$I$5:$I$504,'DETAIL TRANSAKSI'!$A$5:$A$504,A274)),"OK","CEK ALOKASI"))</f>
        <v/>
      </c>
    </row>
    <row r="275" customFormat="false" ht="15" hidden="false" customHeight="false" outlineLevel="0" collapsed="false">
      <c r="H275" s="0" t="str">
        <f aca="false">IF(A275="","",SUMIFS('DETAIL TRANSAKSI'!$G$5:$G$504,'DETAIL TRANSAKSI'!$A$5:$A$504,A275))</f>
        <v/>
      </c>
      <c r="J275" s="0" t="str">
        <f aca="false">IF(A275="","",SUMIFS('REFUND DAN PEMBATALAN'!$E$5:$E$504,'REFUND DAN PEMBATALAN'!$B$5:$B$504,A275,'REFUND DAN PEMBATALAN'!$I$5:$I$504,"Berhasil"))</f>
        <v/>
      </c>
      <c r="K275" s="0" t="str">
        <f aca="false">IF(A275="","",H275-I275-J275)</f>
        <v/>
      </c>
      <c r="O275" s="0" t="str">
        <f aca="false">IF(A275="","",IF(AND(I275=SUMIFS('DETAIL TRANSAKSI'!$H$5:$H$504,'DETAIL TRANSAKSI'!$A$5:$A$504,A275),J275=SUMIFS('DETAIL TRANSAKSI'!$I$5:$I$504,'DETAIL TRANSAKSI'!$A$5:$A$504,A275)),"OK","CEK ALOKASI"))</f>
        <v/>
      </c>
    </row>
    <row r="276" customFormat="false" ht="15" hidden="false" customHeight="false" outlineLevel="0" collapsed="false">
      <c r="H276" s="0" t="str">
        <f aca="false">IF(A276="","",SUMIFS('DETAIL TRANSAKSI'!$G$5:$G$504,'DETAIL TRANSAKSI'!$A$5:$A$504,A276))</f>
        <v/>
      </c>
      <c r="J276" s="0" t="str">
        <f aca="false">IF(A276="","",SUMIFS('REFUND DAN PEMBATALAN'!$E$5:$E$504,'REFUND DAN PEMBATALAN'!$B$5:$B$504,A276,'REFUND DAN PEMBATALAN'!$I$5:$I$504,"Berhasil"))</f>
        <v/>
      </c>
      <c r="K276" s="0" t="str">
        <f aca="false">IF(A276="","",H276-I276-J276)</f>
        <v/>
      </c>
      <c r="O276" s="0" t="str">
        <f aca="false">IF(A276="","",IF(AND(I276=SUMIFS('DETAIL TRANSAKSI'!$H$5:$H$504,'DETAIL TRANSAKSI'!$A$5:$A$504,A276),J276=SUMIFS('DETAIL TRANSAKSI'!$I$5:$I$504,'DETAIL TRANSAKSI'!$A$5:$A$504,A276)),"OK","CEK ALOKASI"))</f>
        <v/>
      </c>
    </row>
    <row r="277" customFormat="false" ht="15" hidden="false" customHeight="false" outlineLevel="0" collapsed="false">
      <c r="H277" s="0" t="str">
        <f aca="false">IF(A277="","",SUMIFS('DETAIL TRANSAKSI'!$G$5:$G$504,'DETAIL TRANSAKSI'!$A$5:$A$504,A277))</f>
        <v/>
      </c>
      <c r="J277" s="0" t="str">
        <f aca="false">IF(A277="","",SUMIFS('REFUND DAN PEMBATALAN'!$E$5:$E$504,'REFUND DAN PEMBATALAN'!$B$5:$B$504,A277,'REFUND DAN PEMBATALAN'!$I$5:$I$504,"Berhasil"))</f>
        <v/>
      </c>
      <c r="K277" s="0" t="str">
        <f aca="false">IF(A277="","",H277-I277-J277)</f>
        <v/>
      </c>
      <c r="O277" s="0" t="str">
        <f aca="false">IF(A277="","",IF(AND(I277=SUMIFS('DETAIL TRANSAKSI'!$H$5:$H$504,'DETAIL TRANSAKSI'!$A$5:$A$504,A277),J277=SUMIFS('DETAIL TRANSAKSI'!$I$5:$I$504,'DETAIL TRANSAKSI'!$A$5:$A$504,A277)),"OK","CEK ALOKASI"))</f>
        <v/>
      </c>
    </row>
    <row r="278" customFormat="false" ht="15" hidden="false" customHeight="false" outlineLevel="0" collapsed="false">
      <c r="H278" s="0" t="str">
        <f aca="false">IF(A278="","",SUMIFS('DETAIL TRANSAKSI'!$G$5:$G$504,'DETAIL TRANSAKSI'!$A$5:$A$504,A278))</f>
        <v/>
      </c>
      <c r="J278" s="0" t="str">
        <f aca="false">IF(A278="","",SUMIFS('REFUND DAN PEMBATALAN'!$E$5:$E$504,'REFUND DAN PEMBATALAN'!$B$5:$B$504,A278,'REFUND DAN PEMBATALAN'!$I$5:$I$504,"Berhasil"))</f>
        <v/>
      </c>
      <c r="K278" s="0" t="str">
        <f aca="false">IF(A278="","",H278-I278-J278)</f>
        <v/>
      </c>
      <c r="O278" s="0" t="str">
        <f aca="false">IF(A278="","",IF(AND(I278=SUMIFS('DETAIL TRANSAKSI'!$H$5:$H$504,'DETAIL TRANSAKSI'!$A$5:$A$504,A278),J278=SUMIFS('DETAIL TRANSAKSI'!$I$5:$I$504,'DETAIL TRANSAKSI'!$A$5:$A$504,A278)),"OK","CEK ALOKASI"))</f>
        <v/>
      </c>
    </row>
    <row r="279" customFormat="false" ht="15" hidden="false" customHeight="false" outlineLevel="0" collapsed="false">
      <c r="H279" s="0" t="str">
        <f aca="false">IF(A279="","",SUMIFS('DETAIL TRANSAKSI'!$G$5:$G$504,'DETAIL TRANSAKSI'!$A$5:$A$504,A279))</f>
        <v/>
      </c>
      <c r="J279" s="0" t="str">
        <f aca="false">IF(A279="","",SUMIFS('REFUND DAN PEMBATALAN'!$E$5:$E$504,'REFUND DAN PEMBATALAN'!$B$5:$B$504,A279,'REFUND DAN PEMBATALAN'!$I$5:$I$504,"Berhasil"))</f>
        <v/>
      </c>
      <c r="K279" s="0" t="str">
        <f aca="false">IF(A279="","",H279-I279-J279)</f>
        <v/>
      </c>
      <c r="O279" s="0" t="str">
        <f aca="false">IF(A279="","",IF(AND(I279=SUMIFS('DETAIL TRANSAKSI'!$H$5:$H$504,'DETAIL TRANSAKSI'!$A$5:$A$504,A279),J279=SUMIFS('DETAIL TRANSAKSI'!$I$5:$I$504,'DETAIL TRANSAKSI'!$A$5:$A$504,A279)),"OK","CEK ALOKASI"))</f>
        <v/>
      </c>
    </row>
    <row r="280" customFormat="false" ht="15" hidden="false" customHeight="false" outlineLevel="0" collapsed="false">
      <c r="H280" s="0" t="str">
        <f aca="false">IF(A280="","",SUMIFS('DETAIL TRANSAKSI'!$G$5:$G$504,'DETAIL TRANSAKSI'!$A$5:$A$504,A280))</f>
        <v/>
      </c>
      <c r="J280" s="0" t="str">
        <f aca="false">IF(A280="","",SUMIFS('REFUND DAN PEMBATALAN'!$E$5:$E$504,'REFUND DAN PEMBATALAN'!$B$5:$B$504,A280,'REFUND DAN PEMBATALAN'!$I$5:$I$504,"Berhasil"))</f>
        <v/>
      </c>
      <c r="K280" s="0" t="str">
        <f aca="false">IF(A280="","",H280-I280-J280)</f>
        <v/>
      </c>
      <c r="O280" s="0" t="str">
        <f aca="false">IF(A280="","",IF(AND(I280=SUMIFS('DETAIL TRANSAKSI'!$H$5:$H$504,'DETAIL TRANSAKSI'!$A$5:$A$504,A280),J280=SUMIFS('DETAIL TRANSAKSI'!$I$5:$I$504,'DETAIL TRANSAKSI'!$A$5:$A$504,A280)),"OK","CEK ALOKASI"))</f>
        <v/>
      </c>
    </row>
    <row r="281" customFormat="false" ht="15" hidden="false" customHeight="false" outlineLevel="0" collapsed="false">
      <c r="H281" s="0" t="str">
        <f aca="false">IF(A281="","",SUMIFS('DETAIL TRANSAKSI'!$G$5:$G$504,'DETAIL TRANSAKSI'!$A$5:$A$504,A281))</f>
        <v/>
      </c>
      <c r="J281" s="0" t="str">
        <f aca="false">IF(A281="","",SUMIFS('REFUND DAN PEMBATALAN'!$E$5:$E$504,'REFUND DAN PEMBATALAN'!$B$5:$B$504,A281,'REFUND DAN PEMBATALAN'!$I$5:$I$504,"Berhasil"))</f>
        <v/>
      </c>
      <c r="K281" s="0" t="str">
        <f aca="false">IF(A281="","",H281-I281-J281)</f>
        <v/>
      </c>
      <c r="O281" s="0" t="str">
        <f aca="false">IF(A281="","",IF(AND(I281=SUMIFS('DETAIL TRANSAKSI'!$H$5:$H$504,'DETAIL TRANSAKSI'!$A$5:$A$504,A281),J281=SUMIFS('DETAIL TRANSAKSI'!$I$5:$I$504,'DETAIL TRANSAKSI'!$A$5:$A$504,A281)),"OK","CEK ALOKASI"))</f>
        <v/>
      </c>
    </row>
    <row r="282" customFormat="false" ht="15" hidden="false" customHeight="false" outlineLevel="0" collapsed="false">
      <c r="H282" s="0" t="str">
        <f aca="false">IF(A282="","",SUMIFS('DETAIL TRANSAKSI'!$G$5:$G$504,'DETAIL TRANSAKSI'!$A$5:$A$504,A282))</f>
        <v/>
      </c>
      <c r="J282" s="0" t="str">
        <f aca="false">IF(A282="","",SUMIFS('REFUND DAN PEMBATALAN'!$E$5:$E$504,'REFUND DAN PEMBATALAN'!$B$5:$B$504,A282,'REFUND DAN PEMBATALAN'!$I$5:$I$504,"Berhasil"))</f>
        <v/>
      </c>
      <c r="K282" s="0" t="str">
        <f aca="false">IF(A282="","",H282-I282-J282)</f>
        <v/>
      </c>
      <c r="O282" s="0" t="str">
        <f aca="false">IF(A282="","",IF(AND(I282=SUMIFS('DETAIL TRANSAKSI'!$H$5:$H$504,'DETAIL TRANSAKSI'!$A$5:$A$504,A282),J282=SUMIFS('DETAIL TRANSAKSI'!$I$5:$I$504,'DETAIL TRANSAKSI'!$A$5:$A$504,A282)),"OK","CEK ALOKASI"))</f>
        <v/>
      </c>
    </row>
    <row r="283" customFormat="false" ht="15" hidden="false" customHeight="false" outlineLevel="0" collapsed="false">
      <c r="H283" s="0" t="str">
        <f aca="false">IF(A283="","",SUMIFS('DETAIL TRANSAKSI'!$G$5:$G$504,'DETAIL TRANSAKSI'!$A$5:$A$504,A283))</f>
        <v/>
      </c>
      <c r="J283" s="0" t="str">
        <f aca="false">IF(A283="","",SUMIFS('REFUND DAN PEMBATALAN'!$E$5:$E$504,'REFUND DAN PEMBATALAN'!$B$5:$B$504,A283,'REFUND DAN PEMBATALAN'!$I$5:$I$504,"Berhasil"))</f>
        <v/>
      </c>
      <c r="K283" s="0" t="str">
        <f aca="false">IF(A283="","",H283-I283-J283)</f>
        <v/>
      </c>
      <c r="O283" s="0" t="str">
        <f aca="false">IF(A283="","",IF(AND(I283=SUMIFS('DETAIL TRANSAKSI'!$H$5:$H$504,'DETAIL TRANSAKSI'!$A$5:$A$504,A283),J283=SUMIFS('DETAIL TRANSAKSI'!$I$5:$I$504,'DETAIL TRANSAKSI'!$A$5:$A$504,A283)),"OK","CEK ALOKASI"))</f>
        <v/>
      </c>
    </row>
    <row r="284" customFormat="false" ht="15" hidden="false" customHeight="false" outlineLevel="0" collapsed="false">
      <c r="H284" s="0" t="str">
        <f aca="false">IF(A284="","",SUMIFS('DETAIL TRANSAKSI'!$G$5:$G$504,'DETAIL TRANSAKSI'!$A$5:$A$504,A284))</f>
        <v/>
      </c>
      <c r="J284" s="0" t="str">
        <f aca="false">IF(A284="","",SUMIFS('REFUND DAN PEMBATALAN'!$E$5:$E$504,'REFUND DAN PEMBATALAN'!$B$5:$B$504,A284,'REFUND DAN PEMBATALAN'!$I$5:$I$504,"Berhasil"))</f>
        <v/>
      </c>
      <c r="K284" s="0" t="str">
        <f aca="false">IF(A284="","",H284-I284-J284)</f>
        <v/>
      </c>
      <c r="O284" s="0" t="str">
        <f aca="false">IF(A284="","",IF(AND(I284=SUMIFS('DETAIL TRANSAKSI'!$H$5:$H$504,'DETAIL TRANSAKSI'!$A$5:$A$504,A284),J284=SUMIFS('DETAIL TRANSAKSI'!$I$5:$I$504,'DETAIL TRANSAKSI'!$A$5:$A$504,A284)),"OK","CEK ALOKASI"))</f>
        <v/>
      </c>
    </row>
    <row r="285" customFormat="false" ht="15" hidden="false" customHeight="false" outlineLevel="0" collapsed="false">
      <c r="H285" s="0" t="str">
        <f aca="false">IF(A285="","",SUMIFS('DETAIL TRANSAKSI'!$G$5:$G$504,'DETAIL TRANSAKSI'!$A$5:$A$504,A285))</f>
        <v/>
      </c>
      <c r="J285" s="0" t="str">
        <f aca="false">IF(A285="","",SUMIFS('REFUND DAN PEMBATALAN'!$E$5:$E$504,'REFUND DAN PEMBATALAN'!$B$5:$B$504,A285,'REFUND DAN PEMBATALAN'!$I$5:$I$504,"Berhasil"))</f>
        <v/>
      </c>
      <c r="K285" s="0" t="str">
        <f aca="false">IF(A285="","",H285-I285-J285)</f>
        <v/>
      </c>
      <c r="O285" s="0" t="str">
        <f aca="false">IF(A285="","",IF(AND(I285=SUMIFS('DETAIL TRANSAKSI'!$H$5:$H$504,'DETAIL TRANSAKSI'!$A$5:$A$504,A285),J285=SUMIFS('DETAIL TRANSAKSI'!$I$5:$I$504,'DETAIL TRANSAKSI'!$A$5:$A$504,A285)),"OK","CEK ALOKASI"))</f>
        <v/>
      </c>
    </row>
    <row r="286" customFormat="false" ht="15" hidden="false" customHeight="false" outlineLevel="0" collapsed="false">
      <c r="H286" s="0" t="str">
        <f aca="false">IF(A286="","",SUMIFS('DETAIL TRANSAKSI'!$G$5:$G$504,'DETAIL TRANSAKSI'!$A$5:$A$504,A286))</f>
        <v/>
      </c>
      <c r="J286" s="0" t="str">
        <f aca="false">IF(A286="","",SUMIFS('REFUND DAN PEMBATALAN'!$E$5:$E$504,'REFUND DAN PEMBATALAN'!$B$5:$B$504,A286,'REFUND DAN PEMBATALAN'!$I$5:$I$504,"Berhasil"))</f>
        <v/>
      </c>
      <c r="K286" s="0" t="str">
        <f aca="false">IF(A286="","",H286-I286-J286)</f>
        <v/>
      </c>
      <c r="O286" s="0" t="str">
        <f aca="false">IF(A286="","",IF(AND(I286=SUMIFS('DETAIL TRANSAKSI'!$H$5:$H$504,'DETAIL TRANSAKSI'!$A$5:$A$504,A286),J286=SUMIFS('DETAIL TRANSAKSI'!$I$5:$I$504,'DETAIL TRANSAKSI'!$A$5:$A$504,A286)),"OK","CEK ALOKASI"))</f>
        <v/>
      </c>
    </row>
    <row r="287" customFormat="false" ht="15" hidden="false" customHeight="false" outlineLevel="0" collapsed="false">
      <c r="H287" s="0" t="str">
        <f aca="false">IF(A287="","",SUMIFS('DETAIL TRANSAKSI'!$G$5:$G$504,'DETAIL TRANSAKSI'!$A$5:$A$504,A287))</f>
        <v/>
      </c>
      <c r="J287" s="0" t="str">
        <f aca="false">IF(A287="","",SUMIFS('REFUND DAN PEMBATALAN'!$E$5:$E$504,'REFUND DAN PEMBATALAN'!$B$5:$B$504,A287,'REFUND DAN PEMBATALAN'!$I$5:$I$504,"Berhasil"))</f>
        <v/>
      </c>
      <c r="K287" s="0" t="str">
        <f aca="false">IF(A287="","",H287-I287-J287)</f>
        <v/>
      </c>
      <c r="O287" s="0" t="str">
        <f aca="false">IF(A287="","",IF(AND(I287=SUMIFS('DETAIL TRANSAKSI'!$H$5:$H$504,'DETAIL TRANSAKSI'!$A$5:$A$504,A287),J287=SUMIFS('DETAIL TRANSAKSI'!$I$5:$I$504,'DETAIL TRANSAKSI'!$A$5:$A$504,A287)),"OK","CEK ALOKASI"))</f>
        <v/>
      </c>
    </row>
    <row r="288" customFormat="false" ht="15" hidden="false" customHeight="false" outlineLevel="0" collapsed="false">
      <c r="H288" s="0" t="str">
        <f aca="false">IF(A288="","",SUMIFS('DETAIL TRANSAKSI'!$G$5:$G$504,'DETAIL TRANSAKSI'!$A$5:$A$504,A288))</f>
        <v/>
      </c>
      <c r="J288" s="0" t="str">
        <f aca="false">IF(A288="","",SUMIFS('REFUND DAN PEMBATALAN'!$E$5:$E$504,'REFUND DAN PEMBATALAN'!$B$5:$B$504,A288,'REFUND DAN PEMBATALAN'!$I$5:$I$504,"Berhasil"))</f>
        <v/>
      </c>
      <c r="K288" s="0" t="str">
        <f aca="false">IF(A288="","",H288-I288-J288)</f>
        <v/>
      </c>
      <c r="O288" s="0" t="str">
        <f aca="false">IF(A288="","",IF(AND(I288=SUMIFS('DETAIL TRANSAKSI'!$H$5:$H$504,'DETAIL TRANSAKSI'!$A$5:$A$504,A288),J288=SUMIFS('DETAIL TRANSAKSI'!$I$5:$I$504,'DETAIL TRANSAKSI'!$A$5:$A$504,A288)),"OK","CEK ALOKASI"))</f>
        <v/>
      </c>
    </row>
    <row r="289" customFormat="false" ht="15" hidden="false" customHeight="false" outlineLevel="0" collapsed="false">
      <c r="H289" s="0" t="str">
        <f aca="false">IF(A289="","",SUMIFS('DETAIL TRANSAKSI'!$G$5:$G$504,'DETAIL TRANSAKSI'!$A$5:$A$504,A289))</f>
        <v/>
      </c>
      <c r="J289" s="0" t="str">
        <f aca="false">IF(A289="","",SUMIFS('REFUND DAN PEMBATALAN'!$E$5:$E$504,'REFUND DAN PEMBATALAN'!$B$5:$B$504,A289,'REFUND DAN PEMBATALAN'!$I$5:$I$504,"Berhasil"))</f>
        <v/>
      </c>
      <c r="K289" s="0" t="str">
        <f aca="false">IF(A289="","",H289-I289-J289)</f>
        <v/>
      </c>
      <c r="O289" s="0" t="str">
        <f aca="false">IF(A289="","",IF(AND(I289=SUMIFS('DETAIL TRANSAKSI'!$H$5:$H$504,'DETAIL TRANSAKSI'!$A$5:$A$504,A289),J289=SUMIFS('DETAIL TRANSAKSI'!$I$5:$I$504,'DETAIL TRANSAKSI'!$A$5:$A$504,A289)),"OK","CEK ALOKASI"))</f>
        <v/>
      </c>
    </row>
    <row r="290" customFormat="false" ht="15" hidden="false" customHeight="false" outlineLevel="0" collapsed="false">
      <c r="H290" s="0" t="str">
        <f aca="false">IF(A290="","",SUMIFS('DETAIL TRANSAKSI'!$G$5:$G$504,'DETAIL TRANSAKSI'!$A$5:$A$504,A290))</f>
        <v/>
      </c>
      <c r="J290" s="0" t="str">
        <f aca="false">IF(A290="","",SUMIFS('REFUND DAN PEMBATALAN'!$E$5:$E$504,'REFUND DAN PEMBATALAN'!$B$5:$B$504,A290,'REFUND DAN PEMBATALAN'!$I$5:$I$504,"Berhasil"))</f>
        <v/>
      </c>
      <c r="K290" s="0" t="str">
        <f aca="false">IF(A290="","",H290-I290-J290)</f>
        <v/>
      </c>
      <c r="O290" s="0" t="str">
        <f aca="false">IF(A290="","",IF(AND(I290=SUMIFS('DETAIL TRANSAKSI'!$H$5:$H$504,'DETAIL TRANSAKSI'!$A$5:$A$504,A290),J290=SUMIFS('DETAIL TRANSAKSI'!$I$5:$I$504,'DETAIL TRANSAKSI'!$A$5:$A$504,A290)),"OK","CEK ALOKASI"))</f>
        <v/>
      </c>
    </row>
    <row r="291" customFormat="false" ht="15" hidden="false" customHeight="false" outlineLevel="0" collapsed="false">
      <c r="H291" s="0" t="str">
        <f aca="false">IF(A291="","",SUMIFS('DETAIL TRANSAKSI'!$G$5:$G$504,'DETAIL TRANSAKSI'!$A$5:$A$504,A291))</f>
        <v/>
      </c>
      <c r="J291" s="0" t="str">
        <f aca="false">IF(A291="","",SUMIFS('REFUND DAN PEMBATALAN'!$E$5:$E$504,'REFUND DAN PEMBATALAN'!$B$5:$B$504,A291,'REFUND DAN PEMBATALAN'!$I$5:$I$504,"Berhasil"))</f>
        <v/>
      </c>
      <c r="K291" s="0" t="str">
        <f aca="false">IF(A291="","",H291-I291-J291)</f>
        <v/>
      </c>
      <c r="O291" s="0" t="str">
        <f aca="false">IF(A291="","",IF(AND(I291=SUMIFS('DETAIL TRANSAKSI'!$H$5:$H$504,'DETAIL TRANSAKSI'!$A$5:$A$504,A291),J291=SUMIFS('DETAIL TRANSAKSI'!$I$5:$I$504,'DETAIL TRANSAKSI'!$A$5:$A$504,A291)),"OK","CEK ALOKASI"))</f>
        <v/>
      </c>
    </row>
    <row r="292" customFormat="false" ht="15" hidden="false" customHeight="false" outlineLevel="0" collapsed="false">
      <c r="H292" s="0" t="str">
        <f aca="false">IF(A292="","",SUMIFS('DETAIL TRANSAKSI'!$G$5:$G$504,'DETAIL TRANSAKSI'!$A$5:$A$504,A292))</f>
        <v/>
      </c>
      <c r="J292" s="0" t="str">
        <f aca="false">IF(A292="","",SUMIFS('REFUND DAN PEMBATALAN'!$E$5:$E$504,'REFUND DAN PEMBATALAN'!$B$5:$B$504,A292,'REFUND DAN PEMBATALAN'!$I$5:$I$504,"Berhasil"))</f>
        <v/>
      </c>
      <c r="K292" s="0" t="str">
        <f aca="false">IF(A292="","",H292-I292-J292)</f>
        <v/>
      </c>
      <c r="O292" s="0" t="str">
        <f aca="false">IF(A292="","",IF(AND(I292=SUMIFS('DETAIL TRANSAKSI'!$H$5:$H$504,'DETAIL TRANSAKSI'!$A$5:$A$504,A292),J292=SUMIFS('DETAIL TRANSAKSI'!$I$5:$I$504,'DETAIL TRANSAKSI'!$A$5:$A$504,A292)),"OK","CEK ALOKASI"))</f>
        <v/>
      </c>
    </row>
    <row r="293" customFormat="false" ht="15" hidden="false" customHeight="false" outlineLevel="0" collapsed="false">
      <c r="H293" s="0" t="str">
        <f aca="false">IF(A293="","",SUMIFS('DETAIL TRANSAKSI'!$G$5:$G$504,'DETAIL TRANSAKSI'!$A$5:$A$504,A293))</f>
        <v/>
      </c>
      <c r="J293" s="0" t="str">
        <f aca="false">IF(A293="","",SUMIFS('REFUND DAN PEMBATALAN'!$E$5:$E$504,'REFUND DAN PEMBATALAN'!$B$5:$B$504,A293,'REFUND DAN PEMBATALAN'!$I$5:$I$504,"Berhasil"))</f>
        <v/>
      </c>
      <c r="K293" s="0" t="str">
        <f aca="false">IF(A293="","",H293-I293-J293)</f>
        <v/>
      </c>
      <c r="O293" s="0" t="str">
        <f aca="false">IF(A293="","",IF(AND(I293=SUMIFS('DETAIL TRANSAKSI'!$H$5:$H$504,'DETAIL TRANSAKSI'!$A$5:$A$504,A293),J293=SUMIFS('DETAIL TRANSAKSI'!$I$5:$I$504,'DETAIL TRANSAKSI'!$A$5:$A$504,A293)),"OK","CEK ALOKASI"))</f>
        <v/>
      </c>
    </row>
    <row r="294" customFormat="false" ht="15" hidden="false" customHeight="false" outlineLevel="0" collapsed="false">
      <c r="H294" s="0" t="str">
        <f aca="false">IF(A294="","",SUMIFS('DETAIL TRANSAKSI'!$G$5:$G$504,'DETAIL TRANSAKSI'!$A$5:$A$504,A294))</f>
        <v/>
      </c>
      <c r="J294" s="0" t="str">
        <f aca="false">IF(A294="","",SUMIFS('REFUND DAN PEMBATALAN'!$E$5:$E$504,'REFUND DAN PEMBATALAN'!$B$5:$B$504,A294,'REFUND DAN PEMBATALAN'!$I$5:$I$504,"Berhasil"))</f>
        <v/>
      </c>
      <c r="K294" s="0" t="str">
        <f aca="false">IF(A294="","",H294-I294-J294)</f>
        <v/>
      </c>
      <c r="O294" s="0" t="str">
        <f aca="false">IF(A294="","",IF(AND(I294=SUMIFS('DETAIL TRANSAKSI'!$H$5:$H$504,'DETAIL TRANSAKSI'!$A$5:$A$504,A294),J294=SUMIFS('DETAIL TRANSAKSI'!$I$5:$I$504,'DETAIL TRANSAKSI'!$A$5:$A$504,A294)),"OK","CEK ALOKASI"))</f>
        <v/>
      </c>
    </row>
    <row r="295" customFormat="false" ht="15" hidden="false" customHeight="false" outlineLevel="0" collapsed="false">
      <c r="H295" s="0" t="str">
        <f aca="false">IF(A295="","",SUMIFS('DETAIL TRANSAKSI'!$G$5:$G$504,'DETAIL TRANSAKSI'!$A$5:$A$504,A295))</f>
        <v/>
      </c>
      <c r="J295" s="0" t="str">
        <f aca="false">IF(A295="","",SUMIFS('REFUND DAN PEMBATALAN'!$E$5:$E$504,'REFUND DAN PEMBATALAN'!$B$5:$B$504,A295,'REFUND DAN PEMBATALAN'!$I$5:$I$504,"Berhasil"))</f>
        <v/>
      </c>
      <c r="K295" s="0" t="str">
        <f aca="false">IF(A295="","",H295-I295-J295)</f>
        <v/>
      </c>
      <c r="O295" s="0" t="str">
        <f aca="false">IF(A295="","",IF(AND(I295=SUMIFS('DETAIL TRANSAKSI'!$H$5:$H$504,'DETAIL TRANSAKSI'!$A$5:$A$504,A295),J295=SUMIFS('DETAIL TRANSAKSI'!$I$5:$I$504,'DETAIL TRANSAKSI'!$A$5:$A$504,A295)),"OK","CEK ALOKASI"))</f>
        <v/>
      </c>
    </row>
    <row r="296" customFormat="false" ht="15" hidden="false" customHeight="false" outlineLevel="0" collapsed="false">
      <c r="H296" s="0" t="str">
        <f aca="false">IF(A296="","",SUMIFS('DETAIL TRANSAKSI'!$G$5:$G$504,'DETAIL TRANSAKSI'!$A$5:$A$504,A296))</f>
        <v/>
      </c>
      <c r="J296" s="0" t="str">
        <f aca="false">IF(A296="","",SUMIFS('REFUND DAN PEMBATALAN'!$E$5:$E$504,'REFUND DAN PEMBATALAN'!$B$5:$B$504,A296,'REFUND DAN PEMBATALAN'!$I$5:$I$504,"Berhasil"))</f>
        <v/>
      </c>
      <c r="K296" s="0" t="str">
        <f aca="false">IF(A296="","",H296-I296-J296)</f>
        <v/>
      </c>
      <c r="O296" s="0" t="str">
        <f aca="false">IF(A296="","",IF(AND(I296=SUMIFS('DETAIL TRANSAKSI'!$H$5:$H$504,'DETAIL TRANSAKSI'!$A$5:$A$504,A296),J296=SUMIFS('DETAIL TRANSAKSI'!$I$5:$I$504,'DETAIL TRANSAKSI'!$A$5:$A$504,A296)),"OK","CEK ALOKASI"))</f>
        <v/>
      </c>
    </row>
    <row r="297" customFormat="false" ht="15" hidden="false" customHeight="false" outlineLevel="0" collapsed="false">
      <c r="H297" s="0" t="str">
        <f aca="false">IF(A297="","",SUMIFS('DETAIL TRANSAKSI'!$G$5:$G$504,'DETAIL TRANSAKSI'!$A$5:$A$504,A297))</f>
        <v/>
      </c>
      <c r="J297" s="0" t="str">
        <f aca="false">IF(A297="","",SUMIFS('REFUND DAN PEMBATALAN'!$E$5:$E$504,'REFUND DAN PEMBATALAN'!$B$5:$B$504,A297,'REFUND DAN PEMBATALAN'!$I$5:$I$504,"Berhasil"))</f>
        <v/>
      </c>
      <c r="K297" s="0" t="str">
        <f aca="false">IF(A297="","",H297-I297-J297)</f>
        <v/>
      </c>
      <c r="O297" s="0" t="str">
        <f aca="false">IF(A297="","",IF(AND(I297=SUMIFS('DETAIL TRANSAKSI'!$H$5:$H$504,'DETAIL TRANSAKSI'!$A$5:$A$504,A297),J297=SUMIFS('DETAIL TRANSAKSI'!$I$5:$I$504,'DETAIL TRANSAKSI'!$A$5:$A$504,A297)),"OK","CEK ALOKASI"))</f>
        <v/>
      </c>
    </row>
    <row r="298" customFormat="false" ht="15" hidden="false" customHeight="false" outlineLevel="0" collapsed="false">
      <c r="H298" s="0" t="str">
        <f aca="false">IF(A298="","",SUMIFS('DETAIL TRANSAKSI'!$G$5:$G$504,'DETAIL TRANSAKSI'!$A$5:$A$504,A298))</f>
        <v/>
      </c>
      <c r="J298" s="0" t="str">
        <f aca="false">IF(A298="","",SUMIFS('REFUND DAN PEMBATALAN'!$E$5:$E$504,'REFUND DAN PEMBATALAN'!$B$5:$B$504,A298,'REFUND DAN PEMBATALAN'!$I$5:$I$504,"Berhasil"))</f>
        <v/>
      </c>
      <c r="K298" s="0" t="str">
        <f aca="false">IF(A298="","",H298-I298-J298)</f>
        <v/>
      </c>
      <c r="O298" s="0" t="str">
        <f aca="false">IF(A298="","",IF(AND(I298=SUMIFS('DETAIL TRANSAKSI'!$H$5:$H$504,'DETAIL TRANSAKSI'!$A$5:$A$504,A298),J298=SUMIFS('DETAIL TRANSAKSI'!$I$5:$I$504,'DETAIL TRANSAKSI'!$A$5:$A$504,A298)),"OK","CEK ALOKASI"))</f>
        <v/>
      </c>
    </row>
    <row r="299" customFormat="false" ht="15" hidden="false" customHeight="false" outlineLevel="0" collapsed="false">
      <c r="H299" s="0" t="str">
        <f aca="false">IF(A299="","",SUMIFS('DETAIL TRANSAKSI'!$G$5:$G$504,'DETAIL TRANSAKSI'!$A$5:$A$504,A299))</f>
        <v/>
      </c>
      <c r="J299" s="0" t="str">
        <f aca="false">IF(A299="","",SUMIFS('REFUND DAN PEMBATALAN'!$E$5:$E$504,'REFUND DAN PEMBATALAN'!$B$5:$B$504,A299,'REFUND DAN PEMBATALAN'!$I$5:$I$504,"Berhasil"))</f>
        <v/>
      </c>
      <c r="K299" s="0" t="str">
        <f aca="false">IF(A299="","",H299-I299-J299)</f>
        <v/>
      </c>
      <c r="O299" s="0" t="str">
        <f aca="false">IF(A299="","",IF(AND(I299=SUMIFS('DETAIL TRANSAKSI'!$H$5:$H$504,'DETAIL TRANSAKSI'!$A$5:$A$504,A299),J299=SUMIFS('DETAIL TRANSAKSI'!$I$5:$I$504,'DETAIL TRANSAKSI'!$A$5:$A$504,A299)),"OK","CEK ALOKASI"))</f>
        <v/>
      </c>
    </row>
    <row r="300" customFormat="false" ht="15" hidden="false" customHeight="false" outlineLevel="0" collapsed="false">
      <c r="H300" s="0" t="str">
        <f aca="false">IF(A300="","",SUMIFS('DETAIL TRANSAKSI'!$G$5:$G$504,'DETAIL TRANSAKSI'!$A$5:$A$504,A300))</f>
        <v/>
      </c>
      <c r="J300" s="0" t="str">
        <f aca="false">IF(A300="","",SUMIFS('REFUND DAN PEMBATALAN'!$E$5:$E$504,'REFUND DAN PEMBATALAN'!$B$5:$B$504,A300,'REFUND DAN PEMBATALAN'!$I$5:$I$504,"Berhasil"))</f>
        <v/>
      </c>
      <c r="K300" s="0" t="str">
        <f aca="false">IF(A300="","",H300-I300-J300)</f>
        <v/>
      </c>
      <c r="O300" s="0" t="str">
        <f aca="false">IF(A300="","",IF(AND(I300=SUMIFS('DETAIL TRANSAKSI'!$H$5:$H$504,'DETAIL TRANSAKSI'!$A$5:$A$504,A300),J300=SUMIFS('DETAIL TRANSAKSI'!$I$5:$I$504,'DETAIL TRANSAKSI'!$A$5:$A$504,A300)),"OK","CEK ALOKASI"))</f>
        <v/>
      </c>
    </row>
    <row r="301" customFormat="false" ht="15" hidden="false" customHeight="false" outlineLevel="0" collapsed="false">
      <c r="H301" s="0" t="str">
        <f aca="false">IF(A301="","",SUMIFS('DETAIL TRANSAKSI'!$G$5:$G$504,'DETAIL TRANSAKSI'!$A$5:$A$504,A301))</f>
        <v/>
      </c>
      <c r="J301" s="0" t="str">
        <f aca="false">IF(A301="","",SUMIFS('REFUND DAN PEMBATALAN'!$E$5:$E$504,'REFUND DAN PEMBATALAN'!$B$5:$B$504,A301,'REFUND DAN PEMBATALAN'!$I$5:$I$504,"Berhasil"))</f>
        <v/>
      </c>
      <c r="K301" s="0" t="str">
        <f aca="false">IF(A301="","",H301-I301-J301)</f>
        <v/>
      </c>
      <c r="O301" s="0" t="str">
        <f aca="false">IF(A301="","",IF(AND(I301=SUMIFS('DETAIL TRANSAKSI'!$H$5:$H$504,'DETAIL TRANSAKSI'!$A$5:$A$504,A301),J301=SUMIFS('DETAIL TRANSAKSI'!$I$5:$I$504,'DETAIL TRANSAKSI'!$A$5:$A$504,A301)),"OK","CEK ALOKASI"))</f>
        <v/>
      </c>
    </row>
    <row r="302" customFormat="false" ht="15" hidden="false" customHeight="false" outlineLevel="0" collapsed="false">
      <c r="H302" s="0" t="str">
        <f aca="false">IF(A302="","",SUMIFS('DETAIL TRANSAKSI'!$G$5:$G$504,'DETAIL TRANSAKSI'!$A$5:$A$504,A302))</f>
        <v/>
      </c>
      <c r="J302" s="0" t="str">
        <f aca="false">IF(A302="","",SUMIFS('REFUND DAN PEMBATALAN'!$E$5:$E$504,'REFUND DAN PEMBATALAN'!$B$5:$B$504,A302,'REFUND DAN PEMBATALAN'!$I$5:$I$504,"Berhasil"))</f>
        <v/>
      </c>
      <c r="K302" s="0" t="str">
        <f aca="false">IF(A302="","",H302-I302-J302)</f>
        <v/>
      </c>
      <c r="O302" s="0" t="str">
        <f aca="false">IF(A302="","",IF(AND(I302=SUMIFS('DETAIL TRANSAKSI'!$H$5:$H$504,'DETAIL TRANSAKSI'!$A$5:$A$504,A302),J302=SUMIFS('DETAIL TRANSAKSI'!$I$5:$I$504,'DETAIL TRANSAKSI'!$A$5:$A$504,A302)),"OK","CEK ALOKASI"))</f>
        <v/>
      </c>
    </row>
    <row r="303" customFormat="false" ht="15" hidden="false" customHeight="false" outlineLevel="0" collapsed="false">
      <c r="H303" s="0" t="str">
        <f aca="false">IF(A303="","",SUMIFS('DETAIL TRANSAKSI'!$G$5:$G$504,'DETAIL TRANSAKSI'!$A$5:$A$504,A303))</f>
        <v/>
      </c>
      <c r="J303" s="0" t="str">
        <f aca="false">IF(A303="","",SUMIFS('REFUND DAN PEMBATALAN'!$E$5:$E$504,'REFUND DAN PEMBATALAN'!$B$5:$B$504,A303,'REFUND DAN PEMBATALAN'!$I$5:$I$504,"Berhasil"))</f>
        <v/>
      </c>
      <c r="K303" s="0" t="str">
        <f aca="false">IF(A303="","",H303-I303-J303)</f>
        <v/>
      </c>
      <c r="O303" s="0" t="str">
        <f aca="false">IF(A303="","",IF(AND(I303=SUMIFS('DETAIL TRANSAKSI'!$H$5:$H$504,'DETAIL TRANSAKSI'!$A$5:$A$504,A303),J303=SUMIFS('DETAIL TRANSAKSI'!$I$5:$I$504,'DETAIL TRANSAKSI'!$A$5:$A$504,A303)),"OK","CEK ALOKASI"))</f>
        <v/>
      </c>
    </row>
    <row r="304" customFormat="false" ht="15" hidden="false" customHeight="false" outlineLevel="0" collapsed="false">
      <c r="H304" s="0" t="str">
        <f aca="false">IF(A304="","",SUMIFS('DETAIL TRANSAKSI'!$G$5:$G$504,'DETAIL TRANSAKSI'!$A$5:$A$504,A304))</f>
        <v/>
      </c>
      <c r="J304" s="0" t="str">
        <f aca="false">IF(A304="","",SUMIFS('REFUND DAN PEMBATALAN'!$E$5:$E$504,'REFUND DAN PEMBATALAN'!$B$5:$B$504,A304,'REFUND DAN PEMBATALAN'!$I$5:$I$504,"Berhasil"))</f>
        <v/>
      </c>
      <c r="K304" s="0" t="str">
        <f aca="false">IF(A304="","",H304-I304-J304)</f>
        <v/>
      </c>
      <c r="O304" s="0" t="str">
        <f aca="false">IF(A304="","",IF(AND(I304=SUMIFS('DETAIL TRANSAKSI'!$H$5:$H$504,'DETAIL TRANSAKSI'!$A$5:$A$504,A304),J304=SUMIFS('DETAIL TRANSAKSI'!$I$5:$I$504,'DETAIL TRANSAKSI'!$A$5:$A$504,A304)),"OK","CEK ALOKASI"))</f>
        <v/>
      </c>
    </row>
    <row r="305" customFormat="false" ht="15" hidden="false" customHeight="false" outlineLevel="0" collapsed="false">
      <c r="H305" s="0" t="str">
        <f aca="false">IF(A305="","",SUMIFS('DETAIL TRANSAKSI'!$G$5:$G$504,'DETAIL TRANSAKSI'!$A$5:$A$504,A305))</f>
        <v/>
      </c>
      <c r="J305" s="0" t="str">
        <f aca="false">IF(A305="","",SUMIFS('REFUND DAN PEMBATALAN'!$E$5:$E$504,'REFUND DAN PEMBATALAN'!$B$5:$B$504,A305,'REFUND DAN PEMBATALAN'!$I$5:$I$504,"Berhasil"))</f>
        <v/>
      </c>
      <c r="K305" s="0" t="str">
        <f aca="false">IF(A305="","",H305-I305-J305)</f>
        <v/>
      </c>
      <c r="O305" s="0" t="str">
        <f aca="false">IF(A305="","",IF(AND(I305=SUMIFS('DETAIL TRANSAKSI'!$H$5:$H$504,'DETAIL TRANSAKSI'!$A$5:$A$504,A305),J305=SUMIFS('DETAIL TRANSAKSI'!$I$5:$I$504,'DETAIL TRANSAKSI'!$A$5:$A$504,A305)),"OK","CEK ALOKASI"))</f>
        <v/>
      </c>
    </row>
    <row r="306" customFormat="false" ht="15" hidden="false" customHeight="false" outlineLevel="0" collapsed="false">
      <c r="H306" s="0" t="str">
        <f aca="false">IF(A306="","",SUMIFS('DETAIL TRANSAKSI'!$G$5:$G$504,'DETAIL TRANSAKSI'!$A$5:$A$504,A306))</f>
        <v/>
      </c>
      <c r="J306" s="0" t="str">
        <f aca="false">IF(A306="","",SUMIFS('REFUND DAN PEMBATALAN'!$E$5:$E$504,'REFUND DAN PEMBATALAN'!$B$5:$B$504,A306,'REFUND DAN PEMBATALAN'!$I$5:$I$504,"Berhasil"))</f>
        <v/>
      </c>
      <c r="K306" s="0" t="str">
        <f aca="false">IF(A306="","",H306-I306-J306)</f>
        <v/>
      </c>
      <c r="O306" s="0" t="str">
        <f aca="false">IF(A306="","",IF(AND(I306=SUMIFS('DETAIL TRANSAKSI'!$H$5:$H$504,'DETAIL TRANSAKSI'!$A$5:$A$504,A306),J306=SUMIFS('DETAIL TRANSAKSI'!$I$5:$I$504,'DETAIL TRANSAKSI'!$A$5:$A$504,A306)),"OK","CEK ALOKASI"))</f>
        <v/>
      </c>
    </row>
    <row r="307" customFormat="false" ht="15" hidden="false" customHeight="false" outlineLevel="0" collapsed="false">
      <c r="H307" s="0" t="str">
        <f aca="false">IF(A307="","",SUMIFS('DETAIL TRANSAKSI'!$G$5:$G$504,'DETAIL TRANSAKSI'!$A$5:$A$504,A307))</f>
        <v/>
      </c>
      <c r="J307" s="0" t="str">
        <f aca="false">IF(A307="","",SUMIFS('REFUND DAN PEMBATALAN'!$E$5:$E$504,'REFUND DAN PEMBATALAN'!$B$5:$B$504,A307,'REFUND DAN PEMBATALAN'!$I$5:$I$504,"Berhasil"))</f>
        <v/>
      </c>
      <c r="K307" s="0" t="str">
        <f aca="false">IF(A307="","",H307-I307-J307)</f>
        <v/>
      </c>
      <c r="O307" s="0" t="str">
        <f aca="false">IF(A307="","",IF(AND(I307=SUMIFS('DETAIL TRANSAKSI'!$H$5:$H$504,'DETAIL TRANSAKSI'!$A$5:$A$504,A307),J307=SUMIFS('DETAIL TRANSAKSI'!$I$5:$I$504,'DETAIL TRANSAKSI'!$A$5:$A$504,A307)),"OK","CEK ALOKASI"))</f>
        <v/>
      </c>
    </row>
    <row r="308" customFormat="false" ht="15" hidden="false" customHeight="false" outlineLevel="0" collapsed="false">
      <c r="H308" s="0" t="str">
        <f aca="false">IF(A308="","",SUMIFS('DETAIL TRANSAKSI'!$G$5:$G$504,'DETAIL TRANSAKSI'!$A$5:$A$504,A308))</f>
        <v/>
      </c>
      <c r="J308" s="0" t="str">
        <f aca="false">IF(A308="","",SUMIFS('REFUND DAN PEMBATALAN'!$E$5:$E$504,'REFUND DAN PEMBATALAN'!$B$5:$B$504,A308,'REFUND DAN PEMBATALAN'!$I$5:$I$504,"Berhasil"))</f>
        <v/>
      </c>
      <c r="K308" s="0" t="str">
        <f aca="false">IF(A308="","",H308-I308-J308)</f>
        <v/>
      </c>
      <c r="O308" s="0" t="str">
        <f aca="false">IF(A308="","",IF(AND(I308=SUMIFS('DETAIL TRANSAKSI'!$H$5:$H$504,'DETAIL TRANSAKSI'!$A$5:$A$504,A308),J308=SUMIFS('DETAIL TRANSAKSI'!$I$5:$I$504,'DETAIL TRANSAKSI'!$A$5:$A$504,A308)),"OK","CEK ALOKASI"))</f>
        <v/>
      </c>
    </row>
    <row r="309" customFormat="false" ht="15" hidden="false" customHeight="false" outlineLevel="0" collapsed="false">
      <c r="H309" s="0" t="str">
        <f aca="false">IF(A309="","",SUMIFS('DETAIL TRANSAKSI'!$G$5:$G$504,'DETAIL TRANSAKSI'!$A$5:$A$504,A309))</f>
        <v/>
      </c>
      <c r="J309" s="0" t="str">
        <f aca="false">IF(A309="","",SUMIFS('REFUND DAN PEMBATALAN'!$E$5:$E$504,'REFUND DAN PEMBATALAN'!$B$5:$B$504,A309,'REFUND DAN PEMBATALAN'!$I$5:$I$504,"Berhasil"))</f>
        <v/>
      </c>
      <c r="K309" s="0" t="str">
        <f aca="false">IF(A309="","",H309-I309-J309)</f>
        <v/>
      </c>
      <c r="O309" s="0" t="str">
        <f aca="false">IF(A309="","",IF(AND(I309=SUMIFS('DETAIL TRANSAKSI'!$H$5:$H$504,'DETAIL TRANSAKSI'!$A$5:$A$504,A309),J309=SUMIFS('DETAIL TRANSAKSI'!$I$5:$I$504,'DETAIL TRANSAKSI'!$A$5:$A$504,A309)),"OK","CEK ALOKASI"))</f>
        <v/>
      </c>
    </row>
    <row r="310" customFormat="false" ht="15" hidden="false" customHeight="false" outlineLevel="0" collapsed="false">
      <c r="H310" s="0" t="str">
        <f aca="false">IF(A310="","",SUMIFS('DETAIL TRANSAKSI'!$G$5:$G$504,'DETAIL TRANSAKSI'!$A$5:$A$504,A310))</f>
        <v/>
      </c>
      <c r="J310" s="0" t="str">
        <f aca="false">IF(A310="","",SUMIFS('REFUND DAN PEMBATALAN'!$E$5:$E$504,'REFUND DAN PEMBATALAN'!$B$5:$B$504,A310,'REFUND DAN PEMBATALAN'!$I$5:$I$504,"Berhasil"))</f>
        <v/>
      </c>
      <c r="K310" s="0" t="str">
        <f aca="false">IF(A310="","",H310-I310-J310)</f>
        <v/>
      </c>
      <c r="O310" s="0" t="str">
        <f aca="false">IF(A310="","",IF(AND(I310=SUMIFS('DETAIL TRANSAKSI'!$H$5:$H$504,'DETAIL TRANSAKSI'!$A$5:$A$504,A310),J310=SUMIFS('DETAIL TRANSAKSI'!$I$5:$I$504,'DETAIL TRANSAKSI'!$A$5:$A$504,A310)),"OK","CEK ALOKASI"))</f>
        <v/>
      </c>
    </row>
    <row r="311" customFormat="false" ht="15" hidden="false" customHeight="false" outlineLevel="0" collapsed="false">
      <c r="H311" s="0" t="str">
        <f aca="false">IF(A311="","",SUMIFS('DETAIL TRANSAKSI'!$G$5:$G$504,'DETAIL TRANSAKSI'!$A$5:$A$504,A311))</f>
        <v/>
      </c>
      <c r="J311" s="0" t="str">
        <f aca="false">IF(A311="","",SUMIFS('REFUND DAN PEMBATALAN'!$E$5:$E$504,'REFUND DAN PEMBATALAN'!$B$5:$B$504,A311,'REFUND DAN PEMBATALAN'!$I$5:$I$504,"Berhasil"))</f>
        <v/>
      </c>
      <c r="K311" s="0" t="str">
        <f aca="false">IF(A311="","",H311-I311-J311)</f>
        <v/>
      </c>
      <c r="O311" s="0" t="str">
        <f aca="false">IF(A311="","",IF(AND(I311=SUMIFS('DETAIL TRANSAKSI'!$H$5:$H$504,'DETAIL TRANSAKSI'!$A$5:$A$504,A311),J311=SUMIFS('DETAIL TRANSAKSI'!$I$5:$I$504,'DETAIL TRANSAKSI'!$A$5:$A$504,A311)),"OK","CEK ALOKASI"))</f>
        <v/>
      </c>
    </row>
    <row r="312" customFormat="false" ht="15" hidden="false" customHeight="false" outlineLevel="0" collapsed="false">
      <c r="H312" s="0" t="str">
        <f aca="false">IF(A312="","",SUMIFS('DETAIL TRANSAKSI'!$G$5:$G$504,'DETAIL TRANSAKSI'!$A$5:$A$504,A312))</f>
        <v/>
      </c>
      <c r="J312" s="0" t="str">
        <f aca="false">IF(A312="","",SUMIFS('REFUND DAN PEMBATALAN'!$E$5:$E$504,'REFUND DAN PEMBATALAN'!$B$5:$B$504,A312,'REFUND DAN PEMBATALAN'!$I$5:$I$504,"Berhasil"))</f>
        <v/>
      </c>
      <c r="K312" s="0" t="str">
        <f aca="false">IF(A312="","",H312-I312-J312)</f>
        <v/>
      </c>
      <c r="O312" s="0" t="str">
        <f aca="false">IF(A312="","",IF(AND(I312=SUMIFS('DETAIL TRANSAKSI'!$H$5:$H$504,'DETAIL TRANSAKSI'!$A$5:$A$504,A312),J312=SUMIFS('DETAIL TRANSAKSI'!$I$5:$I$504,'DETAIL TRANSAKSI'!$A$5:$A$504,A312)),"OK","CEK ALOKASI"))</f>
        <v/>
      </c>
    </row>
    <row r="313" customFormat="false" ht="15" hidden="false" customHeight="false" outlineLevel="0" collapsed="false">
      <c r="H313" s="0" t="str">
        <f aca="false">IF(A313="","",SUMIFS('DETAIL TRANSAKSI'!$G$5:$G$504,'DETAIL TRANSAKSI'!$A$5:$A$504,A313))</f>
        <v/>
      </c>
      <c r="J313" s="0" t="str">
        <f aca="false">IF(A313="","",SUMIFS('REFUND DAN PEMBATALAN'!$E$5:$E$504,'REFUND DAN PEMBATALAN'!$B$5:$B$504,A313,'REFUND DAN PEMBATALAN'!$I$5:$I$504,"Berhasil"))</f>
        <v/>
      </c>
      <c r="K313" s="0" t="str">
        <f aca="false">IF(A313="","",H313-I313-J313)</f>
        <v/>
      </c>
      <c r="O313" s="0" t="str">
        <f aca="false">IF(A313="","",IF(AND(I313=SUMIFS('DETAIL TRANSAKSI'!$H$5:$H$504,'DETAIL TRANSAKSI'!$A$5:$A$504,A313),J313=SUMIFS('DETAIL TRANSAKSI'!$I$5:$I$504,'DETAIL TRANSAKSI'!$A$5:$A$504,A313)),"OK","CEK ALOKASI"))</f>
        <v/>
      </c>
    </row>
    <row r="314" customFormat="false" ht="15" hidden="false" customHeight="false" outlineLevel="0" collapsed="false">
      <c r="H314" s="0" t="str">
        <f aca="false">IF(A314="","",SUMIFS('DETAIL TRANSAKSI'!$G$5:$G$504,'DETAIL TRANSAKSI'!$A$5:$A$504,A314))</f>
        <v/>
      </c>
      <c r="J314" s="0" t="str">
        <f aca="false">IF(A314="","",SUMIFS('REFUND DAN PEMBATALAN'!$E$5:$E$504,'REFUND DAN PEMBATALAN'!$B$5:$B$504,A314,'REFUND DAN PEMBATALAN'!$I$5:$I$504,"Berhasil"))</f>
        <v/>
      </c>
      <c r="K314" s="0" t="str">
        <f aca="false">IF(A314="","",H314-I314-J314)</f>
        <v/>
      </c>
      <c r="O314" s="0" t="str">
        <f aca="false">IF(A314="","",IF(AND(I314=SUMIFS('DETAIL TRANSAKSI'!$H$5:$H$504,'DETAIL TRANSAKSI'!$A$5:$A$504,A314),J314=SUMIFS('DETAIL TRANSAKSI'!$I$5:$I$504,'DETAIL TRANSAKSI'!$A$5:$A$504,A314)),"OK","CEK ALOKASI"))</f>
        <v/>
      </c>
    </row>
    <row r="315" customFormat="false" ht="15" hidden="false" customHeight="false" outlineLevel="0" collapsed="false">
      <c r="H315" s="0" t="str">
        <f aca="false">IF(A315="","",SUMIFS('DETAIL TRANSAKSI'!$G$5:$G$504,'DETAIL TRANSAKSI'!$A$5:$A$504,A315))</f>
        <v/>
      </c>
      <c r="J315" s="0" t="str">
        <f aca="false">IF(A315="","",SUMIFS('REFUND DAN PEMBATALAN'!$E$5:$E$504,'REFUND DAN PEMBATALAN'!$B$5:$B$504,A315,'REFUND DAN PEMBATALAN'!$I$5:$I$504,"Berhasil"))</f>
        <v/>
      </c>
      <c r="K315" s="0" t="str">
        <f aca="false">IF(A315="","",H315-I315-J315)</f>
        <v/>
      </c>
      <c r="O315" s="0" t="str">
        <f aca="false">IF(A315="","",IF(AND(I315=SUMIFS('DETAIL TRANSAKSI'!$H$5:$H$504,'DETAIL TRANSAKSI'!$A$5:$A$504,A315),J315=SUMIFS('DETAIL TRANSAKSI'!$I$5:$I$504,'DETAIL TRANSAKSI'!$A$5:$A$504,A315)),"OK","CEK ALOKASI"))</f>
        <v/>
      </c>
    </row>
    <row r="316" customFormat="false" ht="15" hidden="false" customHeight="false" outlineLevel="0" collapsed="false">
      <c r="H316" s="0" t="str">
        <f aca="false">IF(A316="","",SUMIFS('DETAIL TRANSAKSI'!$G$5:$G$504,'DETAIL TRANSAKSI'!$A$5:$A$504,A316))</f>
        <v/>
      </c>
      <c r="J316" s="0" t="str">
        <f aca="false">IF(A316="","",SUMIFS('REFUND DAN PEMBATALAN'!$E$5:$E$504,'REFUND DAN PEMBATALAN'!$B$5:$B$504,A316,'REFUND DAN PEMBATALAN'!$I$5:$I$504,"Berhasil"))</f>
        <v/>
      </c>
      <c r="K316" s="0" t="str">
        <f aca="false">IF(A316="","",H316-I316-J316)</f>
        <v/>
      </c>
      <c r="O316" s="0" t="str">
        <f aca="false">IF(A316="","",IF(AND(I316=SUMIFS('DETAIL TRANSAKSI'!$H$5:$H$504,'DETAIL TRANSAKSI'!$A$5:$A$504,A316),J316=SUMIFS('DETAIL TRANSAKSI'!$I$5:$I$504,'DETAIL TRANSAKSI'!$A$5:$A$504,A316)),"OK","CEK ALOKASI"))</f>
        <v/>
      </c>
    </row>
    <row r="317" customFormat="false" ht="15" hidden="false" customHeight="false" outlineLevel="0" collapsed="false">
      <c r="H317" s="0" t="str">
        <f aca="false">IF(A317="","",SUMIFS('DETAIL TRANSAKSI'!$G$5:$G$504,'DETAIL TRANSAKSI'!$A$5:$A$504,A317))</f>
        <v/>
      </c>
      <c r="J317" s="0" t="str">
        <f aca="false">IF(A317="","",SUMIFS('REFUND DAN PEMBATALAN'!$E$5:$E$504,'REFUND DAN PEMBATALAN'!$B$5:$B$504,A317,'REFUND DAN PEMBATALAN'!$I$5:$I$504,"Berhasil"))</f>
        <v/>
      </c>
      <c r="K317" s="0" t="str">
        <f aca="false">IF(A317="","",H317-I317-J317)</f>
        <v/>
      </c>
      <c r="O317" s="0" t="str">
        <f aca="false">IF(A317="","",IF(AND(I317=SUMIFS('DETAIL TRANSAKSI'!$H$5:$H$504,'DETAIL TRANSAKSI'!$A$5:$A$504,A317),J317=SUMIFS('DETAIL TRANSAKSI'!$I$5:$I$504,'DETAIL TRANSAKSI'!$A$5:$A$504,A317)),"OK","CEK ALOKASI"))</f>
        <v/>
      </c>
    </row>
    <row r="318" customFormat="false" ht="15" hidden="false" customHeight="false" outlineLevel="0" collapsed="false">
      <c r="H318" s="0" t="str">
        <f aca="false">IF(A318="","",SUMIFS('DETAIL TRANSAKSI'!$G$5:$G$504,'DETAIL TRANSAKSI'!$A$5:$A$504,A318))</f>
        <v/>
      </c>
      <c r="J318" s="0" t="str">
        <f aca="false">IF(A318="","",SUMIFS('REFUND DAN PEMBATALAN'!$E$5:$E$504,'REFUND DAN PEMBATALAN'!$B$5:$B$504,A318,'REFUND DAN PEMBATALAN'!$I$5:$I$504,"Berhasil"))</f>
        <v/>
      </c>
      <c r="K318" s="0" t="str">
        <f aca="false">IF(A318="","",H318-I318-J318)</f>
        <v/>
      </c>
      <c r="O318" s="0" t="str">
        <f aca="false">IF(A318="","",IF(AND(I318=SUMIFS('DETAIL TRANSAKSI'!$H$5:$H$504,'DETAIL TRANSAKSI'!$A$5:$A$504,A318),J318=SUMIFS('DETAIL TRANSAKSI'!$I$5:$I$504,'DETAIL TRANSAKSI'!$A$5:$A$504,A318)),"OK","CEK ALOKASI"))</f>
        <v/>
      </c>
    </row>
    <row r="319" customFormat="false" ht="15" hidden="false" customHeight="false" outlineLevel="0" collapsed="false">
      <c r="H319" s="0" t="str">
        <f aca="false">IF(A319="","",SUMIFS('DETAIL TRANSAKSI'!$G$5:$G$504,'DETAIL TRANSAKSI'!$A$5:$A$504,A319))</f>
        <v/>
      </c>
      <c r="J319" s="0" t="str">
        <f aca="false">IF(A319="","",SUMIFS('REFUND DAN PEMBATALAN'!$E$5:$E$504,'REFUND DAN PEMBATALAN'!$B$5:$B$504,A319,'REFUND DAN PEMBATALAN'!$I$5:$I$504,"Berhasil"))</f>
        <v/>
      </c>
      <c r="K319" s="0" t="str">
        <f aca="false">IF(A319="","",H319-I319-J319)</f>
        <v/>
      </c>
      <c r="O319" s="0" t="str">
        <f aca="false">IF(A319="","",IF(AND(I319=SUMIFS('DETAIL TRANSAKSI'!$H$5:$H$504,'DETAIL TRANSAKSI'!$A$5:$A$504,A319),J319=SUMIFS('DETAIL TRANSAKSI'!$I$5:$I$504,'DETAIL TRANSAKSI'!$A$5:$A$504,A319)),"OK","CEK ALOKASI"))</f>
        <v/>
      </c>
    </row>
    <row r="320" customFormat="false" ht="15" hidden="false" customHeight="false" outlineLevel="0" collapsed="false">
      <c r="H320" s="0" t="str">
        <f aca="false">IF(A320="","",SUMIFS('DETAIL TRANSAKSI'!$G$5:$G$504,'DETAIL TRANSAKSI'!$A$5:$A$504,A320))</f>
        <v/>
      </c>
      <c r="J320" s="0" t="str">
        <f aca="false">IF(A320="","",SUMIFS('REFUND DAN PEMBATALAN'!$E$5:$E$504,'REFUND DAN PEMBATALAN'!$B$5:$B$504,A320,'REFUND DAN PEMBATALAN'!$I$5:$I$504,"Berhasil"))</f>
        <v/>
      </c>
      <c r="K320" s="0" t="str">
        <f aca="false">IF(A320="","",H320-I320-J320)</f>
        <v/>
      </c>
      <c r="O320" s="0" t="str">
        <f aca="false">IF(A320="","",IF(AND(I320=SUMIFS('DETAIL TRANSAKSI'!$H$5:$H$504,'DETAIL TRANSAKSI'!$A$5:$A$504,A320),J320=SUMIFS('DETAIL TRANSAKSI'!$I$5:$I$504,'DETAIL TRANSAKSI'!$A$5:$A$504,A320)),"OK","CEK ALOKASI"))</f>
        <v/>
      </c>
    </row>
    <row r="321" customFormat="false" ht="15" hidden="false" customHeight="false" outlineLevel="0" collapsed="false">
      <c r="H321" s="0" t="str">
        <f aca="false">IF(A321="","",SUMIFS('DETAIL TRANSAKSI'!$G$5:$G$504,'DETAIL TRANSAKSI'!$A$5:$A$504,A321))</f>
        <v/>
      </c>
      <c r="J321" s="0" t="str">
        <f aca="false">IF(A321="","",SUMIFS('REFUND DAN PEMBATALAN'!$E$5:$E$504,'REFUND DAN PEMBATALAN'!$B$5:$B$504,A321,'REFUND DAN PEMBATALAN'!$I$5:$I$504,"Berhasil"))</f>
        <v/>
      </c>
      <c r="K321" s="0" t="str">
        <f aca="false">IF(A321="","",H321-I321-J321)</f>
        <v/>
      </c>
      <c r="O321" s="0" t="str">
        <f aca="false">IF(A321="","",IF(AND(I321=SUMIFS('DETAIL TRANSAKSI'!$H$5:$H$504,'DETAIL TRANSAKSI'!$A$5:$A$504,A321),J321=SUMIFS('DETAIL TRANSAKSI'!$I$5:$I$504,'DETAIL TRANSAKSI'!$A$5:$A$504,A321)),"OK","CEK ALOKASI"))</f>
        <v/>
      </c>
    </row>
    <row r="322" customFormat="false" ht="15" hidden="false" customHeight="false" outlineLevel="0" collapsed="false">
      <c r="H322" s="0" t="str">
        <f aca="false">IF(A322="","",SUMIFS('DETAIL TRANSAKSI'!$G$5:$G$504,'DETAIL TRANSAKSI'!$A$5:$A$504,A322))</f>
        <v/>
      </c>
      <c r="J322" s="0" t="str">
        <f aca="false">IF(A322="","",SUMIFS('REFUND DAN PEMBATALAN'!$E$5:$E$504,'REFUND DAN PEMBATALAN'!$B$5:$B$504,A322,'REFUND DAN PEMBATALAN'!$I$5:$I$504,"Berhasil"))</f>
        <v/>
      </c>
      <c r="K322" s="0" t="str">
        <f aca="false">IF(A322="","",H322-I322-J322)</f>
        <v/>
      </c>
      <c r="O322" s="0" t="str">
        <f aca="false">IF(A322="","",IF(AND(I322=SUMIFS('DETAIL TRANSAKSI'!$H$5:$H$504,'DETAIL TRANSAKSI'!$A$5:$A$504,A322),J322=SUMIFS('DETAIL TRANSAKSI'!$I$5:$I$504,'DETAIL TRANSAKSI'!$A$5:$A$504,A322)),"OK","CEK ALOKASI"))</f>
        <v/>
      </c>
    </row>
    <row r="323" customFormat="false" ht="15" hidden="false" customHeight="false" outlineLevel="0" collapsed="false">
      <c r="H323" s="0" t="str">
        <f aca="false">IF(A323="","",SUMIFS('DETAIL TRANSAKSI'!$G$5:$G$504,'DETAIL TRANSAKSI'!$A$5:$A$504,A323))</f>
        <v/>
      </c>
      <c r="J323" s="0" t="str">
        <f aca="false">IF(A323="","",SUMIFS('REFUND DAN PEMBATALAN'!$E$5:$E$504,'REFUND DAN PEMBATALAN'!$B$5:$B$504,A323,'REFUND DAN PEMBATALAN'!$I$5:$I$504,"Berhasil"))</f>
        <v/>
      </c>
      <c r="K323" s="0" t="str">
        <f aca="false">IF(A323="","",H323-I323-J323)</f>
        <v/>
      </c>
      <c r="O323" s="0" t="str">
        <f aca="false">IF(A323="","",IF(AND(I323=SUMIFS('DETAIL TRANSAKSI'!$H$5:$H$504,'DETAIL TRANSAKSI'!$A$5:$A$504,A323),J323=SUMIFS('DETAIL TRANSAKSI'!$I$5:$I$504,'DETAIL TRANSAKSI'!$A$5:$A$504,A323)),"OK","CEK ALOKASI"))</f>
        <v/>
      </c>
    </row>
    <row r="324" customFormat="false" ht="15" hidden="false" customHeight="false" outlineLevel="0" collapsed="false">
      <c r="H324" s="0" t="str">
        <f aca="false">IF(A324="","",SUMIFS('DETAIL TRANSAKSI'!$G$5:$G$504,'DETAIL TRANSAKSI'!$A$5:$A$504,A324))</f>
        <v/>
      </c>
      <c r="J324" s="0" t="str">
        <f aca="false">IF(A324="","",SUMIFS('REFUND DAN PEMBATALAN'!$E$5:$E$504,'REFUND DAN PEMBATALAN'!$B$5:$B$504,A324,'REFUND DAN PEMBATALAN'!$I$5:$I$504,"Berhasil"))</f>
        <v/>
      </c>
      <c r="K324" s="0" t="str">
        <f aca="false">IF(A324="","",H324-I324-J324)</f>
        <v/>
      </c>
      <c r="O324" s="0" t="str">
        <f aca="false">IF(A324="","",IF(AND(I324=SUMIFS('DETAIL TRANSAKSI'!$H$5:$H$504,'DETAIL TRANSAKSI'!$A$5:$A$504,A324),J324=SUMIFS('DETAIL TRANSAKSI'!$I$5:$I$504,'DETAIL TRANSAKSI'!$A$5:$A$504,A324)),"OK","CEK ALOKASI"))</f>
        <v/>
      </c>
    </row>
    <row r="325" customFormat="false" ht="15" hidden="false" customHeight="false" outlineLevel="0" collapsed="false">
      <c r="H325" s="0" t="str">
        <f aca="false">IF(A325="","",SUMIFS('DETAIL TRANSAKSI'!$G$5:$G$504,'DETAIL TRANSAKSI'!$A$5:$A$504,A325))</f>
        <v/>
      </c>
      <c r="J325" s="0" t="str">
        <f aca="false">IF(A325="","",SUMIFS('REFUND DAN PEMBATALAN'!$E$5:$E$504,'REFUND DAN PEMBATALAN'!$B$5:$B$504,A325,'REFUND DAN PEMBATALAN'!$I$5:$I$504,"Berhasil"))</f>
        <v/>
      </c>
      <c r="K325" s="0" t="str">
        <f aca="false">IF(A325="","",H325-I325-J325)</f>
        <v/>
      </c>
      <c r="O325" s="0" t="str">
        <f aca="false">IF(A325="","",IF(AND(I325=SUMIFS('DETAIL TRANSAKSI'!$H$5:$H$504,'DETAIL TRANSAKSI'!$A$5:$A$504,A325),J325=SUMIFS('DETAIL TRANSAKSI'!$I$5:$I$504,'DETAIL TRANSAKSI'!$A$5:$A$504,A325)),"OK","CEK ALOKASI"))</f>
        <v/>
      </c>
    </row>
    <row r="326" customFormat="false" ht="15" hidden="false" customHeight="false" outlineLevel="0" collapsed="false">
      <c r="H326" s="0" t="str">
        <f aca="false">IF(A326="","",SUMIFS('DETAIL TRANSAKSI'!$G$5:$G$504,'DETAIL TRANSAKSI'!$A$5:$A$504,A326))</f>
        <v/>
      </c>
      <c r="J326" s="0" t="str">
        <f aca="false">IF(A326="","",SUMIFS('REFUND DAN PEMBATALAN'!$E$5:$E$504,'REFUND DAN PEMBATALAN'!$B$5:$B$504,A326,'REFUND DAN PEMBATALAN'!$I$5:$I$504,"Berhasil"))</f>
        <v/>
      </c>
      <c r="K326" s="0" t="str">
        <f aca="false">IF(A326="","",H326-I326-J326)</f>
        <v/>
      </c>
      <c r="O326" s="0" t="str">
        <f aca="false">IF(A326="","",IF(AND(I326=SUMIFS('DETAIL TRANSAKSI'!$H$5:$H$504,'DETAIL TRANSAKSI'!$A$5:$A$504,A326),J326=SUMIFS('DETAIL TRANSAKSI'!$I$5:$I$504,'DETAIL TRANSAKSI'!$A$5:$A$504,A326)),"OK","CEK ALOKASI"))</f>
        <v/>
      </c>
    </row>
    <row r="327" customFormat="false" ht="15" hidden="false" customHeight="false" outlineLevel="0" collapsed="false">
      <c r="H327" s="0" t="str">
        <f aca="false">IF(A327="","",SUMIFS('DETAIL TRANSAKSI'!$G$5:$G$504,'DETAIL TRANSAKSI'!$A$5:$A$504,A327))</f>
        <v/>
      </c>
      <c r="J327" s="0" t="str">
        <f aca="false">IF(A327="","",SUMIFS('REFUND DAN PEMBATALAN'!$E$5:$E$504,'REFUND DAN PEMBATALAN'!$B$5:$B$504,A327,'REFUND DAN PEMBATALAN'!$I$5:$I$504,"Berhasil"))</f>
        <v/>
      </c>
      <c r="K327" s="0" t="str">
        <f aca="false">IF(A327="","",H327-I327-J327)</f>
        <v/>
      </c>
      <c r="O327" s="0" t="str">
        <f aca="false">IF(A327="","",IF(AND(I327=SUMIFS('DETAIL TRANSAKSI'!$H$5:$H$504,'DETAIL TRANSAKSI'!$A$5:$A$504,A327),J327=SUMIFS('DETAIL TRANSAKSI'!$I$5:$I$504,'DETAIL TRANSAKSI'!$A$5:$A$504,A327)),"OK","CEK ALOKASI"))</f>
        <v/>
      </c>
    </row>
    <row r="328" customFormat="false" ht="15" hidden="false" customHeight="false" outlineLevel="0" collapsed="false">
      <c r="H328" s="0" t="str">
        <f aca="false">IF(A328="","",SUMIFS('DETAIL TRANSAKSI'!$G$5:$G$504,'DETAIL TRANSAKSI'!$A$5:$A$504,A328))</f>
        <v/>
      </c>
      <c r="J328" s="0" t="str">
        <f aca="false">IF(A328="","",SUMIFS('REFUND DAN PEMBATALAN'!$E$5:$E$504,'REFUND DAN PEMBATALAN'!$B$5:$B$504,A328,'REFUND DAN PEMBATALAN'!$I$5:$I$504,"Berhasil"))</f>
        <v/>
      </c>
      <c r="K328" s="0" t="str">
        <f aca="false">IF(A328="","",H328-I328-J328)</f>
        <v/>
      </c>
      <c r="O328" s="0" t="str">
        <f aca="false">IF(A328="","",IF(AND(I328=SUMIFS('DETAIL TRANSAKSI'!$H$5:$H$504,'DETAIL TRANSAKSI'!$A$5:$A$504,A328),J328=SUMIFS('DETAIL TRANSAKSI'!$I$5:$I$504,'DETAIL TRANSAKSI'!$A$5:$A$504,A328)),"OK","CEK ALOKASI"))</f>
        <v/>
      </c>
    </row>
    <row r="329" customFormat="false" ht="15" hidden="false" customHeight="false" outlineLevel="0" collapsed="false">
      <c r="H329" s="0" t="str">
        <f aca="false">IF(A329="","",SUMIFS('DETAIL TRANSAKSI'!$G$5:$G$504,'DETAIL TRANSAKSI'!$A$5:$A$504,A329))</f>
        <v/>
      </c>
      <c r="J329" s="0" t="str">
        <f aca="false">IF(A329="","",SUMIFS('REFUND DAN PEMBATALAN'!$E$5:$E$504,'REFUND DAN PEMBATALAN'!$B$5:$B$504,A329,'REFUND DAN PEMBATALAN'!$I$5:$I$504,"Berhasil"))</f>
        <v/>
      </c>
      <c r="K329" s="0" t="str">
        <f aca="false">IF(A329="","",H329-I329-J329)</f>
        <v/>
      </c>
      <c r="O329" s="0" t="str">
        <f aca="false">IF(A329="","",IF(AND(I329=SUMIFS('DETAIL TRANSAKSI'!$H$5:$H$504,'DETAIL TRANSAKSI'!$A$5:$A$504,A329),J329=SUMIFS('DETAIL TRANSAKSI'!$I$5:$I$504,'DETAIL TRANSAKSI'!$A$5:$A$504,A329)),"OK","CEK ALOKASI"))</f>
        <v/>
      </c>
    </row>
    <row r="330" customFormat="false" ht="15" hidden="false" customHeight="false" outlineLevel="0" collapsed="false">
      <c r="H330" s="0" t="str">
        <f aca="false">IF(A330="","",SUMIFS('DETAIL TRANSAKSI'!$G$5:$G$504,'DETAIL TRANSAKSI'!$A$5:$A$504,A330))</f>
        <v/>
      </c>
      <c r="J330" s="0" t="str">
        <f aca="false">IF(A330="","",SUMIFS('REFUND DAN PEMBATALAN'!$E$5:$E$504,'REFUND DAN PEMBATALAN'!$B$5:$B$504,A330,'REFUND DAN PEMBATALAN'!$I$5:$I$504,"Berhasil"))</f>
        <v/>
      </c>
      <c r="K330" s="0" t="str">
        <f aca="false">IF(A330="","",H330-I330-J330)</f>
        <v/>
      </c>
      <c r="O330" s="0" t="str">
        <f aca="false">IF(A330="","",IF(AND(I330=SUMIFS('DETAIL TRANSAKSI'!$H$5:$H$504,'DETAIL TRANSAKSI'!$A$5:$A$504,A330),J330=SUMIFS('DETAIL TRANSAKSI'!$I$5:$I$504,'DETAIL TRANSAKSI'!$A$5:$A$504,A330)),"OK","CEK ALOKASI"))</f>
        <v/>
      </c>
    </row>
    <row r="331" customFormat="false" ht="15" hidden="false" customHeight="false" outlineLevel="0" collapsed="false">
      <c r="H331" s="0" t="str">
        <f aca="false">IF(A331="","",SUMIFS('DETAIL TRANSAKSI'!$G$5:$G$504,'DETAIL TRANSAKSI'!$A$5:$A$504,A331))</f>
        <v/>
      </c>
      <c r="J331" s="0" t="str">
        <f aca="false">IF(A331="","",SUMIFS('REFUND DAN PEMBATALAN'!$E$5:$E$504,'REFUND DAN PEMBATALAN'!$B$5:$B$504,A331,'REFUND DAN PEMBATALAN'!$I$5:$I$504,"Berhasil"))</f>
        <v/>
      </c>
      <c r="K331" s="0" t="str">
        <f aca="false">IF(A331="","",H331-I331-J331)</f>
        <v/>
      </c>
      <c r="O331" s="0" t="str">
        <f aca="false">IF(A331="","",IF(AND(I331=SUMIFS('DETAIL TRANSAKSI'!$H$5:$H$504,'DETAIL TRANSAKSI'!$A$5:$A$504,A331),J331=SUMIFS('DETAIL TRANSAKSI'!$I$5:$I$504,'DETAIL TRANSAKSI'!$A$5:$A$504,A331)),"OK","CEK ALOKASI"))</f>
        <v/>
      </c>
    </row>
    <row r="332" customFormat="false" ht="15" hidden="false" customHeight="false" outlineLevel="0" collapsed="false">
      <c r="H332" s="0" t="str">
        <f aca="false">IF(A332="","",SUMIFS('DETAIL TRANSAKSI'!$G$5:$G$504,'DETAIL TRANSAKSI'!$A$5:$A$504,A332))</f>
        <v/>
      </c>
      <c r="J332" s="0" t="str">
        <f aca="false">IF(A332="","",SUMIFS('REFUND DAN PEMBATALAN'!$E$5:$E$504,'REFUND DAN PEMBATALAN'!$B$5:$B$504,A332,'REFUND DAN PEMBATALAN'!$I$5:$I$504,"Berhasil"))</f>
        <v/>
      </c>
      <c r="K332" s="0" t="str">
        <f aca="false">IF(A332="","",H332-I332-J332)</f>
        <v/>
      </c>
      <c r="O332" s="0" t="str">
        <f aca="false">IF(A332="","",IF(AND(I332=SUMIFS('DETAIL TRANSAKSI'!$H$5:$H$504,'DETAIL TRANSAKSI'!$A$5:$A$504,A332),J332=SUMIFS('DETAIL TRANSAKSI'!$I$5:$I$504,'DETAIL TRANSAKSI'!$A$5:$A$504,A332)),"OK","CEK ALOKASI"))</f>
        <v/>
      </c>
    </row>
    <row r="333" customFormat="false" ht="15" hidden="false" customHeight="false" outlineLevel="0" collapsed="false">
      <c r="H333" s="0" t="str">
        <f aca="false">IF(A333="","",SUMIFS('DETAIL TRANSAKSI'!$G$5:$G$504,'DETAIL TRANSAKSI'!$A$5:$A$504,A333))</f>
        <v/>
      </c>
      <c r="J333" s="0" t="str">
        <f aca="false">IF(A333="","",SUMIFS('REFUND DAN PEMBATALAN'!$E$5:$E$504,'REFUND DAN PEMBATALAN'!$B$5:$B$504,A333,'REFUND DAN PEMBATALAN'!$I$5:$I$504,"Berhasil"))</f>
        <v/>
      </c>
      <c r="K333" s="0" t="str">
        <f aca="false">IF(A333="","",H333-I333-J333)</f>
        <v/>
      </c>
      <c r="O333" s="0" t="str">
        <f aca="false">IF(A333="","",IF(AND(I333=SUMIFS('DETAIL TRANSAKSI'!$H$5:$H$504,'DETAIL TRANSAKSI'!$A$5:$A$504,A333),J333=SUMIFS('DETAIL TRANSAKSI'!$I$5:$I$504,'DETAIL TRANSAKSI'!$A$5:$A$504,A333)),"OK","CEK ALOKASI"))</f>
        <v/>
      </c>
    </row>
    <row r="334" customFormat="false" ht="15" hidden="false" customHeight="false" outlineLevel="0" collapsed="false">
      <c r="H334" s="0" t="str">
        <f aca="false">IF(A334="","",SUMIFS('DETAIL TRANSAKSI'!$G$5:$G$504,'DETAIL TRANSAKSI'!$A$5:$A$504,A334))</f>
        <v/>
      </c>
      <c r="J334" s="0" t="str">
        <f aca="false">IF(A334="","",SUMIFS('REFUND DAN PEMBATALAN'!$E$5:$E$504,'REFUND DAN PEMBATALAN'!$B$5:$B$504,A334,'REFUND DAN PEMBATALAN'!$I$5:$I$504,"Berhasil"))</f>
        <v/>
      </c>
      <c r="K334" s="0" t="str">
        <f aca="false">IF(A334="","",H334-I334-J334)</f>
        <v/>
      </c>
      <c r="O334" s="0" t="str">
        <f aca="false">IF(A334="","",IF(AND(I334=SUMIFS('DETAIL TRANSAKSI'!$H$5:$H$504,'DETAIL TRANSAKSI'!$A$5:$A$504,A334),J334=SUMIFS('DETAIL TRANSAKSI'!$I$5:$I$504,'DETAIL TRANSAKSI'!$A$5:$A$504,A334)),"OK","CEK ALOKASI"))</f>
        <v/>
      </c>
    </row>
    <row r="335" customFormat="false" ht="15" hidden="false" customHeight="false" outlineLevel="0" collapsed="false">
      <c r="H335" s="0" t="str">
        <f aca="false">IF(A335="","",SUMIFS('DETAIL TRANSAKSI'!$G$5:$G$504,'DETAIL TRANSAKSI'!$A$5:$A$504,A335))</f>
        <v/>
      </c>
      <c r="J335" s="0" t="str">
        <f aca="false">IF(A335="","",SUMIFS('REFUND DAN PEMBATALAN'!$E$5:$E$504,'REFUND DAN PEMBATALAN'!$B$5:$B$504,A335,'REFUND DAN PEMBATALAN'!$I$5:$I$504,"Berhasil"))</f>
        <v/>
      </c>
      <c r="K335" s="0" t="str">
        <f aca="false">IF(A335="","",H335-I335-J335)</f>
        <v/>
      </c>
      <c r="O335" s="0" t="str">
        <f aca="false">IF(A335="","",IF(AND(I335=SUMIFS('DETAIL TRANSAKSI'!$H$5:$H$504,'DETAIL TRANSAKSI'!$A$5:$A$504,A335),J335=SUMIFS('DETAIL TRANSAKSI'!$I$5:$I$504,'DETAIL TRANSAKSI'!$A$5:$A$504,A335)),"OK","CEK ALOKASI"))</f>
        <v/>
      </c>
    </row>
    <row r="336" customFormat="false" ht="15" hidden="false" customHeight="false" outlineLevel="0" collapsed="false">
      <c r="H336" s="0" t="str">
        <f aca="false">IF(A336="","",SUMIFS('DETAIL TRANSAKSI'!$G$5:$G$504,'DETAIL TRANSAKSI'!$A$5:$A$504,A336))</f>
        <v/>
      </c>
      <c r="J336" s="0" t="str">
        <f aca="false">IF(A336="","",SUMIFS('REFUND DAN PEMBATALAN'!$E$5:$E$504,'REFUND DAN PEMBATALAN'!$B$5:$B$504,A336,'REFUND DAN PEMBATALAN'!$I$5:$I$504,"Berhasil"))</f>
        <v/>
      </c>
      <c r="K336" s="0" t="str">
        <f aca="false">IF(A336="","",H336-I336-J336)</f>
        <v/>
      </c>
      <c r="O336" s="0" t="str">
        <f aca="false">IF(A336="","",IF(AND(I336=SUMIFS('DETAIL TRANSAKSI'!$H$5:$H$504,'DETAIL TRANSAKSI'!$A$5:$A$504,A336),J336=SUMIFS('DETAIL TRANSAKSI'!$I$5:$I$504,'DETAIL TRANSAKSI'!$A$5:$A$504,A336)),"OK","CEK ALOKASI"))</f>
        <v/>
      </c>
    </row>
    <row r="337" customFormat="false" ht="15" hidden="false" customHeight="false" outlineLevel="0" collapsed="false">
      <c r="H337" s="0" t="str">
        <f aca="false">IF(A337="","",SUMIFS('DETAIL TRANSAKSI'!$G$5:$G$504,'DETAIL TRANSAKSI'!$A$5:$A$504,A337))</f>
        <v/>
      </c>
      <c r="J337" s="0" t="str">
        <f aca="false">IF(A337="","",SUMIFS('REFUND DAN PEMBATALAN'!$E$5:$E$504,'REFUND DAN PEMBATALAN'!$B$5:$B$504,A337,'REFUND DAN PEMBATALAN'!$I$5:$I$504,"Berhasil"))</f>
        <v/>
      </c>
      <c r="K337" s="0" t="str">
        <f aca="false">IF(A337="","",H337-I337-J337)</f>
        <v/>
      </c>
      <c r="O337" s="0" t="str">
        <f aca="false">IF(A337="","",IF(AND(I337=SUMIFS('DETAIL TRANSAKSI'!$H$5:$H$504,'DETAIL TRANSAKSI'!$A$5:$A$504,A337),J337=SUMIFS('DETAIL TRANSAKSI'!$I$5:$I$504,'DETAIL TRANSAKSI'!$A$5:$A$504,A337)),"OK","CEK ALOKASI"))</f>
        <v/>
      </c>
    </row>
    <row r="338" customFormat="false" ht="15" hidden="false" customHeight="false" outlineLevel="0" collapsed="false">
      <c r="H338" s="0" t="str">
        <f aca="false">IF(A338="","",SUMIFS('DETAIL TRANSAKSI'!$G$5:$G$504,'DETAIL TRANSAKSI'!$A$5:$A$504,A338))</f>
        <v/>
      </c>
      <c r="J338" s="0" t="str">
        <f aca="false">IF(A338="","",SUMIFS('REFUND DAN PEMBATALAN'!$E$5:$E$504,'REFUND DAN PEMBATALAN'!$B$5:$B$504,A338,'REFUND DAN PEMBATALAN'!$I$5:$I$504,"Berhasil"))</f>
        <v/>
      </c>
      <c r="K338" s="0" t="str">
        <f aca="false">IF(A338="","",H338-I338-J338)</f>
        <v/>
      </c>
      <c r="O338" s="0" t="str">
        <f aca="false">IF(A338="","",IF(AND(I338=SUMIFS('DETAIL TRANSAKSI'!$H$5:$H$504,'DETAIL TRANSAKSI'!$A$5:$A$504,A338),J338=SUMIFS('DETAIL TRANSAKSI'!$I$5:$I$504,'DETAIL TRANSAKSI'!$A$5:$A$504,A338)),"OK","CEK ALOKASI"))</f>
        <v/>
      </c>
    </row>
    <row r="339" customFormat="false" ht="15" hidden="false" customHeight="false" outlineLevel="0" collapsed="false">
      <c r="H339" s="0" t="str">
        <f aca="false">IF(A339="","",SUMIFS('DETAIL TRANSAKSI'!$G$5:$G$504,'DETAIL TRANSAKSI'!$A$5:$A$504,A339))</f>
        <v/>
      </c>
      <c r="J339" s="0" t="str">
        <f aca="false">IF(A339="","",SUMIFS('REFUND DAN PEMBATALAN'!$E$5:$E$504,'REFUND DAN PEMBATALAN'!$B$5:$B$504,A339,'REFUND DAN PEMBATALAN'!$I$5:$I$504,"Berhasil"))</f>
        <v/>
      </c>
      <c r="K339" s="0" t="str">
        <f aca="false">IF(A339="","",H339-I339-J339)</f>
        <v/>
      </c>
      <c r="O339" s="0" t="str">
        <f aca="false">IF(A339="","",IF(AND(I339=SUMIFS('DETAIL TRANSAKSI'!$H$5:$H$504,'DETAIL TRANSAKSI'!$A$5:$A$504,A339),J339=SUMIFS('DETAIL TRANSAKSI'!$I$5:$I$504,'DETAIL TRANSAKSI'!$A$5:$A$504,A339)),"OK","CEK ALOKASI"))</f>
        <v/>
      </c>
    </row>
    <row r="340" customFormat="false" ht="15" hidden="false" customHeight="false" outlineLevel="0" collapsed="false">
      <c r="H340" s="0" t="str">
        <f aca="false">IF(A340="","",SUMIFS('DETAIL TRANSAKSI'!$G$5:$G$504,'DETAIL TRANSAKSI'!$A$5:$A$504,A340))</f>
        <v/>
      </c>
      <c r="J340" s="0" t="str">
        <f aca="false">IF(A340="","",SUMIFS('REFUND DAN PEMBATALAN'!$E$5:$E$504,'REFUND DAN PEMBATALAN'!$B$5:$B$504,A340,'REFUND DAN PEMBATALAN'!$I$5:$I$504,"Berhasil"))</f>
        <v/>
      </c>
      <c r="K340" s="0" t="str">
        <f aca="false">IF(A340="","",H340-I340-J340)</f>
        <v/>
      </c>
      <c r="O340" s="0" t="str">
        <f aca="false">IF(A340="","",IF(AND(I340=SUMIFS('DETAIL TRANSAKSI'!$H$5:$H$504,'DETAIL TRANSAKSI'!$A$5:$A$504,A340),J340=SUMIFS('DETAIL TRANSAKSI'!$I$5:$I$504,'DETAIL TRANSAKSI'!$A$5:$A$504,A340)),"OK","CEK ALOKASI"))</f>
        <v/>
      </c>
    </row>
    <row r="341" customFormat="false" ht="15" hidden="false" customHeight="false" outlineLevel="0" collapsed="false">
      <c r="H341" s="0" t="str">
        <f aca="false">IF(A341="","",SUMIFS('DETAIL TRANSAKSI'!$G$5:$G$504,'DETAIL TRANSAKSI'!$A$5:$A$504,A341))</f>
        <v/>
      </c>
      <c r="J341" s="0" t="str">
        <f aca="false">IF(A341="","",SUMIFS('REFUND DAN PEMBATALAN'!$E$5:$E$504,'REFUND DAN PEMBATALAN'!$B$5:$B$504,A341,'REFUND DAN PEMBATALAN'!$I$5:$I$504,"Berhasil"))</f>
        <v/>
      </c>
      <c r="K341" s="0" t="str">
        <f aca="false">IF(A341="","",H341-I341-J341)</f>
        <v/>
      </c>
      <c r="O341" s="0" t="str">
        <f aca="false">IF(A341="","",IF(AND(I341=SUMIFS('DETAIL TRANSAKSI'!$H$5:$H$504,'DETAIL TRANSAKSI'!$A$5:$A$504,A341),J341=SUMIFS('DETAIL TRANSAKSI'!$I$5:$I$504,'DETAIL TRANSAKSI'!$A$5:$A$504,A341)),"OK","CEK ALOKASI"))</f>
        <v/>
      </c>
    </row>
    <row r="342" customFormat="false" ht="15" hidden="false" customHeight="false" outlineLevel="0" collapsed="false">
      <c r="H342" s="0" t="str">
        <f aca="false">IF(A342="","",SUMIFS('DETAIL TRANSAKSI'!$G$5:$G$504,'DETAIL TRANSAKSI'!$A$5:$A$504,A342))</f>
        <v/>
      </c>
      <c r="J342" s="0" t="str">
        <f aca="false">IF(A342="","",SUMIFS('REFUND DAN PEMBATALAN'!$E$5:$E$504,'REFUND DAN PEMBATALAN'!$B$5:$B$504,A342,'REFUND DAN PEMBATALAN'!$I$5:$I$504,"Berhasil"))</f>
        <v/>
      </c>
      <c r="K342" s="0" t="str">
        <f aca="false">IF(A342="","",H342-I342-J342)</f>
        <v/>
      </c>
      <c r="O342" s="0" t="str">
        <f aca="false">IF(A342="","",IF(AND(I342=SUMIFS('DETAIL TRANSAKSI'!$H$5:$H$504,'DETAIL TRANSAKSI'!$A$5:$A$504,A342),J342=SUMIFS('DETAIL TRANSAKSI'!$I$5:$I$504,'DETAIL TRANSAKSI'!$A$5:$A$504,A342)),"OK","CEK ALOKASI"))</f>
        <v/>
      </c>
    </row>
    <row r="343" customFormat="false" ht="15" hidden="false" customHeight="false" outlineLevel="0" collapsed="false">
      <c r="H343" s="0" t="str">
        <f aca="false">IF(A343="","",SUMIFS('DETAIL TRANSAKSI'!$G$5:$G$504,'DETAIL TRANSAKSI'!$A$5:$A$504,A343))</f>
        <v/>
      </c>
      <c r="J343" s="0" t="str">
        <f aca="false">IF(A343="","",SUMIFS('REFUND DAN PEMBATALAN'!$E$5:$E$504,'REFUND DAN PEMBATALAN'!$B$5:$B$504,A343,'REFUND DAN PEMBATALAN'!$I$5:$I$504,"Berhasil"))</f>
        <v/>
      </c>
      <c r="K343" s="0" t="str">
        <f aca="false">IF(A343="","",H343-I343-J343)</f>
        <v/>
      </c>
      <c r="O343" s="0" t="str">
        <f aca="false">IF(A343="","",IF(AND(I343=SUMIFS('DETAIL TRANSAKSI'!$H$5:$H$504,'DETAIL TRANSAKSI'!$A$5:$A$504,A343),J343=SUMIFS('DETAIL TRANSAKSI'!$I$5:$I$504,'DETAIL TRANSAKSI'!$A$5:$A$504,A343)),"OK","CEK ALOKASI"))</f>
        <v/>
      </c>
    </row>
    <row r="344" customFormat="false" ht="15" hidden="false" customHeight="false" outlineLevel="0" collapsed="false">
      <c r="H344" s="0" t="str">
        <f aca="false">IF(A344="","",SUMIFS('DETAIL TRANSAKSI'!$G$5:$G$504,'DETAIL TRANSAKSI'!$A$5:$A$504,A344))</f>
        <v/>
      </c>
      <c r="J344" s="0" t="str">
        <f aca="false">IF(A344="","",SUMIFS('REFUND DAN PEMBATALAN'!$E$5:$E$504,'REFUND DAN PEMBATALAN'!$B$5:$B$504,A344,'REFUND DAN PEMBATALAN'!$I$5:$I$504,"Berhasil"))</f>
        <v/>
      </c>
      <c r="K344" s="0" t="str">
        <f aca="false">IF(A344="","",H344-I344-J344)</f>
        <v/>
      </c>
      <c r="O344" s="0" t="str">
        <f aca="false">IF(A344="","",IF(AND(I344=SUMIFS('DETAIL TRANSAKSI'!$H$5:$H$504,'DETAIL TRANSAKSI'!$A$5:$A$504,A344),J344=SUMIFS('DETAIL TRANSAKSI'!$I$5:$I$504,'DETAIL TRANSAKSI'!$A$5:$A$504,A344)),"OK","CEK ALOKASI"))</f>
        <v/>
      </c>
    </row>
    <row r="345" customFormat="false" ht="15" hidden="false" customHeight="false" outlineLevel="0" collapsed="false">
      <c r="H345" s="0" t="str">
        <f aca="false">IF(A345="","",SUMIFS('DETAIL TRANSAKSI'!$G$5:$G$504,'DETAIL TRANSAKSI'!$A$5:$A$504,A345))</f>
        <v/>
      </c>
      <c r="J345" s="0" t="str">
        <f aca="false">IF(A345="","",SUMIFS('REFUND DAN PEMBATALAN'!$E$5:$E$504,'REFUND DAN PEMBATALAN'!$B$5:$B$504,A345,'REFUND DAN PEMBATALAN'!$I$5:$I$504,"Berhasil"))</f>
        <v/>
      </c>
      <c r="K345" s="0" t="str">
        <f aca="false">IF(A345="","",H345-I345-J345)</f>
        <v/>
      </c>
      <c r="O345" s="0" t="str">
        <f aca="false">IF(A345="","",IF(AND(I345=SUMIFS('DETAIL TRANSAKSI'!$H$5:$H$504,'DETAIL TRANSAKSI'!$A$5:$A$504,A345),J345=SUMIFS('DETAIL TRANSAKSI'!$I$5:$I$504,'DETAIL TRANSAKSI'!$A$5:$A$504,A345)),"OK","CEK ALOKASI"))</f>
        <v/>
      </c>
    </row>
    <row r="346" customFormat="false" ht="15" hidden="false" customHeight="false" outlineLevel="0" collapsed="false">
      <c r="H346" s="0" t="str">
        <f aca="false">IF(A346="","",SUMIFS('DETAIL TRANSAKSI'!$G$5:$G$504,'DETAIL TRANSAKSI'!$A$5:$A$504,A346))</f>
        <v/>
      </c>
      <c r="J346" s="0" t="str">
        <f aca="false">IF(A346="","",SUMIFS('REFUND DAN PEMBATALAN'!$E$5:$E$504,'REFUND DAN PEMBATALAN'!$B$5:$B$504,A346,'REFUND DAN PEMBATALAN'!$I$5:$I$504,"Berhasil"))</f>
        <v/>
      </c>
      <c r="K346" s="0" t="str">
        <f aca="false">IF(A346="","",H346-I346-J346)</f>
        <v/>
      </c>
      <c r="O346" s="0" t="str">
        <f aca="false">IF(A346="","",IF(AND(I346=SUMIFS('DETAIL TRANSAKSI'!$H$5:$H$504,'DETAIL TRANSAKSI'!$A$5:$A$504,A346),J346=SUMIFS('DETAIL TRANSAKSI'!$I$5:$I$504,'DETAIL TRANSAKSI'!$A$5:$A$504,A346)),"OK","CEK ALOKASI"))</f>
        <v/>
      </c>
    </row>
    <row r="347" customFormat="false" ht="15" hidden="false" customHeight="false" outlineLevel="0" collapsed="false">
      <c r="H347" s="0" t="str">
        <f aca="false">IF(A347="","",SUMIFS('DETAIL TRANSAKSI'!$G$5:$G$504,'DETAIL TRANSAKSI'!$A$5:$A$504,A347))</f>
        <v/>
      </c>
      <c r="J347" s="0" t="str">
        <f aca="false">IF(A347="","",SUMIFS('REFUND DAN PEMBATALAN'!$E$5:$E$504,'REFUND DAN PEMBATALAN'!$B$5:$B$504,A347,'REFUND DAN PEMBATALAN'!$I$5:$I$504,"Berhasil"))</f>
        <v/>
      </c>
      <c r="K347" s="0" t="str">
        <f aca="false">IF(A347="","",H347-I347-J347)</f>
        <v/>
      </c>
      <c r="O347" s="0" t="str">
        <f aca="false">IF(A347="","",IF(AND(I347=SUMIFS('DETAIL TRANSAKSI'!$H$5:$H$504,'DETAIL TRANSAKSI'!$A$5:$A$504,A347),J347=SUMIFS('DETAIL TRANSAKSI'!$I$5:$I$504,'DETAIL TRANSAKSI'!$A$5:$A$504,A347)),"OK","CEK ALOKASI"))</f>
        <v/>
      </c>
    </row>
    <row r="348" customFormat="false" ht="15" hidden="false" customHeight="false" outlineLevel="0" collapsed="false">
      <c r="H348" s="0" t="str">
        <f aca="false">IF(A348="","",SUMIFS('DETAIL TRANSAKSI'!$G$5:$G$504,'DETAIL TRANSAKSI'!$A$5:$A$504,A348))</f>
        <v/>
      </c>
      <c r="J348" s="0" t="str">
        <f aca="false">IF(A348="","",SUMIFS('REFUND DAN PEMBATALAN'!$E$5:$E$504,'REFUND DAN PEMBATALAN'!$B$5:$B$504,A348,'REFUND DAN PEMBATALAN'!$I$5:$I$504,"Berhasil"))</f>
        <v/>
      </c>
      <c r="K348" s="0" t="str">
        <f aca="false">IF(A348="","",H348-I348-J348)</f>
        <v/>
      </c>
      <c r="O348" s="0" t="str">
        <f aca="false">IF(A348="","",IF(AND(I348=SUMIFS('DETAIL TRANSAKSI'!$H$5:$H$504,'DETAIL TRANSAKSI'!$A$5:$A$504,A348),J348=SUMIFS('DETAIL TRANSAKSI'!$I$5:$I$504,'DETAIL TRANSAKSI'!$A$5:$A$504,A348)),"OK","CEK ALOKASI"))</f>
        <v/>
      </c>
    </row>
    <row r="349" customFormat="false" ht="15" hidden="false" customHeight="false" outlineLevel="0" collapsed="false">
      <c r="H349" s="0" t="str">
        <f aca="false">IF(A349="","",SUMIFS('DETAIL TRANSAKSI'!$G$5:$G$504,'DETAIL TRANSAKSI'!$A$5:$A$504,A349))</f>
        <v/>
      </c>
      <c r="J349" s="0" t="str">
        <f aca="false">IF(A349="","",SUMIFS('REFUND DAN PEMBATALAN'!$E$5:$E$504,'REFUND DAN PEMBATALAN'!$B$5:$B$504,A349,'REFUND DAN PEMBATALAN'!$I$5:$I$504,"Berhasil"))</f>
        <v/>
      </c>
      <c r="K349" s="0" t="str">
        <f aca="false">IF(A349="","",H349-I349-J349)</f>
        <v/>
      </c>
      <c r="O349" s="0" t="str">
        <f aca="false">IF(A349="","",IF(AND(I349=SUMIFS('DETAIL TRANSAKSI'!$H$5:$H$504,'DETAIL TRANSAKSI'!$A$5:$A$504,A349),J349=SUMIFS('DETAIL TRANSAKSI'!$I$5:$I$504,'DETAIL TRANSAKSI'!$A$5:$A$504,A349)),"OK","CEK ALOKASI"))</f>
        <v/>
      </c>
    </row>
    <row r="350" customFormat="false" ht="15" hidden="false" customHeight="false" outlineLevel="0" collapsed="false">
      <c r="H350" s="0" t="str">
        <f aca="false">IF(A350="","",SUMIFS('DETAIL TRANSAKSI'!$G$5:$G$504,'DETAIL TRANSAKSI'!$A$5:$A$504,A350))</f>
        <v/>
      </c>
      <c r="J350" s="0" t="str">
        <f aca="false">IF(A350="","",SUMIFS('REFUND DAN PEMBATALAN'!$E$5:$E$504,'REFUND DAN PEMBATALAN'!$B$5:$B$504,A350,'REFUND DAN PEMBATALAN'!$I$5:$I$504,"Berhasil"))</f>
        <v/>
      </c>
      <c r="K350" s="0" t="str">
        <f aca="false">IF(A350="","",H350-I350-J350)</f>
        <v/>
      </c>
      <c r="O350" s="0" t="str">
        <f aca="false">IF(A350="","",IF(AND(I350=SUMIFS('DETAIL TRANSAKSI'!$H$5:$H$504,'DETAIL TRANSAKSI'!$A$5:$A$504,A350),J350=SUMIFS('DETAIL TRANSAKSI'!$I$5:$I$504,'DETAIL TRANSAKSI'!$A$5:$A$504,A350)),"OK","CEK ALOKASI"))</f>
        <v/>
      </c>
    </row>
    <row r="351" customFormat="false" ht="15" hidden="false" customHeight="false" outlineLevel="0" collapsed="false">
      <c r="H351" s="0" t="str">
        <f aca="false">IF(A351="","",SUMIFS('DETAIL TRANSAKSI'!$G$5:$G$504,'DETAIL TRANSAKSI'!$A$5:$A$504,A351))</f>
        <v/>
      </c>
      <c r="J351" s="0" t="str">
        <f aca="false">IF(A351="","",SUMIFS('REFUND DAN PEMBATALAN'!$E$5:$E$504,'REFUND DAN PEMBATALAN'!$B$5:$B$504,A351,'REFUND DAN PEMBATALAN'!$I$5:$I$504,"Berhasil"))</f>
        <v/>
      </c>
      <c r="K351" s="0" t="str">
        <f aca="false">IF(A351="","",H351-I351-J351)</f>
        <v/>
      </c>
      <c r="O351" s="0" t="str">
        <f aca="false">IF(A351="","",IF(AND(I351=SUMIFS('DETAIL TRANSAKSI'!$H$5:$H$504,'DETAIL TRANSAKSI'!$A$5:$A$504,A351),J351=SUMIFS('DETAIL TRANSAKSI'!$I$5:$I$504,'DETAIL TRANSAKSI'!$A$5:$A$504,A351)),"OK","CEK ALOKASI"))</f>
        <v/>
      </c>
    </row>
    <row r="352" customFormat="false" ht="15" hidden="false" customHeight="false" outlineLevel="0" collapsed="false">
      <c r="H352" s="0" t="str">
        <f aca="false">IF(A352="","",SUMIFS('DETAIL TRANSAKSI'!$G$5:$G$504,'DETAIL TRANSAKSI'!$A$5:$A$504,A352))</f>
        <v/>
      </c>
      <c r="J352" s="0" t="str">
        <f aca="false">IF(A352="","",SUMIFS('REFUND DAN PEMBATALAN'!$E$5:$E$504,'REFUND DAN PEMBATALAN'!$B$5:$B$504,A352,'REFUND DAN PEMBATALAN'!$I$5:$I$504,"Berhasil"))</f>
        <v/>
      </c>
      <c r="K352" s="0" t="str">
        <f aca="false">IF(A352="","",H352-I352-J352)</f>
        <v/>
      </c>
      <c r="O352" s="0" t="str">
        <f aca="false">IF(A352="","",IF(AND(I352=SUMIFS('DETAIL TRANSAKSI'!$H$5:$H$504,'DETAIL TRANSAKSI'!$A$5:$A$504,A352),J352=SUMIFS('DETAIL TRANSAKSI'!$I$5:$I$504,'DETAIL TRANSAKSI'!$A$5:$A$504,A352)),"OK","CEK ALOKASI"))</f>
        <v/>
      </c>
    </row>
    <row r="353" customFormat="false" ht="15" hidden="false" customHeight="false" outlineLevel="0" collapsed="false">
      <c r="H353" s="0" t="str">
        <f aca="false">IF(A353="","",SUMIFS('DETAIL TRANSAKSI'!$G$5:$G$504,'DETAIL TRANSAKSI'!$A$5:$A$504,A353))</f>
        <v/>
      </c>
      <c r="J353" s="0" t="str">
        <f aca="false">IF(A353="","",SUMIFS('REFUND DAN PEMBATALAN'!$E$5:$E$504,'REFUND DAN PEMBATALAN'!$B$5:$B$504,A353,'REFUND DAN PEMBATALAN'!$I$5:$I$504,"Berhasil"))</f>
        <v/>
      </c>
      <c r="K353" s="0" t="str">
        <f aca="false">IF(A353="","",H353-I353-J353)</f>
        <v/>
      </c>
      <c r="O353" s="0" t="str">
        <f aca="false">IF(A353="","",IF(AND(I353=SUMIFS('DETAIL TRANSAKSI'!$H$5:$H$504,'DETAIL TRANSAKSI'!$A$5:$A$504,A353),J353=SUMIFS('DETAIL TRANSAKSI'!$I$5:$I$504,'DETAIL TRANSAKSI'!$A$5:$A$504,A353)),"OK","CEK ALOKASI"))</f>
        <v/>
      </c>
    </row>
    <row r="354" customFormat="false" ht="15" hidden="false" customHeight="false" outlineLevel="0" collapsed="false">
      <c r="H354" s="0" t="str">
        <f aca="false">IF(A354="","",SUMIFS('DETAIL TRANSAKSI'!$G$5:$G$504,'DETAIL TRANSAKSI'!$A$5:$A$504,A354))</f>
        <v/>
      </c>
      <c r="J354" s="0" t="str">
        <f aca="false">IF(A354="","",SUMIFS('REFUND DAN PEMBATALAN'!$E$5:$E$504,'REFUND DAN PEMBATALAN'!$B$5:$B$504,A354,'REFUND DAN PEMBATALAN'!$I$5:$I$504,"Berhasil"))</f>
        <v/>
      </c>
      <c r="K354" s="0" t="str">
        <f aca="false">IF(A354="","",H354-I354-J354)</f>
        <v/>
      </c>
      <c r="O354" s="0" t="str">
        <f aca="false">IF(A354="","",IF(AND(I354=SUMIFS('DETAIL TRANSAKSI'!$H$5:$H$504,'DETAIL TRANSAKSI'!$A$5:$A$504,A354),J354=SUMIFS('DETAIL TRANSAKSI'!$I$5:$I$504,'DETAIL TRANSAKSI'!$A$5:$A$504,A354)),"OK","CEK ALOKASI"))</f>
        <v/>
      </c>
    </row>
    <row r="355" customFormat="false" ht="15" hidden="false" customHeight="false" outlineLevel="0" collapsed="false">
      <c r="H355" s="0" t="str">
        <f aca="false">IF(A355="","",SUMIFS('DETAIL TRANSAKSI'!$G$5:$G$504,'DETAIL TRANSAKSI'!$A$5:$A$504,A355))</f>
        <v/>
      </c>
      <c r="J355" s="0" t="str">
        <f aca="false">IF(A355="","",SUMIFS('REFUND DAN PEMBATALAN'!$E$5:$E$504,'REFUND DAN PEMBATALAN'!$B$5:$B$504,A355,'REFUND DAN PEMBATALAN'!$I$5:$I$504,"Berhasil"))</f>
        <v/>
      </c>
      <c r="K355" s="0" t="str">
        <f aca="false">IF(A355="","",H355-I355-J355)</f>
        <v/>
      </c>
      <c r="O355" s="0" t="str">
        <f aca="false">IF(A355="","",IF(AND(I355=SUMIFS('DETAIL TRANSAKSI'!$H$5:$H$504,'DETAIL TRANSAKSI'!$A$5:$A$504,A355),J355=SUMIFS('DETAIL TRANSAKSI'!$I$5:$I$504,'DETAIL TRANSAKSI'!$A$5:$A$504,A355)),"OK","CEK ALOKASI"))</f>
        <v/>
      </c>
    </row>
    <row r="356" customFormat="false" ht="15" hidden="false" customHeight="false" outlineLevel="0" collapsed="false">
      <c r="H356" s="0" t="str">
        <f aca="false">IF(A356="","",SUMIFS('DETAIL TRANSAKSI'!$G$5:$G$504,'DETAIL TRANSAKSI'!$A$5:$A$504,A356))</f>
        <v/>
      </c>
      <c r="J356" s="0" t="str">
        <f aca="false">IF(A356="","",SUMIFS('REFUND DAN PEMBATALAN'!$E$5:$E$504,'REFUND DAN PEMBATALAN'!$B$5:$B$504,A356,'REFUND DAN PEMBATALAN'!$I$5:$I$504,"Berhasil"))</f>
        <v/>
      </c>
      <c r="K356" s="0" t="str">
        <f aca="false">IF(A356="","",H356-I356-J356)</f>
        <v/>
      </c>
      <c r="O356" s="0" t="str">
        <f aca="false">IF(A356="","",IF(AND(I356=SUMIFS('DETAIL TRANSAKSI'!$H$5:$H$504,'DETAIL TRANSAKSI'!$A$5:$A$504,A356),J356=SUMIFS('DETAIL TRANSAKSI'!$I$5:$I$504,'DETAIL TRANSAKSI'!$A$5:$A$504,A356)),"OK","CEK ALOKASI"))</f>
        <v/>
      </c>
    </row>
    <row r="357" customFormat="false" ht="15" hidden="false" customHeight="false" outlineLevel="0" collapsed="false">
      <c r="H357" s="0" t="str">
        <f aca="false">IF(A357="","",SUMIFS('DETAIL TRANSAKSI'!$G$5:$G$504,'DETAIL TRANSAKSI'!$A$5:$A$504,A357))</f>
        <v/>
      </c>
      <c r="J357" s="0" t="str">
        <f aca="false">IF(A357="","",SUMIFS('REFUND DAN PEMBATALAN'!$E$5:$E$504,'REFUND DAN PEMBATALAN'!$B$5:$B$504,A357,'REFUND DAN PEMBATALAN'!$I$5:$I$504,"Berhasil"))</f>
        <v/>
      </c>
      <c r="K357" s="0" t="str">
        <f aca="false">IF(A357="","",H357-I357-J357)</f>
        <v/>
      </c>
      <c r="O357" s="0" t="str">
        <f aca="false">IF(A357="","",IF(AND(I357=SUMIFS('DETAIL TRANSAKSI'!$H$5:$H$504,'DETAIL TRANSAKSI'!$A$5:$A$504,A357),J357=SUMIFS('DETAIL TRANSAKSI'!$I$5:$I$504,'DETAIL TRANSAKSI'!$A$5:$A$504,A357)),"OK","CEK ALOKASI"))</f>
        <v/>
      </c>
    </row>
    <row r="358" customFormat="false" ht="15" hidden="false" customHeight="false" outlineLevel="0" collapsed="false">
      <c r="H358" s="0" t="str">
        <f aca="false">IF(A358="","",SUMIFS('DETAIL TRANSAKSI'!$G$5:$G$504,'DETAIL TRANSAKSI'!$A$5:$A$504,A358))</f>
        <v/>
      </c>
      <c r="J358" s="0" t="str">
        <f aca="false">IF(A358="","",SUMIFS('REFUND DAN PEMBATALAN'!$E$5:$E$504,'REFUND DAN PEMBATALAN'!$B$5:$B$504,A358,'REFUND DAN PEMBATALAN'!$I$5:$I$504,"Berhasil"))</f>
        <v/>
      </c>
      <c r="K358" s="0" t="str">
        <f aca="false">IF(A358="","",H358-I358-J358)</f>
        <v/>
      </c>
      <c r="O358" s="0" t="str">
        <f aca="false">IF(A358="","",IF(AND(I358=SUMIFS('DETAIL TRANSAKSI'!$H$5:$H$504,'DETAIL TRANSAKSI'!$A$5:$A$504,A358),J358=SUMIFS('DETAIL TRANSAKSI'!$I$5:$I$504,'DETAIL TRANSAKSI'!$A$5:$A$504,A358)),"OK","CEK ALOKASI"))</f>
        <v/>
      </c>
    </row>
    <row r="359" customFormat="false" ht="15" hidden="false" customHeight="false" outlineLevel="0" collapsed="false">
      <c r="H359" s="0" t="str">
        <f aca="false">IF(A359="","",SUMIFS('DETAIL TRANSAKSI'!$G$5:$G$504,'DETAIL TRANSAKSI'!$A$5:$A$504,A359))</f>
        <v/>
      </c>
      <c r="J359" s="0" t="str">
        <f aca="false">IF(A359="","",SUMIFS('REFUND DAN PEMBATALAN'!$E$5:$E$504,'REFUND DAN PEMBATALAN'!$B$5:$B$504,A359,'REFUND DAN PEMBATALAN'!$I$5:$I$504,"Berhasil"))</f>
        <v/>
      </c>
      <c r="K359" s="0" t="str">
        <f aca="false">IF(A359="","",H359-I359-J359)</f>
        <v/>
      </c>
      <c r="O359" s="0" t="str">
        <f aca="false">IF(A359="","",IF(AND(I359=SUMIFS('DETAIL TRANSAKSI'!$H$5:$H$504,'DETAIL TRANSAKSI'!$A$5:$A$504,A359),J359=SUMIFS('DETAIL TRANSAKSI'!$I$5:$I$504,'DETAIL TRANSAKSI'!$A$5:$A$504,A359)),"OK","CEK ALOKASI"))</f>
        <v/>
      </c>
    </row>
    <row r="360" customFormat="false" ht="15" hidden="false" customHeight="false" outlineLevel="0" collapsed="false">
      <c r="H360" s="0" t="str">
        <f aca="false">IF(A360="","",SUMIFS('DETAIL TRANSAKSI'!$G$5:$G$504,'DETAIL TRANSAKSI'!$A$5:$A$504,A360))</f>
        <v/>
      </c>
      <c r="J360" s="0" t="str">
        <f aca="false">IF(A360="","",SUMIFS('REFUND DAN PEMBATALAN'!$E$5:$E$504,'REFUND DAN PEMBATALAN'!$B$5:$B$504,A360,'REFUND DAN PEMBATALAN'!$I$5:$I$504,"Berhasil"))</f>
        <v/>
      </c>
      <c r="K360" s="0" t="str">
        <f aca="false">IF(A360="","",H360-I360-J360)</f>
        <v/>
      </c>
      <c r="O360" s="0" t="str">
        <f aca="false">IF(A360="","",IF(AND(I360=SUMIFS('DETAIL TRANSAKSI'!$H$5:$H$504,'DETAIL TRANSAKSI'!$A$5:$A$504,A360),J360=SUMIFS('DETAIL TRANSAKSI'!$I$5:$I$504,'DETAIL TRANSAKSI'!$A$5:$A$504,A360)),"OK","CEK ALOKASI"))</f>
        <v/>
      </c>
    </row>
    <row r="361" customFormat="false" ht="15" hidden="false" customHeight="false" outlineLevel="0" collapsed="false">
      <c r="H361" s="0" t="str">
        <f aca="false">IF(A361="","",SUMIFS('DETAIL TRANSAKSI'!$G$5:$G$504,'DETAIL TRANSAKSI'!$A$5:$A$504,A361))</f>
        <v/>
      </c>
      <c r="J361" s="0" t="str">
        <f aca="false">IF(A361="","",SUMIFS('REFUND DAN PEMBATALAN'!$E$5:$E$504,'REFUND DAN PEMBATALAN'!$B$5:$B$504,A361,'REFUND DAN PEMBATALAN'!$I$5:$I$504,"Berhasil"))</f>
        <v/>
      </c>
      <c r="K361" s="0" t="str">
        <f aca="false">IF(A361="","",H361-I361-J361)</f>
        <v/>
      </c>
      <c r="O361" s="0" t="str">
        <f aca="false">IF(A361="","",IF(AND(I361=SUMIFS('DETAIL TRANSAKSI'!$H$5:$H$504,'DETAIL TRANSAKSI'!$A$5:$A$504,A361),J361=SUMIFS('DETAIL TRANSAKSI'!$I$5:$I$504,'DETAIL TRANSAKSI'!$A$5:$A$504,A361)),"OK","CEK ALOKASI"))</f>
        <v/>
      </c>
    </row>
    <row r="362" customFormat="false" ht="15" hidden="false" customHeight="false" outlineLevel="0" collapsed="false">
      <c r="H362" s="0" t="str">
        <f aca="false">IF(A362="","",SUMIFS('DETAIL TRANSAKSI'!$G$5:$G$504,'DETAIL TRANSAKSI'!$A$5:$A$504,A362))</f>
        <v/>
      </c>
      <c r="J362" s="0" t="str">
        <f aca="false">IF(A362="","",SUMIFS('REFUND DAN PEMBATALAN'!$E$5:$E$504,'REFUND DAN PEMBATALAN'!$B$5:$B$504,A362,'REFUND DAN PEMBATALAN'!$I$5:$I$504,"Berhasil"))</f>
        <v/>
      </c>
      <c r="K362" s="0" t="str">
        <f aca="false">IF(A362="","",H362-I362-J362)</f>
        <v/>
      </c>
      <c r="O362" s="0" t="str">
        <f aca="false">IF(A362="","",IF(AND(I362=SUMIFS('DETAIL TRANSAKSI'!$H$5:$H$504,'DETAIL TRANSAKSI'!$A$5:$A$504,A362),J362=SUMIFS('DETAIL TRANSAKSI'!$I$5:$I$504,'DETAIL TRANSAKSI'!$A$5:$A$504,A362)),"OK","CEK ALOKASI"))</f>
        <v/>
      </c>
    </row>
    <row r="363" customFormat="false" ht="15" hidden="false" customHeight="false" outlineLevel="0" collapsed="false">
      <c r="H363" s="0" t="str">
        <f aca="false">IF(A363="","",SUMIFS('DETAIL TRANSAKSI'!$G$5:$G$504,'DETAIL TRANSAKSI'!$A$5:$A$504,A363))</f>
        <v/>
      </c>
      <c r="J363" s="0" t="str">
        <f aca="false">IF(A363="","",SUMIFS('REFUND DAN PEMBATALAN'!$E$5:$E$504,'REFUND DAN PEMBATALAN'!$B$5:$B$504,A363,'REFUND DAN PEMBATALAN'!$I$5:$I$504,"Berhasil"))</f>
        <v/>
      </c>
      <c r="K363" s="0" t="str">
        <f aca="false">IF(A363="","",H363-I363-J363)</f>
        <v/>
      </c>
      <c r="O363" s="0" t="str">
        <f aca="false">IF(A363="","",IF(AND(I363=SUMIFS('DETAIL TRANSAKSI'!$H$5:$H$504,'DETAIL TRANSAKSI'!$A$5:$A$504,A363),J363=SUMIFS('DETAIL TRANSAKSI'!$I$5:$I$504,'DETAIL TRANSAKSI'!$A$5:$A$504,A363)),"OK","CEK ALOKASI"))</f>
        <v/>
      </c>
    </row>
    <row r="364" customFormat="false" ht="15" hidden="false" customHeight="false" outlineLevel="0" collapsed="false">
      <c r="H364" s="0" t="str">
        <f aca="false">IF(A364="","",SUMIFS('DETAIL TRANSAKSI'!$G$5:$G$504,'DETAIL TRANSAKSI'!$A$5:$A$504,A364))</f>
        <v/>
      </c>
      <c r="J364" s="0" t="str">
        <f aca="false">IF(A364="","",SUMIFS('REFUND DAN PEMBATALAN'!$E$5:$E$504,'REFUND DAN PEMBATALAN'!$B$5:$B$504,A364,'REFUND DAN PEMBATALAN'!$I$5:$I$504,"Berhasil"))</f>
        <v/>
      </c>
      <c r="K364" s="0" t="str">
        <f aca="false">IF(A364="","",H364-I364-J364)</f>
        <v/>
      </c>
      <c r="O364" s="0" t="str">
        <f aca="false">IF(A364="","",IF(AND(I364=SUMIFS('DETAIL TRANSAKSI'!$H$5:$H$504,'DETAIL TRANSAKSI'!$A$5:$A$504,A364),J364=SUMIFS('DETAIL TRANSAKSI'!$I$5:$I$504,'DETAIL TRANSAKSI'!$A$5:$A$504,A364)),"OK","CEK ALOKASI"))</f>
        <v/>
      </c>
    </row>
    <row r="365" customFormat="false" ht="15" hidden="false" customHeight="false" outlineLevel="0" collapsed="false">
      <c r="H365" s="0" t="str">
        <f aca="false">IF(A365="","",SUMIFS('DETAIL TRANSAKSI'!$G$5:$G$504,'DETAIL TRANSAKSI'!$A$5:$A$504,A365))</f>
        <v/>
      </c>
      <c r="J365" s="0" t="str">
        <f aca="false">IF(A365="","",SUMIFS('REFUND DAN PEMBATALAN'!$E$5:$E$504,'REFUND DAN PEMBATALAN'!$B$5:$B$504,A365,'REFUND DAN PEMBATALAN'!$I$5:$I$504,"Berhasil"))</f>
        <v/>
      </c>
      <c r="K365" s="0" t="str">
        <f aca="false">IF(A365="","",H365-I365-J365)</f>
        <v/>
      </c>
      <c r="O365" s="0" t="str">
        <f aca="false">IF(A365="","",IF(AND(I365=SUMIFS('DETAIL TRANSAKSI'!$H$5:$H$504,'DETAIL TRANSAKSI'!$A$5:$A$504,A365),J365=SUMIFS('DETAIL TRANSAKSI'!$I$5:$I$504,'DETAIL TRANSAKSI'!$A$5:$A$504,A365)),"OK","CEK ALOKASI"))</f>
        <v/>
      </c>
    </row>
    <row r="366" customFormat="false" ht="15" hidden="false" customHeight="false" outlineLevel="0" collapsed="false">
      <c r="H366" s="0" t="str">
        <f aca="false">IF(A366="","",SUMIFS('DETAIL TRANSAKSI'!$G$5:$G$504,'DETAIL TRANSAKSI'!$A$5:$A$504,A366))</f>
        <v/>
      </c>
      <c r="J366" s="0" t="str">
        <f aca="false">IF(A366="","",SUMIFS('REFUND DAN PEMBATALAN'!$E$5:$E$504,'REFUND DAN PEMBATALAN'!$B$5:$B$504,A366,'REFUND DAN PEMBATALAN'!$I$5:$I$504,"Berhasil"))</f>
        <v/>
      </c>
      <c r="K366" s="0" t="str">
        <f aca="false">IF(A366="","",H366-I366-J366)</f>
        <v/>
      </c>
      <c r="O366" s="0" t="str">
        <f aca="false">IF(A366="","",IF(AND(I366=SUMIFS('DETAIL TRANSAKSI'!$H$5:$H$504,'DETAIL TRANSAKSI'!$A$5:$A$504,A366),J366=SUMIFS('DETAIL TRANSAKSI'!$I$5:$I$504,'DETAIL TRANSAKSI'!$A$5:$A$504,A366)),"OK","CEK ALOKASI"))</f>
        <v/>
      </c>
    </row>
    <row r="367" customFormat="false" ht="15" hidden="false" customHeight="false" outlineLevel="0" collapsed="false">
      <c r="H367" s="0" t="str">
        <f aca="false">IF(A367="","",SUMIFS('DETAIL TRANSAKSI'!$G$5:$G$504,'DETAIL TRANSAKSI'!$A$5:$A$504,A367))</f>
        <v/>
      </c>
      <c r="J367" s="0" t="str">
        <f aca="false">IF(A367="","",SUMIFS('REFUND DAN PEMBATALAN'!$E$5:$E$504,'REFUND DAN PEMBATALAN'!$B$5:$B$504,A367,'REFUND DAN PEMBATALAN'!$I$5:$I$504,"Berhasil"))</f>
        <v/>
      </c>
      <c r="K367" s="0" t="str">
        <f aca="false">IF(A367="","",H367-I367-J367)</f>
        <v/>
      </c>
      <c r="O367" s="0" t="str">
        <f aca="false">IF(A367="","",IF(AND(I367=SUMIFS('DETAIL TRANSAKSI'!$H$5:$H$504,'DETAIL TRANSAKSI'!$A$5:$A$504,A367),J367=SUMIFS('DETAIL TRANSAKSI'!$I$5:$I$504,'DETAIL TRANSAKSI'!$A$5:$A$504,A367)),"OK","CEK ALOKASI"))</f>
        <v/>
      </c>
    </row>
    <row r="368" customFormat="false" ht="15" hidden="false" customHeight="false" outlineLevel="0" collapsed="false">
      <c r="H368" s="0" t="str">
        <f aca="false">IF(A368="","",SUMIFS('DETAIL TRANSAKSI'!$G$5:$G$504,'DETAIL TRANSAKSI'!$A$5:$A$504,A368))</f>
        <v/>
      </c>
      <c r="J368" s="0" t="str">
        <f aca="false">IF(A368="","",SUMIFS('REFUND DAN PEMBATALAN'!$E$5:$E$504,'REFUND DAN PEMBATALAN'!$B$5:$B$504,A368,'REFUND DAN PEMBATALAN'!$I$5:$I$504,"Berhasil"))</f>
        <v/>
      </c>
      <c r="K368" s="0" t="str">
        <f aca="false">IF(A368="","",H368-I368-J368)</f>
        <v/>
      </c>
      <c r="O368" s="0" t="str">
        <f aca="false">IF(A368="","",IF(AND(I368=SUMIFS('DETAIL TRANSAKSI'!$H$5:$H$504,'DETAIL TRANSAKSI'!$A$5:$A$504,A368),J368=SUMIFS('DETAIL TRANSAKSI'!$I$5:$I$504,'DETAIL TRANSAKSI'!$A$5:$A$504,A368)),"OK","CEK ALOKASI"))</f>
        <v/>
      </c>
    </row>
    <row r="369" customFormat="false" ht="15" hidden="false" customHeight="false" outlineLevel="0" collapsed="false">
      <c r="H369" s="0" t="str">
        <f aca="false">IF(A369="","",SUMIFS('DETAIL TRANSAKSI'!$G$5:$G$504,'DETAIL TRANSAKSI'!$A$5:$A$504,A369))</f>
        <v/>
      </c>
      <c r="J369" s="0" t="str">
        <f aca="false">IF(A369="","",SUMIFS('REFUND DAN PEMBATALAN'!$E$5:$E$504,'REFUND DAN PEMBATALAN'!$B$5:$B$504,A369,'REFUND DAN PEMBATALAN'!$I$5:$I$504,"Berhasil"))</f>
        <v/>
      </c>
      <c r="K369" s="0" t="str">
        <f aca="false">IF(A369="","",H369-I369-J369)</f>
        <v/>
      </c>
      <c r="O369" s="0" t="str">
        <f aca="false">IF(A369="","",IF(AND(I369=SUMIFS('DETAIL TRANSAKSI'!$H$5:$H$504,'DETAIL TRANSAKSI'!$A$5:$A$504,A369),J369=SUMIFS('DETAIL TRANSAKSI'!$I$5:$I$504,'DETAIL TRANSAKSI'!$A$5:$A$504,A369)),"OK","CEK ALOKASI"))</f>
        <v/>
      </c>
    </row>
    <row r="370" customFormat="false" ht="15" hidden="false" customHeight="false" outlineLevel="0" collapsed="false">
      <c r="H370" s="0" t="str">
        <f aca="false">IF(A370="","",SUMIFS('DETAIL TRANSAKSI'!$G$5:$G$504,'DETAIL TRANSAKSI'!$A$5:$A$504,A370))</f>
        <v/>
      </c>
      <c r="J370" s="0" t="str">
        <f aca="false">IF(A370="","",SUMIFS('REFUND DAN PEMBATALAN'!$E$5:$E$504,'REFUND DAN PEMBATALAN'!$B$5:$B$504,A370,'REFUND DAN PEMBATALAN'!$I$5:$I$504,"Berhasil"))</f>
        <v/>
      </c>
      <c r="K370" s="0" t="str">
        <f aca="false">IF(A370="","",H370-I370-J370)</f>
        <v/>
      </c>
      <c r="O370" s="0" t="str">
        <f aca="false">IF(A370="","",IF(AND(I370=SUMIFS('DETAIL TRANSAKSI'!$H$5:$H$504,'DETAIL TRANSAKSI'!$A$5:$A$504,A370),J370=SUMIFS('DETAIL TRANSAKSI'!$I$5:$I$504,'DETAIL TRANSAKSI'!$A$5:$A$504,A370)),"OK","CEK ALOKASI"))</f>
        <v/>
      </c>
    </row>
    <row r="371" customFormat="false" ht="15" hidden="false" customHeight="false" outlineLevel="0" collapsed="false">
      <c r="H371" s="0" t="str">
        <f aca="false">IF(A371="","",SUMIFS('DETAIL TRANSAKSI'!$G$5:$G$504,'DETAIL TRANSAKSI'!$A$5:$A$504,A371))</f>
        <v/>
      </c>
      <c r="J371" s="0" t="str">
        <f aca="false">IF(A371="","",SUMIFS('REFUND DAN PEMBATALAN'!$E$5:$E$504,'REFUND DAN PEMBATALAN'!$B$5:$B$504,A371,'REFUND DAN PEMBATALAN'!$I$5:$I$504,"Berhasil"))</f>
        <v/>
      </c>
      <c r="K371" s="0" t="str">
        <f aca="false">IF(A371="","",H371-I371-J371)</f>
        <v/>
      </c>
      <c r="O371" s="0" t="str">
        <f aca="false">IF(A371="","",IF(AND(I371=SUMIFS('DETAIL TRANSAKSI'!$H$5:$H$504,'DETAIL TRANSAKSI'!$A$5:$A$504,A371),J371=SUMIFS('DETAIL TRANSAKSI'!$I$5:$I$504,'DETAIL TRANSAKSI'!$A$5:$A$504,A371)),"OK","CEK ALOKASI"))</f>
        <v/>
      </c>
    </row>
    <row r="372" customFormat="false" ht="15" hidden="false" customHeight="false" outlineLevel="0" collapsed="false">
      <c r="H372" s="0" t="str">
        <f aca="false">IF(A372="","",SUMIFS('DETAIL TRANSAKSI'!$G$5:$G$504,'DETAIL TRANSAKSI'!$A$5:$A$504,A372))</f>
        <v/>
      </c>
      <c r="J372" s="0" t="str">
        <f aca="false">IF(A372="","",SUMIFS('REFUND DAN PEMBATALAN'!$E$5:$E$504,'REFUND DAN PEMBATALAN'!$B$5:$B$504,A372,'REFUND DAN PEMBATALAN'!$I$5:$I$504,"Berhasil"))</f>
        <v/>
      </c>
      <c r="K372" s="0" t="str">
        <f aca="false">IF(A372="","",H372-I372-J372)</f>
        <v/>
      </c>
      <c r="O372" s="0" t="str">
        <f aca="false">IF(A372="","",IF(AND(I372=SUMIFS('DETAIL TRANSAKSI'!$H$5:$H$504,'DETAIL TRANSAKSI'!$A$5:$A$504,A372),J372=SUMIFS('DETAIL TRANSAKSI'!$I$5:$I$504,'DETAIL TRANSAKSI'!$A$5:$A$504,A372)),"OK","CEK ALOKASI"))</f>
        <v/>
      </c>
    </row>
    <row r="373" customFormat="false" ht="15" hidden="false" customHeight="false" outlineLevel="0" collapsed="false">
      <c r="H373" s="0" t="str">
        <f aca="false">IF(A373="","",SUMIFS('DETAIL TRANSAKSI'!$G$5:$G$504,'DETAIL TRANSAKSI'!$A$5:$A$504,A373))</f>
        <v/>
      </c>
      <c r="J373" s="0" t="str">
        <f aca="false">IF(A373="","",SUMIFS('REFUND DAN PEMBATALAN'!$E$5:$E$504,'REFUND DAN PEMBATALAN'!$B$5:$B$504,A373,'REFUND DAN PEMBATALAN'!$I$5:$I$504,"Berhasil"))</f>
        <v/>
      </c>
      <c r="K373" s="0" t="str">
        <f aca="false">IF(A373="","",H373-I373-J373)</f>
        <v/>
      </c>
      <c r="O373" s="0" t="str">
        <f aca="false">IF(A373="","",IF(AND(I373=SUMIFS('DETAIL TRANSAKSI'!$H$5:$H$504,'DETAIL TRANSAKSI'!$A$5:$A$504,A373),J373=SUMIFS('DETAIL TRANSAKSI'!$I$5:$I$504,'DETAIL TRANSAKSI'!$A$5:$A$504,A373)),"OK","CEK ALOKASI"))</f>
        <v/>
      </c>
    </row>
    <row r="374" customFormat="false" ht="15" hidden="false" customHeight="false" outlineLevel="0" collapsed="false">
      <c r="H374" s="0" t="str">
        <f aca="false">IF(A374="","",SUMIFS('DETAIL TRANSAKSI'!$G$5:$G$504,'DETAIL TRANSAKSI'!$A$5:$A$504,A374))</f>
        <v/>
      </c>
      <c r="J374" s="0" t="str">
        <f aca="false">IF(A374="","",SUMIFS('REFUND DAN PEMBATALAN'!$E$5:$E$504,'REFUND DAN PEMBATALAN'!$B$5:$B$504,A374,'REFUND DAN PEMBATALAN'!$I$5:$I$504,"Berhasil"))</f>
        <v/>
      </c>
      <c r="K374" s="0" t="str">
        <f aca="false">IF(A374="","",H374-I374-J374)</f>
        <v/>
      </c>
      <c r="O374" s="0" t="str">
        <f aca="false">IF(A374="","",IF(AND(I374=SUMIFS('DETAIL TRANSAKSI'!$H$5:$H$504,'DETAIL TRANSAKSI'!$A$5:$A$504,A374),J374=SUMIFS('DETAIL TRANSAKSI'!$I$5:$I$504,'DETAIL TRANSAKSI'!$A$5:$A$504,A374)),"OK","CEK ALOKASI"))</f>
        <v/>
      </c>
    </row>
    <row r="375" customFormat="false" ht="15" hidden="false" customHeight="false" outlineLevel="0" collapsed="false">
      <c r="H375" s="0" t="str">
        <f aca="false">IF(A375="","",SUMIFS('DETAIL TRANSAKSI'!$G$5:$G$504,'DETAIL TRANSAKSI'!$A$5:$A$504,A375))</f>
        <v/>
      </c>
      <c r="J375" s="0" t="str">
        <f aca="false">IF(A375="","",SUMIFS('REFUND DAN PEMBATALAN'!$E$5:$E$504,'REFUND DAN PEMBATALAN'!$B$5:$B$504,A375,'REFUND DAN PEMBATALAN'!$I$5:$I$504,"Berhasil"))</f>
        <v/>
      </c>
      <c r="K375" s="0" t="str">
        <f aca="false">IF(A375="","",H375-I375-J375)</f>
        <v/>
      </c>
      <c r="O375" s="0" t="str">
        <f aca="false">IF(A375="","",IF(AND(I375=SUMIFS('DETAIL TRANSAKSI'!$H$5:$H$504,'DETAIL TRANSAKSI'!$A$5:$A$504,A375),J375=SUMIFS('DETAIL TRANSAKSI'!$I$5:$I$504,'DETAIL TRANSAKSI'!$A$5:$A$504,A375)),"OK","CEK ALOKASI"))</f>
        <v/>
      </c>
    </row>
    <row r="376" customFormat="false" ht="15" hidden="false" customHeight="false" outlineLevel="0" collapsed="false">
      <c r="H376" s="0" t="str">
        <f aca="false">IF(A376="","",SUMIFS('DETAIL TRANSAKSI'!$G$5:$G$504,'DETAIL TRANSAKSI'!$A$5:$A$504,A376))</f>
        <v/>
      </c>
      <c r="J376" s="0" t="str">
        <f aca="false">IF(A376="","",SUMIFS('REFUND DAN PEMBATALAN'!$E$5:$E$504,'REFUND DAN PEMBATALAN'!$B$5:$B$504,A376,'REFUND DAN PEMBATALAN'!$I$5:$I$504,"Berhasil"))</f>
        <v/>
      </c>
      <c r="K376" s="0" t="str">
        <f aca="false">IF(A376="","",H376-I376-J376)</f>
        <v/>
      </c>
      <c r="O376" s="0" t="str">
        <f aca="false">IF(A376="","",IF(AND(I376=SUMIFS('DETAIL TRANSAKSI'!$H$5:$H$504,'DETAIL TRANSAKSI'!$A$5:$A$504,A376),J376=SUMIFS('DETAIL TRANSAKSI'!$I$5:$I$504,'DETAIL TRANSAKSI'!$A$5:$A$504,A376)),"OK","CEK ALOKASI"))</f>
        <v/>
      </c>
    </row>
    <row r="377" customFormat="false" ht="15" hidden="false" customHeight="false" outlineLevel="0" collapsed="false">
      <c r="H377" s="0" t="str">
        <f aca="false">IF(A377="","",SUMIFS('DETAIL TRANSAKSI'!$G$5:$G$504,'DETAIL TRANSAKSI'!$A$5:$A$504,A377))</f>
        <v/>
      </c>
      <c r="J377" s="0" t="str">
        <f aca="false">IF(A377="","",SUMIFS('REFUND DAN PEMBATALAN'!$E$5:$E$504,'REFUND DAN PEMBATALAN'!$B$5:$B$504,A377,'REFUND DAN PEMBATALAN'!$I$5:$I$504,"Berhasil"))</f>
        <v/>
      </c>
      <c r="K377" s="0" t="str">
        <f aca="false">IF(A377="","",H377-I377-J377)</f>
        <v/>
      </c>
      <c r="O377" s="0" t="str">
        <f aca="false">IF(A377="","",IF(AND(I377=SUMIFS('DETAIL TRANSAKSI'!$H$5:$H$504,'DETAIL TRANSAKSI'!$A$5:$A$504,A377),J377=SUMIFS('DETAIL TRANSAKSI'!$I$5:$I$504,'DETAIL TRANSAKSI'!$A$5:$A$504,A377)),"OK","CEK ALOKASI"))</f>
        <v/>
      </c>
    </row>
    <row r="378" customFormat="false" ht="15" hidden="false" customHeight="false" outlineLevel="0" collapsed="false">
      <c r="H378" s="0" t="str">
        <f aca="false">IF(A378="","",SUMIFS('DETAIL TRANSAKSI'!$G$5:$G$504,'DETAIL TRANSAKSI'!$A$5:$A$504,A378))</f>
        <v/>
      </c>
      <c r="J378" s="0" t="str">
        <f aca="false">IF(A378="","",SUMIFS('REFUND DAN PEMBATALAN'!$E$5:$E$504,'REFUND DAN PEMBATALAN'!$B$5:$B$504,A378,'REFUND DAN PEMBATALAN'!$I$5:$I$504,"Berhasil"))</f>
        <v/>
      </c>
      <c r="K378" s="0" t="str">
        <f aca="false">IF(A378="","",H378-I378-J378)</f>
        <v/>
      </c>
      <c r="O378" s="0" t="str">
        <f aca="false">IF(A378="","",IF(AND(I378=SUMIFS('DETAIL TRANSAKSI'!$H$5:$H$504,'DETAIL TRANSAKSI'!$A$5:$A$504,A378),J378=SUMIFS('DETAIL TRANSAKSI'!$I$5:$I$504,'DETAIL TRANSAKSI'!$A$5:$A$504,A378)),"OK","CEK ALOKASI"))</f>
        <v/>
      </c>
    </row>
    <row r="379" customFormat="false" ht="15" hidden="false" customHeight="false" outlineLevel="0" collapsed="false">
      <c r="H379" s="0" t="str">
        <f aca="false">IF(A379="","",SUMIFS('DETAIL TRANSAKSI'!$G$5:$G$504,'DETAIL TRANSAKSI'!$A$5:$A$504,A379))</f>
        <v/>
      </c>
      <c r="J379" s="0" t="str">
        <f aca="false">IF(A379="","",SUMIFS('REFUND DAN PEMBATALAN'!$E$5:$E$504,'REFUND DAN PEMBATALAN'!$B$5:$B$504,A379,'REFUND DAN PEMBATALAN'!$I$5:$I$504,"Berhasil"))</f>
        <v/>
      </c>
      <c r="K379" s="0" t="str">
        <f aca="false">IF(A379="","",H379-I379-J379)</f>
        <v/>
      </c>
      <c r="O379" s="0" t="str">
        <f aca="false">IF(A379="","",IF(AND(I379=SUMIFS('DETAIL TRANSAKSI'!$H$5:$H$504,'DETAIL TRANSAKSI'!$A$5:$A$504,A379),J379=SUMIFS('DETAIL TRANSAKSI'!$I$5:$I$504,'DETAIL TRANSAKSI'!$A$5:$A$504,A379)),"OK","CEK ALOKASI"))</f>
        <v/>
      </c>
    </row>
    <row r="380" customFormat="false" ht="15" hidden="false" customHeight="false" outlineLevel="0" collapsed="false">
      <c r="H380" s="0" t="str">
        <f aca="false">IF(A380="","",SUMIFS('DETAIL TRANSAKSI'!$G$5:$G$504,'DETAIL TRANSAKSI'!$A$5:$A$504,A380))</f>
        <v/>
      </c>
      <c r="J380" s="0" t="str">
        <f aca="false">IF(A380="","",SUMIFS('REFUND DAN PEMBATALAN'!$E$5:$E$504,'REFUND DAN PEMBATALAN'!$B$5:$B$504,A380,'REFUND DAN PEMBATALAN'!$I$5:$I$504,"Berhasil"))</f>
        <v/>
      </c>
      <c r="K380" s="0" t="str">
        <f aca="false">IF(A380="","",H380-I380-J380)</f>
        <v/>
      </c>
      <c r="O380" s="0" t="str">
        <f aca="false">IF(A380="","",IF(AND(I380=SUMIFS('DETAIL TRANSAKSI'!$H$5:$H$504,'DETAIL TRANSAKSI'!$A$5:$A$504,A380),J380=SUMIFS('DETAIL TRANSAKSI'!$I$5:$I$504,'DETAIL TRANSAKSI'!$A$5:$A$504,A380)),"OK","CEK ALOKASI"))</f>
        <v/>
      </c>
    </row>
    <row r="381" customFormat="false" ht="15" hidden="false" customHeight="false" outlineLevel="0" collapsed="false">
      <c r="H381" s="0" t="str">
        <f aca="false">IF(A381="","",SUMIFS('DETAIL TRANSAKSI'!$G$5:$G$504,'DETAIL TRANSAKSI'!$A$5:$A$504,A381))</f>
        <v/>
      </c>
      <c r="J381" s="0" t="str">
        <f aca="false">IF(A381="","",SUMIFS('REFUND DAN PEMBATALAN'!$E$5:$E$504,'REFUND DAN PEMBATALAN'!$B$5:$B$504,A381,'REFUND DAN PEMBATALAN'!$I$5:$I$504,"Berhasil"))</f>
        <v/>
      </c>
      <c r="K381" s="0" t="str">
        <f aca="false">IF(A381="","",H381-I381-J381)</f>
        <v/>
      </c>
      <c r="O381" s="0" t="str">
        <f aca="false">IF(A381="","",IF(AND(I381=SUMIFS('DETAIL TRANSAKSI'!$H$5:$H$504,'DETAIL TRANSAKSI'!$A$5:$A$504,A381),J381=SUMIFS('DETAIL TRANSAKSI'!$I$5:$I$504,'DETAIL TRANSAKSI'!$A$5:$A$504,A381)),"OK","CEK ALOKASI"))</f>
        <v/>
      </c>
    </row>
    <row r="382" customFormat="false" ht="15" hidden="false" customHeight="false" outlineLevel="0" collapsed="false">
      <c r="H382" s="0" t="str">
        <f aca="false">IF(A382="","",SUMIFS('DETAIL TRANSAKSI'!$G$5:$G$504,'DETAIL TRANSAKSI'!$A$5:$A$504,A382))</f>
        <v/>
      </c>
      <c r="J382" s="0" t="str">
        <f aca="false">IF(A382="","",SUMIFS('REFUND DAN PEMBATALAN'!$E$5:$E$504,'REFUND DAN PEMBATALAN'!$B$5:$B$504,A382,'REFUND DAN PEMBATALAN'!$I$5:$I$504,"Berhasil"))</f>
        <v/>
      </c>
      <c r="K382" s="0" t="str">
        <f aca="false">IF(A382="","",H382-I382-J382)</f>
        <v/>
      </c>
      <c r="O382" s="0" t="str">
        <f aca="false">IF(A382="","",IF(AND(I382=SUMIFS('DETAIL TRANSAKSI'!$H$5:$H$504,'DETAIL TRANSAKSI'!$A$5:$A$504,A382),J382=SUMIFS('DETAIL TRANSAKSI'!$I$5:$I$504,'DETAIL TRANSAKSI'!$A$5:$A$504,A382)),"OK","CEK ALOKASI"))</f>
        <v/>
      </c>
    </row>
    <row r="383" customFormat="false" ht="15" hidden="false" customHeight="false" outlineLevel="0" collapsed="false">
      <c r="H383" s="0" t="str">
        <f aca="false">IF(A383="","",SUMIFS('DETAIL TRANSAKSI'!$G$5:$G$504,'DETAIL TRANSAKSI'!$A$5:$A$504,A383))</f>
        <v/>
      </c>
      <c r="J383" s="0" t="str">
        <f aca="false">IF(A383="","",SUMIFS('REFUND DAN PEMBATALAN'!$E$5:$E$504,'REFUND DAN PEMBATALAN'!$B$5:$B$504,A383,'REFUND DAN PEMBATALAN'!$I$5:$I$504,"Berhasil"))</f>
        <v/>
      </c>
      <c r="K383" s="0" t="str">
        <f aca="false">IF(A383="","",H383-I383-J383)</f>
        <v/>
      </c>
      <c r="O383" s="0" t="str">
        <f aca="false">IF(A383="","",IF(AND(I383=SUMIFS('DETAIL TRANSAKSI'!$H$5:$H$504,'DETAIL TRANSAKSI'!$A$5:$A$504,A383),J383=SUMIFS('DETAIL TRANSAKSI'!$I$5:$I$504,'DETAIL TRANSAKSI'!$A$5:$A$504,A383)),"OK","CEK ALOKASI"))</f>
        <v/>
      </c>
    </row>
    <row r="384" customFormat="false" ht="15" hidden="false" customHeight="false" outlineLevel="0" collapsed="false">
      <c r="H384" s="0" t="str">
        <f aca="false">IF(A384="","",SUMIFS('DETAIL TRANSAKSI'!$G$5:$G$504,'DETAIL TRANSAKSI'!$A$5:$A$504,A384))</f>
        <v/>
      </c>
      <c r="J384" s="0" t="str">
        <f aca="false">IF(A384="","",SUMIFS('REFUND DAN PEMBATALAN'!$E$5:$E$504,'REFUND DAN PEMBATALAN'!$B$5:$B$504,A384,'REFUND DAN PEMBATALAN'!$I$5:$I$504,"Berhasil"))</f>
        <v/>
      </c>
      <c r="K384" s="0" t="str">
        <f aca="false">IF(A384="","",H384-I384-J384)</f>
        <v/>
      </c>
      <c r="O384" s="0" t="str">
        <f aca="false">IF(A384="","",IF(AND(I384=SUMIFS('DETAIL TRANSAKSI'!$H$5:$H$504,'DETAIL TRANSAKSI'!$A$5:$A$504,A384),J384=SUMIFS('DETAIL TRANSAKSI'!$I$5:$I$504,'DETAIL TRANSAKSI'!$A$5:$A$504,A384)),"OK","CEK ALOKASI"))</f>
        <v/>
      </c>
    </row>
    <row r="385" customFormat="false" ht="15" hidden="false" customHeight="false" outlineLevel="0" collapsed="false">
      <c r="H385" s="0" t="str">
        <f aca="false">IF(A385="","",SUMIFS('DETAIL TRANSAKSI'!$G$5:$G$504,'DETAIL TRANSAKSI'!$A$5:$A$504,A385))</f>
        <v/>
      </c>
      <c r="J385" s="0" t="str">
        <f aca="false">IF(A385="","",SUMIFS('REFUND DAN PEMBATALAN'!$E$5:$E$504,'REFUND DAN PEMBATALAN'!$B$5:$B$504,A385,'REFUND DAN PEMBATALAN'!$I$5:$I$504,"Berhasil"))</f>
        <v/>
      </c>
      <c r="K385" s="0" t="str">
        <f aca="false">IF(A385="","",H385-I385-J385)</f>
        <v/>
      </c>
      <c r="O385" s="0" t="str">
        <f aca="false">IF(A385="","",IF(AND(I385=SUMIFS('DETAIL TRANSAKSI'!$H$5:$H$504,'DETAIL TRANSAKSI'!$A$5:$A$504,A385),J385=SUMIFS('DETAIL TRANSAKSI'!$I$5:$I$504,'DETAIL TRANSAKSI'!$A$5:$A$504,A385)),"OK","CEK ALOKASI"))</f>
        <v/>
      </c>
    </row>
    <row r="386" customFormat="false" ht="15" hidden="false" customHeight="false" outlineLevel="0" collapsed="false">
      <c r="H386" s="0" t="str">
        <f aca="false">IF(A386="","",SUMIFS('DETAIL TRANSAKSI'!$G$5:$G$504,'DETAIL TRANSAKSI'!$A$5:$A$504,A386))</f>
        <v/>
      </c>
      <c r="J386" s="0" t="str">
        <f aca="false">IF(A386="","",SUMIFS('REFUND DAN PEMBATALAN'!$E$5:$E$504,'REFUND DAN PEMBATALAN'!$B$5:$B$504,A386,'REFUND DAN PEMBATALAN'!$I$5:$I$504,"Berhasil"))</f>
        <v/>
      </c>
      <c r="K386" s="0" t="str">
        <f aca="false">IF(A386="","",H386-I386-J386)</f>
        <v/>
      </c>
      <c r="O386" s="0" t="str">
        <f aca="false">IF(A386="","",IF(AND(I386=SUMIFS('DETAIL TRANSAKSI'!$H$5:$H$504,'DETAIL TRANSAKSI'!$A$5:$A$504,A386),J386=SUMIFS('DETAIL TRANSAKSI'!$I$5:$I$504,'DETAIL TRANSAKSI'!$A$5:$A$504,A386)),"OK","CEK ALOKASI"))</f>
        <v/>
      </c>
    </row>
    <row r="387" customFormat="false" ht="15" hidden="false" customHeight="false" outlineLevel="0" collapsed="false">
      <c r="H387" s="0" t="str">
        <f aca="false">IF(A387="","",SUMIFS('DETAIL TRANSAKSI'!$G$5:$G$504,'DETAIL TRANSAKSI'!$A$5:$A$504,A387))</f>
        <v/>
      </c>
      <c r="J387" s="0" t="str">
        <f aca="false">IF(A387="","",SUMIFS('REFUND DAN PEMBATALAN'!$E$5:$E$504,'REFUND DAN PEMBATALAN'!$B$5:$B$504,A387,'REFUND DAN PEMBATALAN'!$I$5:$I$504,"Berhasil"))</f>
        <v/>
      </c>
      <c r="K387" s="0" t="str">
        <f aca="false">IF(A387="","",H387-I387-J387)</f>
        <v/>
      </c>
      <c r="O387" s="0" t="str">
        <f aca="false">IF(A387="","",IF(AND(I387=SUMIFS('DETAIL TRANSAKSI'!$H$5:$H$504,'DETAIL TRANSAKSI'!$A$5:$A$504,A387),J387=SUMIFS('DETAIL TRANSAKSI'!$I$5:$I$504,'DETAIL TRANSAKSI'!$A$5:$A$504,A387)),"OK","CEK ALOKASI"))</f>
        <v/>
      </c>
    </row>
    <row r="388" customFormat="false" ht="15" hidden="false" customHeight="false" outlineLevel="0" collapsed="false">
      <c r="H388" s="0" t="str">
        <f aca="false">IF(A388="","",SUMIFS('DETAIL TRANSAKSI'!$G$5:$G$504,'DETAIL TRANSAKSI'!$A$5:$A$504,A388))</f>
        <v/>
      </c>
      <c r="J388" s="0" t="str">
        <f aca="false">IF(A388="","",SUMIFS('REFUND DAN PEMBATALAN'!$E$5:$E$504,'REFUND DAN PEMBATALAN'!$B$5:$B$504,A388,'REFUND DAN PEMBATALAN'!$I$5:$I$504,"Berhasil"))</f>
        <v/>
      </c>
      <c r="K388" s="0" t="str">
        <f aca="false">IF(A388="","",H388-I388-J388)</f>
        <v/>
      </c>
      <c r="O388" s="0" t="str">
        <f aca="false">IF(A388="","",IF(AND(I388=SUMIFS('DETAIL TRANSAKSI'!$H$5:$H$504,'DETAIL TRANSAKSI'!$A$5:$A$504,A388),J388=SUMIFS('DETAIL TRANSAKSI'!$I$5:$I$504,'DETAIL TRANSAKSI'!$A$5:$A$504,A388)),"OK","CEK ALOKASI"))</f>
        <v/>
      </c>
    </row>
    <row r="389" customFormat="false" ht="15" hidden="false" customHeight="false" outlineLevel="0" collapsed="false">
      <c r="H389" s="0" t="str">
        <f aca="false">IF(A389="","",SUMIFS('DETAIL TRANSAKSI'!$G$5:$G$504,'DETAIL TRANSAKSI'!$A$5:$A$504,A389))</f>
        <v/>
      </c>
      <c r="J389" s="0" t="str">
        <f aca="false">IF(A389="","",SUMIFS('REFUND DAN PEMBATALAN'!$E$5:$E$504,'REFUND DAN PEMBATALAN'!$B$5:$B$504,A389,'REFUND DAN PEMBATALAN'!$I$5:$I$504,"Berhasil"))</f>
        <v/>
      </c>
      <c r="K389" s="0" t="str">
        <f aca="false">IF(A389="","",H389-I389-J389)</f>
        <v/>
      </c>
      <c r="O389" s="0" t="str">
        <f aca="false">IF(A389="","",IF(AND(I389=SUMIFS('DETAIL TRANSAKSI'!$H$5:$H$504,'DETAIL TRANSAKSI'!$A$5:$A$504,A389),J389=SUMIFS('DETAIL TRANSAKSI'!$I$5:$I$504,'DETAIL TRANSAKSI'!$A$5:$A$504,A389)),"OK","CEK ALOKASI"))</f>
        <v/>
      </c>
    </row>
    <row r="390" customFormat="false" ht="15" hidden="false" customHeight="false" outlineLevel="0" collapsed="false">
      <c r="H390" s="0" t="str">
        <f aca="false">IF(A390="","",SUMIFS('DETAIL TRANSAKSI'!$G$5:$G$504,'DETAIL TRANSAKSI'!$A$5:$A$504,A390))</f>
        <v/>
      </c>
      <c r="J390" s="0" t="str">
        <f aca="false">IF(A390="","",SUMIFS('REFUND DAN PEMBATALAN'!$E$5:$E$504,'REFUND DAN PEMBATALAN'!$B$5:$B$504,A390,'REFUND DAN PEMBATALAN'!$I$5:$I$504,"Berhasil"))</f>
        <v/>
      </c>
      <c r="K390" s="0" t="str">
        <f aca="false">IF(A390="","",H390-I390-J390)</f>
        <v/>
      </c>
      <c r="O390" s="0" t="str">
        <f aca="false">IF(A390="","",IF(AND(I390=SUMIFS('DETAIL TRANSAKSI'!$H$5:$H$504,'DETAIL TRANSAKSI'!$A$5:$A$504,A390),J390=SUMIFS('DETAIL TRANSAKSI'!$I$5:$I$504,'DETAIL TRANSAKSI'!$A$5:$A$504,A390)),"OK","CEK ALOKASI"))</f>
        <v/>
      </c>
    </row>
    <row r="391" customFormat="false" ht="15" hidden="false" customHeight="false" outlineLevel="0" collapsed="false">
      <c r="H391" s="0" t="str">
        <f aca="false">IF(A391="","",SUMIFS('DETAIL TRANSAKSI'!$G$5:$G$504,'DETAIL TRANSAKSI'!$A$5:$A$504,A391))</f>
        <v/>
      </c>
      <c r="J391" s="0" t="str">
        <f aca="false">IF(A391="","",SUMIFS('REFUND DAN PEMBATALAN'!$E$5:$E$504,'REFUND DAN PEMBATALAN'!$B$5:$B$504,A391,'REFUND DAN PEMBATALAN'!$I$5:$I$504,"Berhasil"))</f>
        <v/>
      </c>
      <c r="K391" s="0" t="str">
        <f aca="false">IF(A391="","",H391-I391-J391)</f>
        <v/>
      </c>
      <c r="O391" s="0" t="str">
        <f aca="false">IF(A391="","",IF(AND(I391=SUMIFS('DETAIL TRANSAKSI'!$H$5:$H$504,'DETAIL TRANSAKSI'!$A$5:$A$504,A391),J391=SUMIFS('DETAIL TRANSAKSI'!$I$5:$I$504,'DETAIL TRANSAKSI'!$A$5:$A$504,A391)),"OK","CEK ALOKASI"))</f>
        <v/>
      </c>
    </row>
    <row r="392" customFormat="false" ht="15" hidden="false" customHeight="false" outlineLevel="0" collapsed="false">
      <c r="H392" s="0" t="str">
        <f aca="false">IF(A392="","",SUMIFS('DETAIL TRANSAKSI'!$G$5:$G$504,'DETAIL TRANSAKSI'!$A$5:$A$504,A392))</f>
        <v/>
      </c>
      <c r="J392" s="0" t="str">
        <f aca="false">IF(A392="","",SUMIFS('REFUND DAN PEMBATALAN'!$E$5:$E$504,'REFUND DAN PEMBATALAN'!$B$5:$B$504,A392,'REFUND DAN PEMBATALAN'!$I$5:$I$504,"Berhasil"))</f>
        <v/>
      </c>
      <c r="K392" s="0" t="str">
        <f aca="false">IF(A392="","",H392-I392-J392)</f>
        <v/>
      </c>
      <c r="O392" s="0" t="str">
        <f aca="false">IF(A392="","",IF(AND(I392=SUMIFS('DETAIL TRANSAKSI'!$H$5:$H$504,'DETAIL TRANSAKSI'!$A$5:$A$504,A392),J392=SUMIFS('DETAIL TRANSAKSI'!$I$5:$I$504,'DETAIL TRANSAKSI'!$A$5:$A$504,A392)),"OK","CEK ALOKASI"))</f>
        <v/>
      </c>
    </row>
    <row r="393" customFormat="false" ht="15" hidden="false" customHeight="false" outlineLevel="0" collapsed="false">
      <c r="H393" s="0" t="str">
        <f aca="false">IF(A393="","",SUMIFS('DETAIL TRANSAKSI'!$G$5:$G$504,'DETAIL TRANSAKSI'!$A$5:$A$504,A393))</f>
        <v/>
      </c>
      <c r="J393" s="0" t="str">
        <f aca="false">IF(A393="","",SUMIFS('REFUND DAN PEMBATALAN'!$E$5:$E$504,'REFUND DAN PEMBATALAN'!$B$5:$B$504,A393,'REFUND DAN PEMBATALAN'!$I$5:$I$504,"Berhasil"))</f>
        <v/>
      </c>
      <c r="K393" s="0" t="str">
        <f aca="false">IF(A393="","",H393-I393-J393)</f>
        <v/>
      </c>
      <c r="O393" s="0" t="str">
        <f aca="false">IF(A393="","",IF(AND(I393=SUMIFS('DETAIL TRANSAKSI'!$H$5:$H$504,'DETAIL TRANSAKSI'!$A$5:$A$504,A393),J393=SUMIFS('DETAIL TRANSAKSI'!$I$5:$I$504,'DETAIL TRANSAKSI'!$A$5:$A$504,A393)),"OK","CEK ALOKASI"))</f>
        <v/>
      </c>
    </row>
    <row r="394" customFormat="false" ht="15" hidden="false" customHeight="false" outlineLevel="0" collapsed="false">
      <c r="H394" s="0" t="str">
        <f aca="false">IF(A394="","",SUMIFS('DETAIL TRANSAKSI'!$G$5:$G$504,'DETAIL TRANSAKSI'!$A$5:$A$504,A394))</f>
        <v/>
      </c>
      <c r="J394" s="0" t="str">
        <f aca="false">IF(A394="","",SUMIFS('REFUND DAN PEMBATALAN'!$E$5:$E$504,'REFUND DAN PEMBATALAN'!$B$5:$B$504,A394,'REFUND DAN PEMBATALAN'!$I$5:$I$504,"Berhasil"))</f>
        <v/>
      </c>
      <c r="K394" s="0" t="str">
        <f aca="false">IF(A394="","",H394-I394-J394)</f>
        <v/>
      </c>
      <c r="O394" s="0" t="str">
        <f aca="false">IF(A394="","",IF(AND(I394=SUMIFS('DETAIL TRANSAKSI'!$H$5:$H$504,'DETAIL TRANSAKSI'!$A$5:$A$504,A394),J394=SUMIFS('DETAIL TRANSAKSI'!$I$5:$I$504,'DETAIL TRANSAKSI'!$A$5:$A$504,A394)),"OK","CEK ALOKASI"))</f>
        <v/>
      </c>
    </row>
    <row r="395" customFormat="false" ht="15" hidden="false" customHeight="false" outlineLevel="0" collapsed="false">
      <c r="H395" s="0" t="str">
        <f aca="false">IF(A395="","",SUMIFS('DETAIL TRANSAKSI'!$G$5:$G$504,'DETAIL TRANSAKSI'!$A$5:$A$504,A395))</f>
        <v/>
      </c>
      <c r="J395" s="0" t="str">
        <f aca="false">IF(A395="","",SUMIFS('REFUND DAN PEMBATALAN'!$E$5:$E$504,'REFUND DAN PEMBATALAN'!$B$5:$B$504,A395,'REFUND DAN PEMBATALAN'!$I$5:$I$504,"Berhasil"))</f>
        <v/>
      </c>
      <c r="K395" s="0" t="str">
        <f aca="false">IF(A395="","",H395-I395-J395)</f>
        <v/>
      </c>
      <c r="O395" s="0" t="str">
        <f aca="false">IF(A395="","",IF(AND(I395=SUMIFS('DETAIL TRANSAKSI'!$H$5:$H$504,'DETAIL TRANSAKSI'!$A$5:$A$504,A395),J395=SUMIFS('DETAIL TRANSAKSI'!$I$5:$I$504,'DETAIL TRANSAKSI'!$A$5:$A$504,A395)),"OK","CEK ALOKASI"))</f>
        <v/>
      </c>
    </row>
    <row r="396" customFormat="false" ht="15" hidden="false" customHeight="false" outlineLevel="0" collapsed="false">
      <c r="H396" s="0" t="str">
        <f aca="false">IF(A396="","",SUMIFS('DETAIL TRANSAKSI'!$G$5:$G$504,'DETAIL TRANSAKSI'!$A$5:$A$504,A396))</f>
        <v/>
      </c>
      <c r="J396" s="0" t="str">
        <f aca="false">IF(A396="","",SUMIFS('REFUND DAN PEMBATALAN'!$E$5:$E$504,'REFUND DAN PEMBATALAN'!$B$5:$B$504,A396,'REFUND DAN PEMBATALAN'!$I$5:$I$504,"Berhasil"))</f>
        <v/>
      </c>
      <c r="K396" s="0" t="str">
        <f aca="false">IF(A396="","",H396-I396-J396)</f>
        <v/>
      </c>
      <c r="O396" s="0" t="str">
        <f aca="false">IF(A396="","",IF(AND(I396=SUMIFS('DETAIL TRANSAKSI'!$H$5:$H$504,'DETAIL TRANSAKSI'!$A$5:$A$504,A396),J396=SUMIFS('DETAIL TRANSAKSI'!$I$5:$I$504,'DETAIL TRANSAKSI'!$A$5:$A$504,A396)),"OK","CEK ALOKASI"))</f>
        <v/>
      </c>
    </row>
    <row r="397" customFormat="false" ht="15" hidden="false" customHeight="false" outlineLevel="0" collapsed="false">
      <c r="H397" s="0" t="str">
        <f aca="false">IF(A397="","",SUMIFS('DETAIL TRANSAKSI'!$G$5:$G$504,'DETAIL TRANSAKSI'!$A$5:$A$504,A397))</f>
        <v/>
      </c>
      <c r="J397" s="0" t="str">
        <f aca="false">IF(A397="","",SUMIFS('REFUND DAN PEMBATALAN'!$E$5:$E$504,'REFUND DAN PEMBATALAN'!$B$5:$B$504,A397,'REFUND DAN PEMBATALAN'!$I$5:$I$504,"Berhasil"))</f>
        <v/>
      </c>
      <c r="K397" s="0" t="str">
        <f aca="false">IF(A397="","",H397-I397-J397)</f>
        <v/>
      </c>
      <c r="O397" s="0" t="str">
        <f aca="false">IF(A397="","",IF(AND(I397=SUMIFS('DETAIL TRANSAKSI'!$H$5:$H$504,'DETAIL TRANSAKSI'!$A$5:$A$504,A397),J397=SUMIFS('DETAIL TRANSAKSI'!$I$5:$I$504,'DETAIL TRANSAKSI'!$A$5:$A$504,A397)),"OK","CEK ALOKASI"))</f>
        <v/>
      </c>
    </row>
    <row r="398" customFormat="false" ht="15" hidden="false" customHeight="false" outlineLevel="0" collapsed="false">
      <c r="H398" s="0" t="str">
        <f aca="false">IF(A398="","",SUMIFS('DETAIL TRANSAKSI'!$G$5:$G$504,'DETAIL TRANSAKSI'!$A$5:$A$504,A398))</f>
        <v/>
      </c>
      <c r="J398" s="0" t="str">
        <f aca="false">IF(A398="","",SUMIFS('REFUND DAN PEMBATALAN'!$E$5:$E$504,'REFUND DAN PEMBATALAN'!$B$5:$B$504,A398,'REFUND DAN PEMBATALAN'!$I$5:$I$504,"Berhasil"))</f>
        <v/>
      </c>
      <c r="K398" s="0" t="str">
        <f aca="false">IF(A398="","",H398-I398-J398)</f>
        <v/>
      </c>
      <c r="O398" s="0" t="str">
        <f aca="false">IF(A398="","",IF(AND(I398=SUMIFS('DETAIL TRANSAKSI'!$H$5:$H$504,'DETAIL TRANSAKSI'!$A$5:$A$504,A398),J398=SUMIFS('DETAIL TRANSAKSI'!$I$5:$I$504,'DETAIL TRANSAKSI'!$A$5:$A$504,A398)),"OK","CEK ALOKASI"))</f>
        <v/>
      </c>
    </row>
    <row r="399" customFormat="false" ht="15" hidden="false" customHeight="false" outlineLevel="0" collapsed="false">
      <c r="H399" s="0" t="str">
        <f aca="false">IF(A399="","",SUMIFS('DETAIL TRANSAKSI'!$G$5:$G$504,'DETAIL TRANSAKSI'!$A$5:$A$504,A399))</f>
        <v/>
      </c>
      <c r="J399" s="0" t="str">
        <f aca="false">IF(A399="","",SUMIFS('REFUND DAN PEMBATALAN'!$E$5:$E$504,'REFUND DAN PEMBATALAN'!$B$5:$B$504,A399,'REFUND DAN PEMBATALAN'!$I$5:$I$504,"Berhasil"))</f>
        <v/>
      </c>
      <c r="K399" s="0" t="str">
        <f aca="false">IF(A399="","",H399-I399-J399)</f>
        <v/>
      </c>
      <c r="O399" s="0" t="str">
        <f aca="false">IF(A399="","",IF(AND(I399=SUMIFS('DETAIL TRANSAKSI'!$H$5:$H$504,'DETAIL TRANSAKSI'!$A$5:$A$504,A399),J399=SUMIFS('DETAIL TRANSAKSI'!$I$5:$I$504,'DETAIL TRANSAKSI'!$A$5:$A$504,A399)),"OK","CEK ALOKASI"))</f>
        <v/>
      </c>
    </row>
    <row r="400" customFormat="false" ht="15" hidden="false" customHeight="false" outlineLevel="0" collapsed="false">
      <c r="H400" s="0" t="str">
        <f aca="false">IF(A400="","",SUMIFS('DETAIL TRANSAKSI'!$G$5:$G$504,'DETAIL TRANSAKSI'!$A$5:$A$504,A400))</f>
        <v/>
      </c>
      <c r="J400" s="0" t="str">
        <f aca="false">IF(A400="","",SUMIFS('REFUND DAN PEMBATALAN'!$E$5:$E$504,'REFUND DAN PEMBATALAN'!$B$5:$B$504,A400,'REFUND DAN PEMBATALAN'!$I$5:$I$504,"Berhasil"))</f>
        <v/>
      </c>
      <c r="K400" s="0" t="str">
        <f aca="false">IF(A400="","",H400-I400-J400)</f>
        <v/>
      </c>
      <c r="O400" s="0" t="str">
        <f aca="false">IF(A400="","",IF(AND(I400=SUMIFS('DETAIL TRANSAKSI'!$H$5:$H$504,'DETAIL TRANSAKSI'!$A$5:$A$504,A400),J400=SUMIFS('DETAIL TRANSAKSI'!$I$5:$I$504,'DETAIL TRANSAKSI'!$A$5:$A$504,A400)),"OK","CEK ALOKASI"))</f>
        <v/>
      </c>
    </row>
    <row r="401" customFormat="false" ht="15" hidden="false" customHeight="false" outlineLevel="0" collapsed="false">
      <c r="H401" s="0" t="str">
        <f aca="false">IF(A401="","",SUMIFS('DETAIL TRANSAKSI'!$G$5:$G$504,'DETAIL TRANSAKSI'!$A$5:$A$504,A401))</f>
        <v/>
      </c>
      <c r="J401" s="0" t="str">
        <f aca="false">IF(A401="","",SUMIFS('REFUND DAN PEMBATALAN'!$E$5:$E$504,'REFUND DAN PEMBATALAN'!$B$5:$B$504,A401,'REFUND DAN PEMBATALAN'!$I$5:$I$504,"Berhasil"))</f>
        <v/>
      </c>
      <c r="K401" s="0" t="str">
        <f aca="false">IF(A401="","",H401-I401-J401)</f>
        <v/>
      </c>
      <c r="O401" s="0" t="str">
        <f aca="false">IF(A401="","",IF(AND(I401=SUMIFS('DETAIL TRANSAKSI'!$H$5:$H$504,'DETAIL TRANSAKSI'!$A$5:$A$504,A401),J401=SUMIFS('DETAIL TRANSAKSI'!$I$5:$I$504,'DETAIL TRANSAKSI'!$A$5:$A$504,A401)),"OK","CEK ALOKASI"))</f>
        <v/>
      </c>
    </row>
    <row r="402" customFormat="false" ht="15" hidden="false" customHeight="false" outlineLevel="0" collapsed="false">
      <c r="H402" s="0" t="str">
        <f aca="false">IF(A402="","",SUMIFS('DETAIL TRANSAKSI'!$G$5:$G$504,'DETAIL TRANSAKSI'!$A$5:$A$504,A402))</f>
        <v/>
      </c>
      <c r="J402" s="0" t="str">
        <f aca="false">IF(A402="","",SUMIFS('REFUND DAN PEMBATALAN'!$E$5:$E$504,'REFUND DAN PEMBATALAN'!$B$5:$B$504,A402,'REFUND DAN PEMBATALAN'!$I$5:$I$504,"Berhasil"))</f>
        <v/>
      </c>
      <c r="K402" s="0" t="str">
        <f aca="false">IF(A402="","",H402-I402-J402)</f>
        <v/>
      </c>
      <c r="O402" s="0" t="str">
        <f aca="false">IF(A402="","",IF(AND(I402=SUMIFS('DETAIL TRANSAKSI'!$H$5:$H$504,'DETAIL TRANSAKSI'!$A$5:$A$504,A402),J402=SUMIFS('DETAIL TRANSAKSI'!$I$5:$I$504,'DETAIL TRANSAKSI'!$A$5:$A$504,A402)),"OK","CEK ALOKASI"))</f>
        <v/>
      </c>
    </row>
    <row r="403" customFormat="false" ht="15" hidden="false" customHeight="false" outlineLevel="0" collapsed="false">
      <c r="H403" s="0" t="str">
        <f aca="false">IF(A403="","",SUMIFS('DETAIL TRANSAKSI'!$G$5:$G$504,'DETAIL TRANSAKSI'!$A$5:$A$504,A403))</f>
        <v/>
      </c>
      <c r="J403" s="0" t="str">
        <f aca="false">IF(A403="","",SUMIFS('REFUND DAN PEMBATALAN'!$E$5:$E$504,'REFUND DAN PEMBATALAN'!$B$5:$B$504,A403,'REFUND DAN PEMBATALAN'!$I$5:$I$504,"Berhasil"))</f>
        <v/>
      </c>
      <c r="K403" s="0" t="str">
        <f aca="false">IF(A403="","",H403-I403-J403)</f>
        <v/>
      </c>
      <c r="O403" s="0" t="str">
        <f aca="false">IF(A403="","",IF(AND(I403=SUMIFS('DETAIL TRANSAKSI'!$H$5:$H$504,'DETAIL TRANSAKSI'!$A$5:$A$504,A403),J403=SUMIFS('DETAIL TRANSAKSI'!$I$5:$I$504,'DETAIL TRANSAKSI'!$A$5:$A$504,A403)),"OK","CEK ALOKASI"))</f>
        <v/>
      </c>
    </row>
    <row r="404" customFormat="false" ht="15" hidden="false" customHeight="false" outlineLevel="0" collapsed="false">
      <c r="H404" s="0" t="str">
        <f aca="false">IF(A404="","",SUMIFS('DETAIL TRANSAKSI'!$G$5:$G$504,'DETAIL TRANSAKSI'!$A$5:$A$504,A404))</f>
        <v/>
      </c>
      <c r="J404" s="0" t="str">
        <f aca="false">IF(A404="","",SUMIFS('REFUND DAN PEMBATALAN'!$E$5:$E$504,'REFUND DAN PEMBATALAN'!$B$5:$B$504,A404,'REFUND DAN PEMBATALAN'!$I$5:$I$504,"Berhasil"))</f>
        <v/>
      </c>
      <c r="K404" s="0" t="str">
        <f aca="false">IF(A404="","",H404-I404-J404)</f>
        <v/>
      </c>
      <c r="O404" s="0" t="str">
        <f aca="false">IF(A404="","",IF(AND(I404=SUMIFS('DETAIL TRANSAKSI'!$H$5:$H$504,'DETAIL TRANSAKSI'!$A$5:$A$504,A404),J404=SUMIFS('DETAIL TRANSAKSI'!$I$5:$I$504,'DETAIL TRANSAKSI'!$A$5:$A$504,A404)),"OK","CEK ALOKASI"))</f>
        <v/>
      </c>
    </row>
    <row r="405" customFormat="false" ht="15" hidden="false" customHeight="false" outlineLevel="0" collapsed="false">
      <c r="H405" s="0" t="str">
        <f aca="false">IF(A405="","",SUMIFS('DETAIL TRANSAKSI'!$G$5:$G$504,'DETAIL TRANSAKSI'!$A$5:$A$504,A405))</f>
        <v/>
      </c>
      <c r="J405" s="0" t="str">
        <f aca="false">IF(A405="","",SUMIFS('REFUND DAN PEMBATALAN'!$E$5:$E$504,'REFUND DAN PEMBATALAN'!$B$5:$B$504,A405,'REFUND DAN PEMBATALAN'!$I$5:$I$504,"Berhasil"))</f>
        <v/>
      </c>
      <c r="K405" s="0" t="str">
        <f aca="false">IF(A405="","",H405-I405-J405)</f>
        <v/>
      </c>
      <c r="O405" s="0" t="str">
        <f aca="false">IF(A405="","",IF(AND(I405=SUMIFS('DETAIL TRANSAKSI'!$H$5:$H$504,'DETAIL TRANSAKSI'!$A$5:$A$504,A405),J405=SUMIFS('DETAIL TRANSAKSI'!$I$5:$I$504,'DETAIL TRANSAKSI'!$A$5:$A$504,A405)),"OK","CEK ALOKASI"))</f>
        <v/>
      </c>
    </row>
    <row r="406" customFormat="false" ht="15" hidden="false" customHeight="false" outlineLevel="0" collapsed="false">
      <c r="H406" s="0" t="str">
        <f aca="false">IF(A406="","",SUMIFS('DETAIL TRANSAKSI'!$G$5:$G$504,'DETAIL TRANSAKSI'!$A$5:$A$504,A406))</f>
        <v/>
      </c>
      <c r="J406" s="0" t="str">
        <f aca="false">IF(A406="","",SUMIFS('REFUND DAN PEMBATALAN'!$E$5:$E$504,'REFUND DAN PEMBATALAN'!$B$5:$B$504,A406,'REFUND DAN PEMBATALAN'!$I$5:$I$504,"Berhasil"))</f>
        <v/>
      </c>
      <c r="K406" s="0" t="str">
        <f aca="false">IF(A406="","",H406-I406-J406)</f>
        <v/>
      </c>
      <c r="O406" s="0" t="str">
        <f aca="false">IF(A406="","",IF(AND(I406=SUMIFS('DETAIL TRANSAKSI'!$H$5:$H$504,'DETAIL TRANSAKSI'!$A$5:$A$504,A406),J406=SUMIFS('DETAIL TRANSAKSI'!$I$5:$I$504,'DETAIL TRANSAKSI'!$A$5:$A$504,A406)),"OK","CEK ALOKASI"))</f>
        <v/>
      </c>
    </row>
    <row r="407" customFormat="false" ht="15" hidden="false" customHeight="false" outlineLevel="0" collapsed="false">
      <c r="H407" s="0" t="str">
        <f aca="false">IF(A407="","",SUMIFS('DETAIL TRANSAKSI'!$G$5:$G$504,'DETAIL TRANSAKSI'!$A$5:$A$504,A407))</f>
        <v/>
      </c>
      <c r="J407" s="0" t="str">
        <f aca="false">IF(A407="","",SUMIFS('REFUND DAN PEMBATALAN'!$E$5:$E$504,'REFUND DAN PEMBATALAN'!$B$5:$B$504,A407,'REFUND DAN PEMBATALAN'!$I$5:$I$504,"Berhasil"))</f>
        <v/>
      </c>
      <c r="K407" s="0" t="str">
        <f aca="false">IF(A407="","",H407-I407-J407)</f>
        <v/>
      </c>
      <c r="O407" s="0" t="str">
        <f aca="false">IF(A407="","",IF(AND(I407=SUMIFS('DETAIL TRANSAKSI'!$H$5:$H$504,'DETAIL TRANSAKSI'!$A$5:$A$504,A407),J407=SUMIFS('DETAIL TRANSAKSI'!$I$5:$I$504,'DETAIL TRANSAKSI'!$A$5:$A$504,A407)),"OK","CEK ALOKASI"))</f>
        <v/>
      </c>
    </row>
    <row r="408" customFormat="false" ht="15" hidden="false" customHeight="false" outlineLevel="0" collapsed="false">
      <c r="H408" s="0" t="str">
        <f aca="false">IF(A408="","",SUMIFS('DETAIL TRANSAKSI'!$G$5:$G$504,'DETAIL TRANSAKSI'!$A$5:$A$504,A408))</f>
        <v/>
      </c>
      <c r="J408" s="0" t="str">
        <f aca="false">IF(A408="","",SUMIFS('REFUND DAN PEMBATALAN'!$E$5:$E$504,'REFUND DAN PEMBATALAN'!$B$5:$B$504,A408,'REFUND DAN PEMBATALAN'!$I$5:$I$504,"Berhasil"))</f>
        <v/>
      </c>
      <c r="K408" s="0" t="str">
        <f aca="false">IF(A408="","",H408-I408-J408)</f>
        <v/>
      </c>
      <c r="O408" s="0" t="str">
        <f aca="false">IF(A408="","",IF(AND(I408=SUMIFS('DETAIL TRANSAKSI'!$H$5:$H$504,'DETAIL TRANSAKSI'!$A$5:$A$504,A408),J408=SUMIFS('DETAIL TRANSAKSI'!$I$5:$I$504,'DETAIL TRANSAKSI'!$A$5:$A$504,A408)),"OK","CEK ALOKASI"))</f>
        <v/>
      </c>
    </row>
    <row r="409" customFormat="false" ht="15" hidden="false" customHeight="false" outlineLevel="0" collapsed="false">
      <c r="H409" s="0" t="str">
        <f aca="false">IF(A409="","",SUMIFS('DETAIL TRANSAKSI'!$G$5:$G$504,'DETAIL TRANSAKSI'!$A$5:$A$504,A409))</f>
        <v/>
      </c>
      <c r="J409" s="0" t="str">
        <f aca="false">IF(A409="","",SUMIFS('REFUND DAN PEMBATALAN'!$E$5:$E$504,'REFUND DAN PEMBATALAN'!$B$5:$B$504,A409,'REFUND DAN PEMBATALAN'!$I$5:$I$504,"Berhasil"))</f>
        <v/>
      </c>
      <c r="K409" s="0" t="str">
        <f aca="false">IF(A409="","",H409-I409-J409)</f>
        <v/>
      </c>
      <c r="O409" s="0" t="str">
        <f aca="false">IF(A409="","",IF(AND(I409=SUMIFS('DETAIL TRANSAKSI'!$H$5:$H$504,'DETAIL TRANSAKSI'!$A$5:$A$504,A409),J409=SUMIFS('DETAIL TRANSAKSI'!$I$5:$I$504,'DETAIL TRANSAKSI'!$A$5:$A$504,A409)),"OK","CEK ALOKASI"))</f>
        <v/>
      </c>
    </row>
    <row r="410" customFormat="false" ht="15" hidden="false" customHeight="false" outlineLevel="0" collapsed="false">
      <c r="H410" s="0" t="str">
        <f aca="false">IF(A410="","",SUMIFS('DETAIL TRANSAKSI'!$G$5:$G$504,'DETAIL TRANSAKSI'!$A$5:$A$504,A410))</f>
        <v/>
      </c>
      <c r="J410" s="0" t="str">
        <f aca="false">IF(A410="","",SUMIFS('REFUND DAN PEMBATALAN'!$E$5:$E$504,'REFUND DAN PEMBATALAN'!$B$5:$B$504,A410,'REFUND DAN PEMBATALAN'!$I$5:$I$504,"Berhasil"))</f>
        <v/>
      </c>
      <c r="K410" s="0" t="str">
        <f aca="false">IF(A410="","",H410-I410-J410)</f>
        <v/>
      </c>
      <c r="O410" s="0" t="str">
        <f aca="false">IF(A410="","",IF(AND(I410=SUMIFS('DETAIL TRANSAKSI'!$H$5:$H$504,'DETAIL TRANSAKSI'!$A$5:$A$504,A410),J410=SUMIFS('DETAIL TRANSAKSI'!$I$5:$I$504,'DETAIL TRANSAKSI'!$A$5:$A$504,A410)),"OK","CEK ALOKASI"))</f>
        <v/>
      </c>
    </row>
    <row r="411" customFormat="false" ht="15" hidden="false" customHeight="false" outlineLevel="0" collapsed="false">
      <c r="H411" s="0" t="str">
        <f aca="false">IF(A411="","",SUMIFS('DETAIL TRANSAKSI'!$G$5:$G$504,'DETAIL TRANSAKSI'!$A$5:$A$504,A411))</f>
        <v/>
      </c>
      <c r="J411" s="0" t="str">
        <f aca="false">IF(A411="","",SUMIFS('REFUND DAN PEMBATALAN'!$E$5:$E$504,'REFUND DAN PEMBATALAN'!$B$5:$B$504,A411,'REFUND DAN PEMBATALAN'!$I$5:$I$504,"Berhasil"))</f>
        <v/>
      </c>
      <c r="K411" s="0" t="str">
        <f aca="false">IF(A411="","",H411-I411-J411)</f>
        <v/>
      </c>
      <c r="O411" s="0" t="str">
        <f aca="false">IF(A411="","",IF(AND(I411=SUMIFS('DETAIL TRANSAKSI'!$H$5:$H$504,'DETAIL TRANSAKSI'!$A$5:$A$504,A411),J411=SUMIFS('DETAIL TRANSAKSI'!$I$5:$I$504,'DETAIL TRANSAKSI'!$A$5:$A$504,A411)),"OK","CEK ALOKASI"))</f>
        <v/>
      </c>
    </row>
    <row r="412" customFormat="false" ht="15" hidden="false" customHeight="false" outlineLevel="0" collapsed="false">
      <c r="H412" s="0" t="str">
        <f aca="false">IF(A412="","",SUMIFS('DETAIL TRANSAKSI'!$G$5:$G$504,'DETAIL TRANSAKSI'!$A$5:$A$504,A412))</f>
        <v/>
      </c>
      <c r="J412" s="0" t="str">
        <f aca="false">IF(A412="","",SUMIFS('REFUND DAN PEMBATALAN'!$E$5:$E$504,'REFUND DAN PEMBATALAN'!$B$5:$B$504,A412,'REFUND DAN PEMBATALAN'!$I$5:$I$504,"Berhasil"))</f>
        <v/>
      </c>
      <c r="K412" s="0" t="str">
        <f aca="false">IF(A412="","",H412-I412-J412)</f>
        <v/>
      </c>
      <c r="O412" s="0" t="str">
        <f aca="false">IF(A412="","",IF(AND(I412=SUMIFS('DETAIL TRANSAKSI'!$H$5:$H$504,'DETAIL TRANSAKSI'!$A$5:$A$504,A412),J412=SUMIFS('DETAIL TRANSAKSI'!$I$5:$I$504,'DETAIL TRANSAKSI'!$A$5:$A$504,A412)),"OK","CEK ALOKASI"))</f>
        <v/>
      </c>
    </row>
    <row r="413" customFormat="false" ht="15" hidden="false" customHeight="false" outlineLevel="0" collapsed="false">
      <c r="H413" s="0" t="str">
        <f aca="false">IF(A413="","",SUMIFS('DETAIL TRANSAKSI'!$G$5:$G$504,'DETAIL TRANSAKSI'!$A$5:$A$504,A413))</f>
        <v/>
      </c>
      <c r="J413" s="0" t="str">
        <f aca="false">IF(A413="","",SUMIFS('REFUND DAN PEMBATALAN'!$E$5:$E$504,'REFUND DAN PEMBATALAN'!$B$5:$B$504,A413,'REFUND DAN PEMBATALAN'!$I$5:$I$504,"Berhasil"))</f>
        <v/>
      </c>
      <c r="K413" s="0" t="str">
        <f aca="false">IF(A413="","",H413-I413-J413)</f>
        <v/>
      </c>
      <c r="O413" s="0" t="str">
        <f aca="false">IF(A413="","",IF(AND(I413=SUMIFS('DETAIL TRANSAKSI'!$H$5:$H$504,'DETAIL TRANSAKSI'!$A$5:$A$504,A413),J413=SUMIFS('DETAIL TRANSAKSI'!$I$5:$I$504,'DETAIL TRANSAKSI'!$A$5:$A$504,A413)),"OK","CEK ALOKASI"))</f>
        <v/>
      </c>
    </row>
    <row r="414" customFormat="false" ht="15" hidden="false" customHeight="false" outlineLevel="0" collapsed="false">
      <c r="H414" s="0" t="str">
        <f aca="false">IF(A414="","",SUMIFS('DETAIL TRANSAKSI'!$G$5:$G$504,'DETAIL TRANSAKSI'!$A$5:$A$504,A414))</f>
        <v/>
      </c>
      <c r="J414" s="0" t="str">
        <f aca="false">IF(A414="","",SUMIFS('REFUND DAN PEMBATALAN'!$E$5:$E$504,'REFUND DAN PEMBATALAN'!$B$5:$B$504,A414,'REFUND DAN PEMBATALAN'!$I$5:$I$504,"Berhasil"))</f>
        <v/>
      </c>
      <c r="K414" s="0" t="str">
        <f aca="false">IF(A414="","",H414-I414-J414)</f>
        <v/>
      </c>
      <c r="O414" s="0" t="str">
        <f aca="false">IF(A414="","",IF(AND(I414=SUMIFS('DETAIL TRANSAKSI'!$H$5:$H$504,'DETAIL TRANSAKSI'!$A$5:$A$504,A414),J414=SUMIFS('DETAIL TRANSAKSI'!$I$5:$I$504,'DETAIL TRANSAKSI'!$A$5:$A$504,A414)),"OK","CEK ALOKASI"))</f>
        <v/>
      </c>
    </row>
    <row r="415" customFormat="false" ht="15" hidden="false" customHeight="false" outlineLevel="0" collapsed="false">
      <c r="H415" s="0" t="str">
        <f aca="false">IF(A415="","",SUMIFS('DETAIL TRANSAKSI'!$G$5:$G$504,'DETAIL TRANSAKSI'!$A$5:$A$504,A415))</f>
        <v/>
      </c>
      <c r="J415" s="0" t="str">
        <f aca="false">IF(A415="","",SUMIFS('REFUND DAN PEMBATALAN'!$E$5:$E$504,'REFUND DAN PEMBATALAN'!$B$5:$B$504,A415,'REFUND DAN PEMBATALAN'!$I$5:$I$504,"Berhasil"))</f>
        <v/>
      </c>
      <c r="K415" s="0" t="str">
        <f aca="false">IF(A415="","",H415-I415-J415)</f>
        <v/>
      </c>
      <c r="O415" s="0" t="str">
        <f aca="false">IF(A415="","",IF(AND(I415=SUMIFS('DETAIL TRANSAKSI'!$H$5:$H$504,'DETAIL TRANSAKSI'!$A$5:$A$504,A415),J415=SUMIFS('DETAIL TRANSAKSI'!$I$5:$I$504,'DETAIL TRANSAKSI'!$A$5:$A$504,A415)),"OK","CEK ALOKASI"))</f>
        <v/>
      </c>
    </row>
    <row r="416" customFormat="false" ht="15" hidden="false" customHeight="false" outlineLevel="0" collapsed="false">
      <c r="H416" s="0" t="str">
        <f aca="false">IF(A416="","",SUMIFS('DETAIL TRANSAKSI'!$G$5:$G$504,'DETAIL TRANSAKSI'!$A$5:$A$504,A416))</f>
        <v/>
      </c>
      <c r="J416" s="0" t="str">
        <f aca="false">IF(A416="","",SUMIFS('REFUND DAN PEMBATALAN'!$E$5:$E$504,'REFUND DAN PEMBATALAN'!$B$5:$B$504,A416,'REFUND DAN PEMBATALAN'!$I$5:$I$504,"Berhasil"))</f>
        <v/>
      </c>
      <c r="K416" s="0" t="str">
        <f aca="false">IF(A416="","",H416-I416-J416)</f>
        <v/>
      </c>
      <c r="O416" s="0" t="str">
        <f aca="false">IF(A416="","",IF(AND(I416=SUMIFS('DETAIL TRANSAKSI'!$H$5:$H$504,'DETAIL TRANSAKSI'!$A$5:$A$504,A416),J416=SUMIFS('DETAIL TRANSAKSI'!$I$5:$I$504,'DETAIL TRANSAKSI'!$A$5:$A$504,A416)),"OK","CEK ALOKASI"))</f>
        <v/>
      </c>
    </row>
    <row r="417" customFormat="false" ht="15" hidden="false" customHeight="false" outlineLevel="0" collapsed="false">
      <c r="H417" s="0" t="str">
        <f aca="false">IF(A417="","",SUMIFS('DETAIL TRANSAKSI'!$G$5:$G$504,'DETAIL TRANSAKSI'!$A$5:$A$504,A417))</f>
        <v/>
      </c>
      <c r="J417" s="0" t="str">
        <f aca="false">IF(A417="","",SUMIFS('REFUND DAN PEMBATALAN'!$E$5:$E$504,'REFUND DAN PEMBATALAN'!$B$5:$B$504,A417,'REFUND DAN PEMBATALAN'!$I$5:$I$504,"Berhasil"))</f>
        <v/>
      </c>
      <c r="K417" s="0" t="str">
        <f aca="false">IF(A417="","",H417-I417-J417)</f>
        <v/>
      </c>
      <c r="O417" s="0" t="str">
        <f aca="false">IF(A417="","",IF(AND(I417=SUMIFS('DETAIL TRANSAKSI'!$H$5:$H$504,'DETAIL TRANSAKSI'!$A$5:$A$504,A417),J417=SUMIFS('DETAIL TRANSAKSI'!$I$5:$I$504,'DETAIL TRANSAKSI'!$A$5:$A$504,A417)),"OK","CEK ALOKASI"))</f>
        <v/>
      </c>
    </row>
    <row r="418" customFormat="false" ht="15" hidden="false" customHeight="false" outlineLevel="0" collapsed="false">
      <c r="H418" s="0" t="str">
        <f aca="false">IF(A418="","",SUMIFS('DETAIL TRANSAKSI'!$G$5:$G$504,'DETAIL TRANSAKSI'!$A$5:$A$504,A418))</f>
        <v/>
      </c>
      <c r="J418" s="0" t="str">
        <f aca="false">IF(A418="","",SUMIFS('REFUND DAN PEMBATALAN'!$E$5:$E$504,'REFUND DAN PEMBATALAN'!$B$5:$B$504,A418,'REFUND DAN PEMBATALAN'!$I$5:$I$504,"Berhasil"))</f>
        <v/>
      </c>
      <c r="K418" s="0" t="str">
        <f aca="false">IF(A418="","",H418-I418-J418)</f>
        <v/>
      </c>
      <c r="O418" s="0" t="str">
        <f aca="false">IF(A418="","",IF(AND(I418=SUMIFS('DETAIL TRANSAKSI'!$H$5:$H$504,'DETAIL TRANSAKSI'!$A$5:$A$504,A418),J418=SUMIFS('DETAIL TRANSAKSI'!$I$5:$I$504,'DETAIL TRANSAKSI'!$A$5:$A$504,A418)),"OK","CEK ALOKASI"))</f>
        <v/>
      </c>
    </row>
    <row r="419" customFormat="false" ht="15" hidden="false" customHeight="false" outlineLevel="0" collapsed="false">
      <c r="H419" s="0" t="str">
        <f aca="false">IF(A419="","",SUMIFS('DETAIL TRANSAKSI'!$G$5:$G$504,'DETAIL TRANSAKSI'!$A$5:$A$504,A419))</f>
        <v/>
      </c>
      <c r="J419" s="0" t="str">
        <f aca="false">IF(A419="","",SUMIFS('REFUND DAN PEMBATALAN'!$E$5:$E$504,'REFUND DAN PEMBATALAN'!$B$5:$B$504,A419,'REFUND DAN PEMBATALAN'!$I$5:$I$504,"Berhasil"))</f>
        <v/>
      </c>
      <c r="K419" s="0" t="str">
        <f aca="false">IF(A419="","",H419-I419-J419)</f>
        <v/>
      </c>
      <c r="O419" s="0" t="str">
        <f aca="false">IF(A419="","",IF(AND(I419=SUMIFS('DETAIL TRANSAKSI'!$H$5:$H$504,'DETAIL TRANSAKSI'!$A$5:$A$504,A419),J419=SUMIFS('DETAIL TRANSAKSI'!$I$5:$I$504,'DETAIL TRANSAKSI'!$A$5:$A$504,A419)),"OK","CEK ALOKASI"))</f>
        <v/>
      </c>
    </row>
    <row r="420" customFormat="false" ht="15" hidden="false" customHeight="false" outlineLevel="0" collapsed="false">
      <c r="H420" s="0" t="str">
        <f aca="false">IF(A420="","",SUMIFS('DETAIL TRANSAKSI'!$G$5:$G$504,'DETAIL TRANSAKSI'!$A$5:$A$504,A420))</f>
        <v/>
      </c>
      <c r="J420" s="0" t="str">
        <f aca="false">IF(A420="","",SUMIFS('REFUND DAN PEMBATALAN'!$E$5:$E$504,'REFUND DAN PEMBATALAN'!$B$5:$B$504,A420,'REFUND DAN PEMBATALAN'!$I$5:$I$504,"Berhasil"))</f>
        <v/>
      </c>
      <c r="K420" s="0" t="str">
        <f aca="false">IF(A420="","",H420-I420-J420)</f>
        <v/>
      </c>
      <c r="O420" s="0" t="str">
        <f aca="false">IF(A420="","",IF(AND(I420=SUMIFS('DETAIL TRANSAKSI'!$H$5:$H$504,'DETAIL TRANSAKSI'!$A$5:$A$504,A420),J420=SUMIFS('DETAIL TRANSAKSI'!$I$5:$I$504,'DETAIL TRANSAKSI'!$A$5:$A$504,A420)),"OK","CEK ALOKASI"))</f>
        <v/>
      </c>
    </row>
    <row r="421" customFormat="false" ht="15" hidden="false" customHeight="false" outlineLevel="0" collapsed="false">
      <c r="H421" s="0" t="str">
        <f aca="false">IF(A421="","",SUMIFS('DETAIL TRANSAKSI'!$G$5:$G$504,'DETAIL TRANSAKSI'!$A$5:$A$504,A421))</f>
        <v/>
      </c>
      <c r="J421" s="0" t="str">
        <f aca="false">IF(A421="","",SUMIFS('REFUND DAN PEMBATALAN'!$E$5:$E$504,'REFUND DAN PEMBATALAN'!$B$5:$B$504,A421,'REFUND DAN PEMBATALAN'!$I$5:$I$504,"Berhasil"))</f>
        <v/>
      </c>
      <c r="K421" s="0" t="str">
        <f aca="false">IF(A421="","",H421-I421-J421)</f>
        <v/>
      </c>
      <c r="O421" s="0" t="str">
        <f aca="false">IF(A421="","",IF(AND(I421=SUMIFS('DETAIL TRANSAKSI'!$H$5:$H$504,'DETAIL TRANSAKSI'!$A$5:$A$504,A421),J421=SUMIFS('DETAIL TRANSAKSI'!$I$5:$I$504,'DETAIL TRANSAKSI'!$A$5:$A$504,A421)),"OK","CEK ALOKASI"))</f>
        <v/>
      </c>
    </row>
    <row r="422" customFormat="false" ht="15" hidden="false" customHeight="false" outlineLevel="0" collapsed="false">
      <c r="H422" s="0" t="str">
        <f aca="false">IF(A422="","",SUMIFS('DETAIL TRANSAKSI'!$G$5:$G$504,'DETAIL TRANSAKSI'!$A$5:$A$504,A422))</f>
        <v/>
      </c>
      <c r="J422" s="0" t="str">
        <f aca="false">IF(A422="","",SUMIFS('REFUND DAN PEMBATALAN'!$E$5:$E$504,'REFUND DAN PEMBATALAN'!$B$5:$B$504,A422,'REFUND DAN PEMBATALAN'!$I$5:$I$504,"Berhasil"))</f>
        <v/>
      </c>
      <c r="K422" s="0" t="str">
        <f aca="false">IF(A422="","",H422-I422-J422)</f>
        <v/>
      </c>
      <c r="O422" s="0" t="str">
        <f aca="false">IF(A422="","",IF(AND(I422=SUMIFS('DETAIL TRANSAKSI'!$H$5:$H$504,'DETAIL TRANSAKSI'!$A$5:$A$504,A422),J422=SUMIFS('DETAIL TRANSAKSI'!$I$5:$I$504,'DETAIL TRANSAKSI'!$A$5:$A$504,A422)),"OK","CEK ALOKASI"))</f>
        <v/>
      </c>
    </row>
    <row r="423" customFormat="false" ht="15" hidden="false" customHeight="false" outlineLevel="0" collapsed="false">
      <c r="H423" s="0" t="str">
        <f aca="false">IF(A423="","",SUMIFS('DETAIL TRANSAKSI'!$G$5:$G$504,'DETAIL TRANSAKSI'!$A$5:$A$504,A423))</f>
        <v/>
      </c>
      <c r="J423" s="0" t="str">
        <f aca="false">IF(A423="","",SUMIFS('REFUND DAN PEMBATALAN'!$E$5:$E$504,'REFUND DAN PEMBATALAN'!$B$5:$B$504,A423,'REFUND DAN PEMBATALAN'!$I$5:$I$504,"Berhasil"))</f>
        <v/>
      </c>
      <c r="K423" s="0" t="str">
        <f aca="false">IF(A423="","",H423-I423-J423)</f>
        <v/>
      </c>
      <c r="O423" s="0" t="str">
        <f aca="false">IF(A423="","",IF(AND(I423=SUMIFS('DETAIL TRANSAKSI'!$H$5:$H$504,'DETAIL TRANSAKSI'!$A$5:$A$504,A423),J423=SUMIFS('DETAIL TRANSAKSI'!$I$5:$I$504,'DETAIL TRANSAKSI'!$A$5:$A$504,A423)),"OK","CEK ALOKASI"))</f>
        <v/>
      </c>
    </row>
    <row r="424" customFormat="false" ht="15" hidden="false" customHeight="false" outlineLevel="0" collapsed="false">
      <c r="H424" s="0" t="str">
        <f aca="false">IF(A424="","",SUMIFS('DETAIL TRANSAKSI'!$G$5:$G$504,'DETAIL TRANSAKSI'!$A$5:$A$504,A424))</f>
        <v/>
      </c>
      <c r="J424" s="0" t="str">
        <f aca="false">IF(A424="","",SUMIFS('REFUND DAN PEMBATALAN'!$E$5:$E$504,'REFUND DAN PEMBATALAN'!$B$5:$B$504,A424,'REFUND DAN PEMBATALAN'!$I$5:$I$504,"Berhasil"))</f>
        <v/>
      </c>
      <c r="K424" s="0" t="str">
        <f aca="false">IF(A424="","",H424-I424-J424)</f>
        <v/>
      </c>
      <c r="O424" s="0" t="str">
        <f aca="false">IF(A424="","",IF(AND(I424=SUMIFS('DETAIL TRANSAKSI'!$H$5:$H$504,'DETAIL TRANSAKSI'!$A$5:$A$504,A424),J424=SUMIFS('DETAIL TRANSAKSI'!$I$5:$I$504,'DETAIL TRANSAKSI'!$A$5:$A$504,A424)),"OK","CEK ALOKASI"))</f>
        <v/>
      </c>
    </row>
    <row r="425" customFormat="false" ht="15" hidden="false" customHeight="false" outlineLevel="0" collapsed="false">
      <c r="H425" s="0" t="str">
        <f aca="false">IF(A425="","",SUMIFS('DETAIL TRANSAKSI'!$G$5:$G$504,'DETAIL TRANSAKSI'!$A$5:$A$504,A425))</f>
        <v/>
      </c>
      <c r="J425" s="0" t="str">
        <f aca="false">IF(A425="","",SUMIFS('REFUND DAN PEMBATALAN'!$E$5:$E$504,'REFUND DAN PEMBATALAN'!$B$5:$B$504,A425,'REFUND DAN PEMBATALAN'!$I$5:$I$504,"Berhasil"))</f>
        <v/>
      </c>
      <c r="K425" s="0" t="str">
        <f aca="false">IF(A425="","",H425-I425-J425)</f>
        <v/>
      </c>
      <c r="O425" s="0" t="str">
        <f aca="false">IF(A425="","",IF(AND(I425=SUMIFS('DETAIL TRANSAKSI'!$H$5:$H$504,'DETAIL TRANSAKSI'!$A$5:$A$504,A425),J425=SUMIFS('DETAIL TRANSAKSI'!$I$5:$I$504,'DETAIL TRANSAKSI'!$A$5:$A$504,A425)),"OK","CEK ALOKASI"))</f>
        <v/>
      </c>
    </row>
    <row r="426" customFormat="false" ht="15" hidden="false" customHeight="false" outlineLevel="0" collapsed="false">
      <c r="H426" s="0" t="str">
        <f aca="false">IF(A426="","",SUMIFS('DETAIL TRANSAKSI'!$G$5:$G$504,'DETAIL TRANSAKSI'!$A$5:$A$504,A426))</f>
        <v/>
      </c>
      <c r="J426" s="0" t="str">
        <f aca="false">IF(A426="","",SUMIFS('REFUND DAN PEMBATALAN'!$E$5:$E$504,'REFUND DAN PEMBATALAN'!$B$5:$B$504,A426,'REFUND DAN PEMBATALAN'!$I$5:$I$504,"Berhasil"))</f>
        <v/>
      </c>
      <c r="K426" s="0" t="str">
        <f aca="false">IF(A426="","",H426-I426-J426)</f>
        <v/>
      </c>
      <c r="O426" s="0" t="str">
        <f aca="false">IF(A426="","",IF(AND(I426=SUMIFS('DETAIL TRANSAKSI'!$H$5:$H$504,'DETAIL TRANSAKSI'!$A$5:$A$504,A426),J426=SUMIFS('DETAIL TRANSAKSI'!$I$5:$I$504,'DETAIL TRANSAKSI'!$A$5:$A$504,A426)),"OK","CEK ALOKASI"))</f>
        <v/>
      </c>
    </row>
    <row r="427" customFormat="false" ht="15" hidden="false" customHeight="false" outlineLevel="0" collapsed="false">
      <c r="H427" s="0" t="str">
        <f aca="false">IF(A427="","",SUMIFS('DETAIL TRANSAKSI'!$G$5:$G$504,'DETAIL TRANSAKSI'!$A$5:$A$504,A427))</f>
        <v/>
      </c>
      <c r="J427" s="0" t="str">
        <f aca="false">IF(A427="","",SUMIFS('REFUND DAN PEMBATALAN'!$E$5:$E$504,'REFUND DAN PEMBATALAN'!$B$5:$B$504,A427,'REFUND DAN PEMBATALAN'!$I$5:$I$504,"Berhasil"))</f>
        <v/>
      </c>
      <c r="K427" s="0" t="str">
        <f aca="false">IF(A427="","",H427-I427-J427)</f>
        <v/>
      </c>
      <c r="O427" s="0" t="str">
        <f aca="false">IF(A427="","",IF(AND(I427=SUMIFS('DETAIL TRANSAKSI'!$H$5:$H$504,'DETAIL TRANSAKSI'!$A$5:$A$504,A427),J427=SUMIFS('DETAIL TRANSAKSI'!$I$5:$I$504,'DETAIL TRANSAKSI'!$A$5:$A$504,A427)),"OK","CEK ALOKASI"))</f>
        <v/>
      </c>
    </row>
    <row r="428" customFormat="false" ht="15" hidden="false" customHeight="false" outlineLevel="0" collapsed="false">
      <c r="H428" s="0" t="str">
        <f aca="false">IF(A428="","",SUMIFS('DETAIL TRANSAKSI'!$G$5:$G$504,'DETAIL TRANSAKSI'!$A$5:$A$504,A428))</f>
        <v/>
      </c>
      <c r="J428" s="0" t="str">
        <f aca="false">IF(A428="","",SUMIFS('REFUND DAN PEMBATALAN'!$E$5:$E$504,'REFUND DAN PEMBATALAN'!$B$5:$B$504,A428,'REFUND DAN PEMBATALAN'!$I$5:$I$504,"Berhasil"))</f>
        <v/>
      </c>
      <c r="K428" s="0" t="str">
        <f aca="false">IF(A428="","",H428-I428-J428)</f>
        <v/>
      </c>
      <c r="O428" s="0" t="str">
        <f aca="false">IF(A428="","",IF(AND(I428=SUMIFS('DETAIL TRANSAKSI'!$H$5:$H$504,'DETAIL TRANSAKSI'!$A$5:$A$504,A428),J428=SUMIFS('DETAIL TRANSAKSI'!$I$5:$I$504,'DETAIL TRANSAKSI'!$A$5:$A$504,A428)),"OK","CEK ALOKASI"))</f>
        <v/>
      </c>
    </row>
    <row r="429" customFormat="false" ht="15" hidden="false" customHeight="false" outlineLevel="0" collapsed="false">
      <c r="H429" s="0" t="str">
        <f aca="false">IF(A429="","",SUMIFS('DETAIL TRANSAKSI'!$G$5:$G$504,'DETAIL TRANSAKSI'!$A$5:$A$504,A429))</f>
        <v/>
      </c>
      <c r="J429" s="0" t="str">
        <f aca="false">IF(A429="","",SUMIFS('REFUND DAN PEMBATALAN'!$E$5:$E$504,'REFUND DAN PEMBATALAN'!$B$5:$B$504,A429,'REFUND DAN PEMBATALAN'!$I$5:$I$504,"Berhasil"))</f>
        <v/>
      </c>
      <c r="K429" s="0" t="str">
        <f aca="false">IF(A429="","",H429-I429-J429)</f>
        <v/>
      </c>
      <c r="O429" s="0" t="str">
        <f aca="false">IF(A429="","",IF(AND(I429=SUMIFS('DETAIL TRANSAKSI'!$H$5:$H$504,'DETAIL TRANSAKSI'!$A$5:$A$504,A429),J429=SUMIFS('DETAIL TRANSAKSI'!$I$5:$I$504,'DETAIL TRANSAKSI'!$A$5:$A$504,A429)),"OK","CEK ALOKASI"))</f>
        <v/>
      </c>
    </row>
    <row r="430" customFormat="false" ht="15" hidden="false" customHeight="false" outlineLevel="0" collapsed="false">
      <c r="H430" s="0" t="str">
        <f aca="false">IF(A430="","",SUMIFS('DETAIL TRANSAKSI'!$G$5:$G$504,'DETAIL TRANSAKSI'!$A$5:$A$504,A430))</f>
        <v/>
      </c>
      <c r="J430" s="0" t="str">
        <f aca="false">IF(A430="","",SUMIFS('REFUND DAN PEMBATALAN'!$E$5:$E$504,'REFUND DAN PEMBATALAN'!$B$5:$B$504,A430,'REFUND DAN PEMBATALAN'!$I$5:$I$504,"Berhasil"))</f>
        <v/>
      </c>
      <c r="K430" s="0" t="str">
        <f aca="false">IF(A430="","",H430-I430-J430)</f>
        <v/>
      </c>
      <c r="O430" s="0" t="str">
        <f aca="false">IF(A430="","",IF(AND(I430=SUMIFS('DETAIL TRANSAKSI'!$H$5:$H$504,'DETAIL TRANSAKSI'!$A$5:$A$504,A430),J430=SUMIFS('DETAIL TRANSAKSI'!$I$5:$I$504,'DETAIL TRANSAKSI'!$A$5:$A$504,A430)),"OK","CEK ALOKASI"))</f>
        <v/>
      </c>
    </row>
    <row r="431" customFormat="false" ht="15" hidden="false" customHeight="false" outlineLevel="0" collapsed="false">
      <c r="H431" s="0" t="str">
        <f aca="false">IF(A431="","",SUMIFS('DETAIL TRANSAKSI'!$G$5:$G$504,'DETAIL TRANSAKSI'!$A$5:$A$504,A431))</f>
        <v/>
      </c>
      <c r="J431" s="0" t="str">
        <f aca="false">IF(A431="","",SUMIFS('REFUND DAN PEMBATALAN'!$E$5:$E$504,'REFUND DAN PEMBATALAN'!$B$5:$B$504,A431,'REFUND DAN PEMBATALAN'!$I$5:$I$504,"Berhasil"))</f>
        <v/>
      </c>
      <c r="K431" s="0" t="str">
        <f aca="false">IF(A431="","",H431-I431-J431)</f>
        <v/>
      </c>
      <c r="O431" s="0" t="str">
        <f aca="false">IF(A431="","",IF(AND(I431=SUMIFS('DETAIL TRANSAKSI'!$H$5:$H$504,'DETAIL TRANSAKSI'!$A$5:$A$504,A431),J431=SUMIFS('DETAIL TRANSAKSI'!$I$5:$I$504,'DETAIL TRANSAKSI'!$A$5:$A$504,A431)),"OK","CEK ALOKASI"))</f>
        <v/>
      </c>
    </row>
    <row r="432" customFormat="false" ht="15" hidden="false" customHeight="false" outlineLevel="0" collapsed="false">
      <c r="H432" s="0" t="str">
        <f aca="false">IF(A432="","",SUMIFS('DETAIL TRANSAKSI'!$G$5:$G$504,'DETAIL TRANSAKSI'!$A$5:$A$504,A432))</f>
        <v/>
      </c>
      <c r="J432" s="0" t="str">
        <f aca="false">IF(A432="","",SUMIFS('REFUND DAN PEMBATALAN'!$E$5:$E$504,'REFUND DAN PEMBATALAN'!$B$5:$B$504,A432,'REFUND DAN PEMBATALAN'!$I$5:$I$504,"Berhasil"))</f>
        <v/>
      </c>
      <c r="K432" s="0" t="str">
        <f aca="false">IF(A432="","",H432-I432-J432)</f>
        <v/>
      </c>
      <c r="O432" s="0" t="str">
        <f aca="false">IF(A432="","",IF(AND(I432=SUMIFS('DETAIL TRANSAKSI'!$H$5:$H$504,'DETAIL TRANSAKSI'!$A$5:$A$504,A432),J432=SUMIFS('DETAIL TRANSAKSI'!$I$5:$I$504,'DETAIL TRANSAKSI'!$A$5:$A$504,A432)),"OK","CEK ALOKASI"))</f>
        <v/>
      </c>
    </row>
    <row r="433" customFormat="false" ht="15" hidden="false" customHeight="false" outlineLevel="0" collapsed="false">
      <c r="H433" s="0" t="str">
        <f aca="false">IF(A433="","",SUMIFS('DETAIL TRANSAKSI'!$G$5:$G$504,'DETAIL TRANSAKSI'!$A$5:$A$504,A433))</f>
        <v/>
      </c>
      <c r="J433" s="0" t="str">
        <f aca="false">IF(A433="","",SUMIFS('REFUND DAN PEMBATALAN'!$E$5:$E$504,'REFUND DAN PEMBATALAN'!$B$5:$B$504,A433,'REFUND DAN PEMBATALAN'!$I$5:$I$504,"Berhasil"))</f>
        <v/>
      </c>
      <c r="K433" s="0" t="str">
        <f aca="false">IF(A433="","",H433-I433-J433)</f>
        <v/>
      </c>
      <c r="O433" s="0" t="str">
        <f aca="false">IF(A433="","",IF(AND(I433=SUMIFS('DETAIL TRANSAKSI'!$H$5:$H$504,'DETAIL TRANSAKSI'!$A$5:$A$504,A433),J433=SUMIFS('DETAIL TRANSAKSI'!$I$5:$I$504,'DETAIL TRANSAKSI'!$A$5:$A$504,A433)),"OK","CEK ALOKASI"))</f>
        <v/>
      </c>
    </row>
    <row r="434" customFormat="false" ht="15" hidden="false" customHeight="false" outlineLevel="0" collapsed="false">
      <c r="H434" s="0" t="str">
        <f aca="false">IF(A434="","",SUMIFS('DETAIL TRANSAKSI'!$G$5:$G$504,'DETAIL TRANSAKSI'!$A$5:$A$504,A434))</f>
        <v/>
      </c>
      <c r="J434" s="0" t="str">
        <f aca="false">IF(A434="","",SUMIFS('REFUND DAN PEMBATALAN'!$E$5:$E$504,'REFUND DAN PEMBATALAN'!$B$5:$B$504,A434,'REFUND DAN PEMBATALAN'!$I$5:$I$504,"Berhasil"))</f>
        <v/>
      </c>
      <c r="K434" s="0" t="str">
        <f aca="false">IF(A434="","",H434-I434-J434)</f>
        <v/>
      </c>
      <c r="O434" s="0" t="str">
        <f aca="false">IF(A434="","",IF(AND(I434=SUMIFS('DETAIL TRANSAKSI'!$H$5:$H$504,'DETAIL TRANSAKSI'!$A$5:$A$504,A434),J434=SUMIFS('DETAIL TRANSAKSI'!$I$5:$I$504,'DETAIL TRANSAKSI'!$A$5:$A$504,A434)),"OK","CEK ALOKASI"))</f>
        <v/>
      </c>
    </row>
    <row r="435" customFormat="false" ht="15" hidden="false" customHeight="false" outlineLevel="0" collapsed="false">
      <c r="H435" s="0" t="str">
        <f aca="false">IF(A435="","",SUMIFS('DETAIL TRANSAKSI'!$G$5:$G$504,'DETAIL TRANSAKSI'!$A$5:$A$504,A435))</f>
        <v/>
      </c>
      <c r="J435" s="0" t="str">
        <f aca="false">IF(A435="","",SUMIFS('REFUND DAN PEMBATALAN'!$E$5:$E$504,'REFUND DAN PEMBATALAN'!$B$5:$B$504,A435,'REFUND DAN PEMBATALAN'!$I$5:$I$504,"Berhasil"))</f>
        <v/>
      </c>
      <c r="K435" s="0" t="str">
        <f aca="false">IF(A435="","",H435-I435-J435)</f>
        <v/>
      </c>
      <c r="O435" s="0" t="str">
        <f aca="false">IF(A435="","",IF(AND(I435=SUMIFS('DETAIL TRANSAKSI'!$H$5:$H$504,'DETAIL TRANSAKSI'!$A$5:$A$504,A435),J435=SUMIFS('DETAIL TRANSAKSI'!$I$5:$I$504,'DETAIL TRANSAKSI'!$A$5:$A$504,A435)),"OK","CEK ALOKASI"))</f>
        <v/>
      </c>
    </row>
    <row r="436" customFormat="false" ht="15" hidden="false" customHeight="false" outlineLevel="0" collapsed="false">
      <c r="H436" s="0" t="str">
        <f aca="false">IF(A436="","",SUMIFS('DETAIL TRANSAKSI'!$G$5:$G$504,'DETAIL TRANSAKSI'!$A$5:$A$504,A436))</f>
        <v/>
      </c>
      <c r="J436" s="0" t="str">
        <f aca="false">IF(A436="","",SUMIFS('REFUND DAN PEMBATALAN'!$E$5:$E$504,'REFUND DAN PEMBATALAN'!$B$5:$B$504,A436,'REFUND DAN PEMBATALAN'!$I$5:$I$504,"Berhasil"))</f>
        <v/>
      </c>
      <c r="K436" s="0" t="str">
        <f aca="false">IF(A436="","",H436-I436-J436)</f>
        <v/>
      </c>
      <c r="O436" s="0" t="str">
        <f aca="false">IF(A436="","",IF(AND(I436=SUMIFS('DETAIL TRANSAKSI'!$H$5:$H$504,'DETAIL TRANSAKSI'!$A$5:$A$504,A436),J436=SUMIFS('DETAIL TRANSAKSI'!$I$5:$I$504,'DETAIL TRANSAKSI'!$A$5:$A$504,A436)),"OK","CEK ALOKASI"))</f>
        <v/>
      </c>
    </row>
    <row r="437" customFormat="false" ht="15" hidden="false" customHeight="false" outlineLevel="0" collapsed="false">
      <c r="H437" s="0" t="str">
        <f aca="false">IF(A437="","",SUMIFS('DETAIL TRANSAKSI'!$G$5:$G$504,'DETAIL TRANSAKSI'!$A$5:$A$504,A437))</f>
        <v/>
      </c>
      <c r="J437" s="0" t="str">
        <f aca="false">IF(A437="","",SUMIFS('REFUND DAN PEMBATALAN'!$E$5:$E$504,'REFUND DAN PEMBATALAN'!$B$5:$B$504,A437,'REFUND DAN PEMBATALAN'!$I$5:$I$504,"Berhasil"))</f>
        <v/>
      </c>
      <c r="K437" s="0" t="str">
        <f aca="false">IF(A437="","",H437-I437-J437)</f>
        <v/>
      </c>
      <c r="O437" s="0" t="str">
        <f aca="false">IF(A437="","",IF(AND(I437=SUMIFS('DETAIL TRANSAKSI'!$H$5:$H$504,'DETAIL TRANSAKSI'!$A$5:$A$504,A437),J437=SUMIFS('DETAIL TRANSAKSI'!$I$5:$I$504,'DETAIL TRANSAKSI'!$A$5:$A$504,A437)),"OK","CEK ALOKASI"))</f>
        <v/>
      </c>
    </row>
    <row r="438" customFormat="false" ht="15" hidden="false" customHeight="false" outlineLevel="0" collapsed="false">
      <c r="H438" s="0" t="str">
        <f aca="false">IF(A438="","",SUMIFS('DETAIL TRANSAKSI'!$G$5:$G$504,'DETAIL TRANSAKSI'!$A$5:$A$504,A438))</f>
        <v/>
      </c>
      <c r="J438" s="0" t="str">
        <f aca="false">IF(A438="","",SUMIFS('REFUND DAN PEMBATALAN'!$E$5:$E$504,'REFUND DAN PEMBATALAN'!$B$5:$B$504,A438,'REFUND DAN PEMBATALAN'!$I$5:$I$504,"Berhasil"))</f>
        <v/>
      </c>
      <c r="K438" s="0" t="str">
        <f aca="false">IF(A438="","",H438-I438-J438)</f>
        <v/>
      </c>
      <c r="O438" s="0" t="str">
        <f aca="false">IF(A438="","",IF(AND(I438=SUMIFS('DETAIL TRANSAKSI'!$H$5:$H$504,'DETAIL TRANSAKSI'!$A$5:$A$504,A438),J438=SUMIFS('DETAIL TRANSAKSI'!$I$5:$I$504,'DETAIL TRANSAKSI'!$A$5:$A$504,A438)),"OK","CEK ALOKASI"))</f>
        <v/>
      </c>
    </row>
    <row r="439" customFormat="false" ht="15" hidden="false" customHeight="false" outlineLevel="0" collapsed="false">
      <c r="H439" s="0" t="str">
        <f aca="false">IF(A439="","",SUMIFS('DETAIL TRANSAKSI'!$G$5:$G$504,'DETAIL TRANSAKSI'!$A$5:$A$504,A439))</f>
        <v/>
      </c>
      <c r="J439" s="0" t="str">
        <f aca="false">IF(A439="","",SUMIFS('REFUND DAN PEMBATALAN'!$E$5:$E$504,'REFUND DAN PEMBATALAN'!$B$5:$B$504,A439,'REFUND DAN PEMBATALAN'!$I$5:$I$504,"Berhasil"))</f>
        <v/>
      </c>
      <c r="K439" s="0" t="str">
        <f aca="false">IF(A439="","",H439-I439-J439)</f>
        <v/>
      </c>
      <c r="O439" s="0" t="str">
        <f aca="false">IF(A439="","",IF(AND(I439=SUMIFS('DETAIL TRANSAKSI'!$H$5:$H$504,'DETAIL TRANSAKSI'!$A$5:$A$504,A439),J439=SUMIFS('DETAIL TRANSAKSI'!$I$5:$I$504,'DETAIL TRANSAKSI'!$A$5:$A$504,A439)),"OK","CEK ALOKASI"))</f>
        <v/>
      </c>
    </row>
    <row r="440" customFormat="false" ht="15" hidden="false" customHeight="false" outlineLevel="0" collapsed="false">
      <c r="H440" s="0" t="str">
        <f aca="false">IF(A440="","",SUMIFS('DETAIL TRANSAKSI'!$G$5:$G$504,'DETAIL TRANSAKSI'!$A$5:$A$504,A440))</f>
        <v/>
      </c>
      <c r="J440" s="0" t="str">
        <f aca="false">IF(A440="","",SUMIFS('REFUND DAN PEMBATALAN'!$E$5:$E$504,'REFUND DAN PEMBATALAN'!$B$5:$B$504,A440,'REFUND DAN PEMBATALAN'!$I$5:$I$504,"Berhasil"))</f>
        <v/>
      </c>
      <c r="K440" s="0" t="str">
        <f aca="false">IF(A440="","",H440-I440-J440)</f>
        <v/>
      </c>
      <c r="O440" s="0" t="str">
        <f aca="false">IF(A440="","",IF(AND(I440=SUMIFS('DETAIL TRANSAKSI'!$H$5:$H$504,'DETAIL TRANSAKSI'!$A$5:$A$504,A440),J440=SUMIFS('DETAIL TRANSAKSI'!$I$5:$I$504,'DETAIL TRANSAKSI'!$A$5:$A$504,A440)),"OK","CEK ALOKASI"))</f>
        <v/>
      </c>
    </row>
    <row r="441" customFormat="false" ht="15" hidden="false" customHeight="false" outlineLevel="0" collapsed="false">
      <c r="H441" s="0" t="str">
        <f aca="false">IF(A441="","",SUMIFS('DETAIL TRANSAKSI'!$G$5:$G$504,'DETAIL TRANSAKSI'!$A$5:$A$504,A441))</f>
        <v/>
      </c>
      <c r="J441" s="0" t="str">
        <f aca="false">IF(A441="","",SUMIFS('REFUND DAN PEMBATALAN'!$E$5:$E$504,'REFUND DAN PEMBATALAN'!$B$5:$B$504,A441,'REFUND DAN PEMBATALAN'!$I$5:$I$504,"Berhasil"))</f>
        <v/>
      </c>
      <c r="K441" s="0" t="str">
        <f aca="false">IF(A441="","",H441-I441-J441)</f>
        <v/>
      </c>
      <c r="O441" s="0" t="str">
        <f aca="false">IF(A441="","",IF(AND(I441=SUMIFS('DETAIL TRANSAKSI'!$H$5:$H$504,'DETAIL TRANSAKSI'!$A$5:$A$504,A441),J441=SUMIFS('DETAIL TRANSAKSI'!$I$5:$I$504,'DETAIL TRANSAKSI'!$A$5:$A$504,A441)),"OK","CEK ALOKASI"))</f>
        <v/>
      </c>
    </row>
    <row r="442" customFormat="false" ht="15" hidden="false" customHeight="false" outlineLevel="0" collapsed="false">
      <c r="H442" s="0" t="str">
        <f aca="false">IF(A442="","",SUMIFS('DETAIL TRANSAKSI'!$G$5:$G$504,'DETAIL TRANSAKSI'!$A$5:$A$504,A442))</f>
        <v/>
      </c>
      <c r="J442" s="0" t="str">
        <f aca="false">IF(A442="","",SUMIFS('REFUND DAN PEMBATALAN'!$E$5:$E$504,'REFUND DAN PEMBATALAN'!$B$5:$B$504,A442,'REFUND DAN PEMBATALAN'!$I$5:$I$504,"Berhasil"))</f>
        <v/>
      </c>
      <c r="K442" s="0" t="str">
        <f aca="false">IF(A442="","",H442-I442-J442)</f>
        <v/>
      </c>
      <c r="O442" s="0" t="str">
        <f aca="false">IF(A442="","",IF(AND(I442=SUMIFS('DETAIL TRANSAKSI'!$H$5:$H$504,'DETAIL TRANSAKSI'!$A$5:$A$504,A442),J442=SUMIFS('DETAIL TRANSAKSI'!$I$5:$I$504,'DETAIL TRANSAKSI'!$A$5:$A$504,A442)),"OK","CEK ALOKASI"))</f>
        <v/>
      </c>
    </row>
    <row r="443" customFormat="false" ht="15" hidden="false" customHeight="false" outlineLevel="0" collapsed="false">
      <c r="H443" s="0" t="str">
        <f aca="false">IF(A443="","",SUMIFS('DETAIL TRANSAKSI'!$G$5:$G$504,'DETAIL TRANSAKSI'!$A$5:$A$504,A443))</f>
        <v/>
      </c>
      <c r="J443" s="0" t="str">
        <f aca="false">IF(A443="","",SUMIFS('REFUND DAN PEMBATALAN'!$E$5:$E$504,'REFUND DAN PEMBATALAN'!$B$5:$B$504,A443,'REFUND DAN PEMBATALAN'!$I$5:$I$504,"Berhasil"))</f>
        <v/>
      </c>
      <c r="K443" s="0" t="str">
        <f aca="false">IF(A443="","",H443-I443-J443)</f>
        <v/>
      </c>
      <c r="O443" s="0" t="str">
        <f aca="false">IF(A443="","",IF(AND(I443=SUMIFS('DETAIL TRANSAKSI'!$H$5:$H$504,'DETAIL TRANSAKSI'!$A$5:$A$504,A443),J443=SUMIFS('DETAIL TRANSAKSI'!$I$5:$I$504,'DETAIL TRANSAKSI'!$A$5:$A$504,A443)),"OK","CEK ALOKASI"))</f>
        <v/>
      </c>
    </row>
    <row r="444" customFormat="false" ht="15" hidden="false" customHeight="false" outlineLevel="0" collapsed="false">
      <c r="H444" s="0" t="str">
        <f aca="false">IF(A444="","",SUMIFS('DETAIL TRANSAKSI'!$G$5:$G$504,'DETAIL TRANSAKSI'!$A$5:$A$504,A444))</f>
        <v/>
      </c>
      <c r="J444" s="0" t="str">
        <f aca="false">IF(A444="","",SUMIFS('REFUND DAN PEMBATALAN'!$E$5:$E$504,'REFUND DAN PEMBATALAN'!$B$5:$B$504,A444,'REFUND DAN PEMBATALAN'!$I$5:$I$504,"Berhasil"))</f>
        <v/>
      </c>
      <c r="K444" s="0" t="str">
        <f aca="false">IF(A444="","",H444-I444-J444)</f>
        <v/>
      </c>
      <c r="O444" s="0" t="str">
        <f aca="false">IF(A444="","",IF(AND(I444=SUMIFS('DETAIL TRANSAKSI'!$H$5:$H$504,'DETAIL TRANSAKSI'!$A$5:$A$504,A444),J444=SUMIFS('DETAIL TRANSAKSI'!$I$5:$I$504,'DETAIL TRANSAKSI'!$A$5:$A$504,A444)),"OK","CEK ALOKASI"))</f>
        <v/>
      </c>
    </row>
    <row r="445" customFormat="false" ht="15" hidden="false" customHeight="false" outlineLevel="0" collapsed="false">
      <c r="H445" s="0" t="str">
        <f aca="false">IF(A445="","",SUMIFS('DETAIL TRANSAKSI'!$G$5:$G$504,'DETAIL TRANSAKSI'!$A$5:$A$504,A445))</f>
        <v/>
      </c>
      <c r="J445" s="0" t="str">
        <f aca="false">IF(A445="","",SUMIFS('REFUND DAN PEMBATALAN'!$E$5:$E$504,'REFUND DAN PEMBATALAN'!$B$5:$B$504,A445,'REFUND DAN PEMBATALAN'!$I$5:$I$504,"Berhasil"))</f>
        <v/>
      </c>
      <c r="K445" s="0" t="str">
        <f aca="false">IF(A445="","",H445-I445-J445)</f>
        <v/>
      </c>
      <c r="O445" s="0" t="str">
        <f aca="false">IF(A445="","",IF(AND(I445=SUMIFS('DETAIL TRANSAKSI'!$H$5:$H$504,'DETAIL TRANSAKSI'!$A$5:$A$504,A445),J445=SUMIFS('DETAIL TRANSAKSI'!$I$5:$I$504,'DETAIL TRANSAKSI'!$A$5:$A$504,A445)),"OK","CEK ALOKASI"))</f>
        <v/>
      </c>
    </row>
    <row r="446" customFormat="false" ht="15" hidden="false" customHeight="false" outlineLevel="0" collapsed="false">
      <c r="H446" s="0" t="str">
        <f aca="false">IF(A446="","",SUMIFS('DETAIL TRANSAKSI'!$G$5:$G$504,'DETAIL TRANSAKSI'!$A$5:$A$504,A446))</f>
        <v/>
      </c>
      <c r="J446" s="0" t="str">
        <f aca="false">IF(A446="","",SUMIFS('REFUND DAN PEMBATALAN'!$E$5:$E$504,'REFUND DAN PEMBATALAN'!$B$5:$B$504,A446,'REFUND DAN PEMBATALAN'!$I$5:$I$504,"Berhasil"))</f>
        <v/>
      </c>
      <c r="K446" s="0" t="str">
        <f aca="false">IF(A446="","",H446-I446-J446)</f>
        <v/>
      </c>
      <c r="O446" s="0" t="str">
        <f aca="false">IF(A446="","",IF(AND(I446=SUMIFS('DETAIL TRANSAKSI'!$H$5:$H$504,'DETAIL TRANSAKSI'!$A$5:$A$504,A446),J446=SUMIFS('DETAIL TRANSAKSI'!$I$5:$I$504,'DETAIL TRANSAKSI'!$A$5:$A$504,A446)),"OK","CEK ALOKASI"))</f>
        <v/>
      </c>
    </row>
    <row r="447" customFormat="false" ht="15" hidden="false" customHeight="false" outlineLevel="0" collapsed="false">
      <c r="H447" s="0" t="str">
        <f aca="false">IF(A447="","",SUMIFS('DETAIL TRANSAKSI'!$G$5:$G$504,'DETAIL TRANSAKSI'!$A$5:$A$504,A447))</f>
        <v/>
      </c>
      <c r="J447" s="0" t="str">
        <f aca="false">IF(A447="","",SUMIFS('REFUND DAN PEMBATALAN'!$E$5:$E$504,'REFUND DAN PEMBATALAN'!$B$5:$B$504,A447,'REFUND DAN PEMBATALAN'!$I$5:$I$504,"Berhasil"))</f>
        <v/>
      </c>
      <c r="K447" s="0" t="str">
        <f aca="false">IF(A447="","",H447-I447-J447)</f>
        <v/>
      </c>
      <c r="O447" s="0" t="str">
        <f aca="false">IF(A447="","",IF(AND(I447=SUMIFS('DETAIL TRANSAKSI'!$H$5:$H$504,'DETAIL TRANSAKSI'!$A$5:$A$504,A447),J447=SUMIFS('DETAIL TRANSAKSI'!$I$5:$I$504,'DETAIL TRANSAKSI'!$A$5:$A$504,A447)),"OK","CEK ALOKASI"))</f>
        <v/>
      </c>
    </row>
    <row r="448" customFormat="false" ht="15" hidden="false" customHeight="false" outlineLevel="0" collapsed="false">
      <c r="H448" s="0" t="str">
        <f aca="false">IF(A448="","",SUMIFS('DETAIL TRANSAKSI'!$G$5:$G$504,'DETAIL TRANSAKSI'!$A$5:$A$504,A448))</f>
        <v/>
      </c>
      <c r="J448" s="0" t="str">
        <f aca="false">IF(A448="","",SUMIFS('REFUND DAN PEMBATALAN'!$E$5:$E$504,'REFUND DAN PEMBATALAN'!$B$5:$B$504,A448,'REFUND DAN PEMBATALAN'!$I$5:$I$504,"Berhasil"))</f>
        <v/>
      </c>
      <c r="K448" s="0" t="str">
        <f aca="false">IF(A448="","",H448-I448-J448)</f>
        <v/>
      </c>
      <c r="O448" s="0" t="str">
        <f aca="false">IF(A448="","",IF(AND(I448=SUMIFS('DETAIL TRANSAKSI'!$H$5:$H$504,'DETAIL TRANSAKSI'!$A$5:$A$504,A448),J448=SUMIFS('DETAIL TRANSAKSI'!$I$5:$I$504,'DETAIL TRANSAKSI'!$A$5:$A$504,A448)),"OK","CEK ALOKASI"))</f>
        <v/>
      </c>
    </row>
    <row r="449" customFormat="false" ht="15" hidden="false" customHeight="false" outlineLevel="0" collapsed="false">
      <c r="H449" s="0" t="str">
        <f aca="false">IF(A449="","",SUMIFS('DETAIL TRANSAKSI'!$G$5:$G$504,'DETAIL TRANSAKSI'!$A$5:$A$504,A449))</f>
        <v/>
      </c>
      <c r="J449" s="0" t="str">
        <f aca="false">IF(A449="","",SUMIFS('REFUND DAN PEMBATALAN'!$E$5:$E$504,'REFUND DAN PEMBATALAN'!$B$5:$B$504,A449,'REFUND DAN PEMBATALAN'!$I$5:$I$504,"Berhasil"))</f>
        <v/>
      </c>
      <c r="K449" s="0" t="str">
        <f aca="false">IF(A449="","",H449-I449-J449)</f>
        <v/>
      </c>
      <c r="O449" s="0" t="str">
        <f aca="false">IF(A449="","",IF(AND(I449=SUMIFS('DETAIL TRANSAKSI'!$H$5:$H$504,'DETAIL TRANSAKSI'!$A$5:$A$504,A449),J449=SUMIFS('DETAIL TRANSAKSI'!$I$5:$I$504,'DETAIL TRANSAKSI'!$A$5:$A$504,A449)),"OK","CEK ALOKASI"))</f>
        <v/>
      </c>
    </row>
    <row r="450" customFormat="false" ht="15" hidden="false" customHeight="false" outlineLevel="0" collapsed="false">
      <c r="H450" s="0" t="str">
        <f aca="false">IF(A450="","",SUMIFS('DETAIL TRANSAKSI'!$G$5:$G$504,'DETAIL TRANSAKSI'!$A$5:$A$504,A450))</f>
        <v/>
      </c>
      <c r="J450" s="0" t="str">
        <f aca="false">IF(A450="","",SUMIFS('REFUND DAN PEMBATALAN'!$E$5:$E$504,'REFUND DAN PEMBATALAN'!$B$5:$B$504,A450,'REFUND DAN PEMBATALAN'!$I$5:$I$504,"Berhasil"))</f>
        <v/>
      </c>
      <c r="K450" s="0" t="str">
        <f aca="false">IF(A450="","",H450-I450-J450)</f>
        <v/>
      </c>
      <c r="O450" s="0" t="str">
        <f aca="false">IF(A450="","",IF(AND(I450=SUMIFS('DETAIL TRANSAKSI'!$H$5:$H$504,'DETAIL TRANSAKSI'!$A$5:$A$504,A450),J450=SUMIFS('DETAIL TRANSAKSI'!$I$5:$I$504,'DETAIL TRANSAKSI'!$A$5:$A$504,A450)),"OK","CEK ALOKASI"))</f>
        <v/>
      </c>
    </row>
    <row r="451" customFormat="false" ht="15" hidden="false" customHeight="false" outlineLevel="0" collapsed="false">
      <c r="H451" s="0" t="str">
        <f aca="false">IF(A451="","",SUMIFS('DETAIL TRANSAKSI'!$G$5:$G$504,'DETAIL TRANSAKSI'!$A$5:$A$504,A451))</f>
        <v/>
      </c>
      <c r="J451" s="0" t="str">
        <f aca="false">IF(A451="","",SUMIFS('REFUND DAN PEMBATALAN'!$E$5:$E$504,'REFUND DAN PEMBATALAN'!$B$5:$B$504,A451,'REFUND DAN PEMBATALAN'!$I$5:$I$504,"Berhasil"))</f>
        <v/>
      </c>
      <c r="K451" s="0" t="str">
        <f aca="false">IF(A451="","",H451-I451-J451)</f>
        <v/>
      </c>
      <c r="O451" s="0" t="str">
        <f aca="false">IF(A451="","",IF(AND(I451=SUMIFS('DETAIL TRANSAKSI'!$H$5:$H$504,'DETAIL TRANSAKSI'!$A$5:$A$504,A451),J451=SUMIFS('DETAIL TRANSAKSI'!$I$5:$I$504,'DETAIL TRANSAKSI'!$A$5:$A$504,A451)),"OK","CEK ALOKASI"))</f>
        <v/>
      </c>
    </row>
    <row r="452" customFormat="false" ht="15" hidden="false" customHeight="false" outlineLevel="0" collapsed="false">
      <c r="H452" s="0" t="str">
        <f aca="false">IF(A452="","",SUMIFS('DETAIL TRANSAKSI'!$G$5:$G$504,'DETAIL TRANSAKSI'!$A$5:$A$504,A452))</f>
        <v/>
      </c>
      <c r="J452" s="0" t="str">
        <f aca="false">IF(A452="","",SUMIFS('REFUND DAN PEMBATALAN'!$E$5:$E$504,'REFUND DAN PEMBATALAN'!$B$5:$B$504,A452,'REFUND DAN PEMBATALAN'!$I$5:$I$504,"Berhasil"))</f>
        <v/>
      </c>
      <c r="K452" s="0" t="str">
        <f aca="false">IF(A452="","",H452-I452-J452)</f>
        <v/>
      </c>
      <c r="O452" s="0" t="str">
        <f aca="false">IF(A452="","",IF(AND(I452=SUMIFS('DETAIL TRANSAKSI'!$H$5:$H$504,'DETAIL TRANSAKSI'!$A$5:$A$504,A452),J452=SUMIFS('DETAIL TRANSAKSI'!$I$5:$I$504,'DETAIL TRANSAKSI'!$A$5:$A$504,A452)),"OK","CEK ALOKASI"))</f>
        <v/>
      </c>
    </row>
    <row r="453" customFormat="false" ht="15" hidden="false" customHeight="false" outlineLevel="0" collapsed="false">
      <c r="H453" s="0" t="str">
        <f aca="false">IF(A453="","",SUMIFS('DETAIL TRANSAKSI'!$G$5:$G$504,'DETAIL TRANSAKSI'!$A$5:$A$504,A453))</f>
        <v/>
      </c>
      <c r="J453" s="0" t="str">
        <f aca="false">IF(A453="","",SUMIFS('REFUND DAN PEMBATALAN'!$E$5:$E$504,'REFUND DAN PEMBATALAN'!$B$5:$B$504,A453,'REFUND DAN PEMBATALAN'!$I$5:$I$504,"Berhasil"))</f>
        <v/>
      </c>
      <c r="K453" s="0" t="str">
        <f aca="false">IF(A453="","",H453-I453-J453)</f>
        <v/>
      </c>
      <c r="O453" s="0" t="str">
        <f aca="false">IF(A453="","",IF(AND(I453=SUMIFS('DETAIL TRANSAKSI'!$H$5:$H$504,'DETAIL TRANSAKSI'!$A$5:$A$504,A453),J453=SUMIFS('DETAIL TRANSAKSI'!$I$5:$I$504,'DETAIL TRANSAKSI'!$A$5:$A$504,A453)),"OK","CEK ALOKASI"))</f>
        <v/>
      </c>
    </row>
    <row r="454" customFormat="false" ht="15" hidden="false" customHeight="false" outlineLevel="0" collapsed="false">
      <c r="H454" s="0" t="str">
        <f aca="false">IF(A454="","",SUMIFS('DETAIL TRANSAKSI'!$G$5:$G$504,'DETAIL TRANSAKSI'!$A$5:$A$504,A454))</f>
        <v/>
      </c>
      <c r="J454" s="0" t="str">
        <f aca="false">IF(A454="","",SUMIFS('REFUND DAN PEMBATALAN'!$E$5:$E$504,'REFUND DAN PEMBATALAN'!$B$5:$B$504,A454,'REFUND DAN PEMBATALAN'!$I$5:$I$504,"Berhasil"))</f>
        <v/>
      </c>
      <c r="K454" s="0" t="str">
        <f aca="false">IF(A454="","",H454-I454-J454)</f>
        <v/>
      </c>
      <c r="O454" s="0" t="str">
        <f aca="false">IF(A454="","",IF(AND(I454=SUMIFS('DETAIL TRANSAKSI'!$H$5:$H$504,'DETAIL TRANSAKSI'!$A$5:$A$504,A454),J454=SUMIFS('DETAIL TRANSAKSI'!$I$5:$I$504,'DETAIL TRANSAKSI'!$A$5:$A$504,A454)),"OK","CEK ALOKASI"))</f>
        <v/>
      </c>
    </row>
    <row r="455" customFormat="false" ht="15" hidden="false" customHeight="false" outlineLevel="0" collapsed="false">
      <c r="H455" s="0" t="str">
        <f aca="false">IF(A455="","",SUMIFS('DETAIL TRANSAKSI'!$G$5:$G$504,'DETAIL TRANSAKSI'!$A$5:$A$504,A455))</f>
        <v/>
      </c>
      <c r="J455" s="0" t="str">
        <f aca="false">IF(A455="","",SUMIFS('REFUND DAN PEMBATALAN'!$E$5:$E$504,'REFUND DAN PEMBATALAN'!$B$5:$B$504,A455,'REFUND DAN PEMBATALAN'!$I$5:$I$504,"Berhasil"))</f>
        <v/>
      </c>
      <c r="K455" s="0" t="str">
        <f aca="false">IF(A455="","",H455-I455-J455)</f>
        <v/>
      </c>
      <c r="O455" s="0" t="str">
        <f aca="false">IF(A455="","",IF(AND(I455=SUMIFS('DETAIL TRANSAKSI'!$H$5:$H$504,'DETAIL TRANSAKSI'!$A$5:$A$504,A455),J455=SUMIFS('DETAIL TRANSAKSI'!$I$5:$I$504,'DETAIL TRANSAKSI'!$A$5:$A$504,A455)),"OK","CEK ALOKASI"))</f>
        <v/>
      </c>
    </row>
    <row r="456" customFormat="false" ht="15" hidden="false" customHeight="false" outlineLevel="0" collapsed="false">
      <c r="H456" s="0" t="str">
        <f aca="false">IF(A456="","",SUMIFS('DETAIL TRANSAKSI'!$G$5:$G$504,'DETAIL TRANSAKSI'!$A$5:$A$504,A456))</f>
        <v/>
      </c>
      <c r="J456" s="0" t="str">
        <f aca="false">IF(A456="","",SUMIFS('REFUND DAN PEMBATALAN'!$E$5:$E$504,'REFUND DAN PEMBATALAN'!$B$5:$B$504,A456,'REFUND DAN PEMBATALAN'!$I$5:$I$504,"Berhasil"))</f>
        <v/>
      </c>
      <c r="K456" s="0" t="str">
        <f aca="false">IF(A456="","",H456-I456-J456)</f>
        <v/>
      </c>
      <c r="O456" s="0" t="str">
        <f aca="false">IF(A456="","",IF(AND(I456=SUMIFS('DETAIL TRANSAKSI'!$H$5:$H$504,'DETAIL TRANSAKSI'!$A$5:$A$504,A456),J456=SUMIFS('DETAIL TRANSAKSI'!$I$5:$I$504,'DETAIL TRANSAKSI'!$A$5:$A$504,A456)),"OK","CEK ALOKASI"))</f>
        <v/>
      </c>
    </row>
    <row r="457" customFormat="false" ht="15" hidden="false" customHeight="false" outlineLevel="0" collapsed="false">
      <c r="H457" s="0" t="str">
        <f aca="false">IF(A457="","",SUMIFS('DETAIL TRANSAKSI'!$G$5:$G$504,'DETAIL TRANSAKSI'!$A$5:$A$504,A457))</f>
        <v/>
      </c>
      <c r="J457" s="0" t="str">
        <f aca="false">IF(A457="","",SUMIFS('REFUND DAN PEMBATALAN'!$E$5:$E$504,'REFUND DAN PEMBATALAN'!$B$5:$B$504,A457,'REFUND DAN PEMBATALAN'!$I$5:$I$504,"Berhasil"))</f>
        <v/>
      </c>
      <c r="K457" s="0" t="str">
        <f aca="false">IF(A457="","",H457-I457-J457)</f>
        <v/>
      </c>
      <c r="O457" s="0" t="str">
        <f aca="false">IF(A457="","",IF(AND(I457=SUMIFS('DETAIL TRANSAKSI'!$H$5:$H$504,'DETAIL TRANSAKSI'!$A$5:$A$504,A457),J457=SUMIFS('DETAIL TRANSAKSI'!$I$5:$I$504,'DETAIL TRANSAKSI'!$A$5:$A$504,A457)),"OK","CEK ALOKASI"))</f>
        <v/>
      </c>
    </row>
    <row r="458" customFormat="false" ht="15" hidden="false" customHeight="false" outlineLevel="0" collapsed="false">
      <c r="H458" s="0" t="str">
        <f aca="false">IF(A458="","",SUMIFS('DETAIL TRANSAKSI'!$G$5:$G$504,'DETAIL TRANSAKSI'!$A$5:$A$504,A458))</f>
        <v/>
      </c>
      <c r="J458" s="0" t="str">
        <f aca="false">IF(A458="","",SUMIFS('REFUND DAN PEMBATALAN'!$E$5:$E$504,'REFUND DAN PEMBATALAN'!$B$5:$B$504,A458,'REFUND DAN PEMBATALAN'!$I$5:$I$504,"Berhasil"))</f>
        <v/>
      </c>
      <c r="K458" s="0" t="str">
        <f aca="false">IF(A458="","",H458-I458-J458)</f>
        <v/>
      </c>
      <c r="O458" s="0" t="str">
        <f aca="false">IF(A458="","",IF(AND(I458=SUMIFS('DETAIL TRANSAKSI'!$H$5:$H$504,'DETAIL TRANSAKSI'!$A$5:$A$504,A458),J458=SUMIFS('DETAIL TRANSAKSI'!$I$5:$I$504,'DETAIL TRANSAKSI'!$A$5:$A$504,A458)),"OK","CEK ALOKASI"))</f>
        <v/>
      </c>
    </row>
    <row r="459" customFormat="false" ht="15" hidden="false" customHeight="false" outlineLevel="0" collapsed="false">
      <c r="H459" s="0" t="str">
        <f aca="false">IF(A459="","",SUMIFS('DETAIL TRANSAKSI'!$G$5:$G$504,'DETAIL TRANSAKSI'!$A$5:$A$504,A459))</f>
        <v/>
      </c>
      <c r="J459" s="0" t="str">
        <f aca="false">IF(A459="","",SUMIFS('REFUND DAN PEMBATALAN'!$E$5:$E$504,'REFUND DAN PEMBATALAN'!$B$5:$B$504,A459,'REFUND DAN PEMBATALAN'!$I$5:$I$504,"Berhasil"))</f>
        <v/>
      </c>
      <c r="K459" s="0" t="str">
        <f aca="false">IF(A459="","",H459-I459-J459)</f>
        <v/>
      </c>
      <c r="O459" s="0" t="str">
        <f aca="false">IF(A459="","",IF(AND(I459=SUMIFS('DETAIL TRANSAKSI'!$H$5:$H$504,'DETAIL TRANSAKSI'!$A$5:$A$504,A459),J459=SUMIFS('DETAIL TRANSAKSI'!$I$5:$I$504,'DETAIL TRANSAKSI'!$A$5:$A$504,A459)),"OK","CEK ALOKASI"))</f>
        <v/>
      </c>
    </row>
    <row r="460" customFormat="false" ht="15" hidden="false" customHeight="false" outlineLevel="0" collapsed="false">
      <c r="H460" s="0" t="str">
        <f aca="false">IF(A460="","",SUMIFS('DETAIL TRANSAKSI'!$G$5:$G$504,'DETAIL TRANSAKSI'!$A$5:$A$504,A460))</f>
        <v/>
      </c>
      <c r="J460" s="0" t="str">
        <f aca="false">IF(A460="","",SUMIFS('REFUND DAN PEMBATALAN'!$E$5:$E$504,'REFUND DAN PEMBATALAN'!$B$5:$B$504,A460,'REFUND DAN PEMBATALAN'!$I$5:$I$504,"Berhasil"))</f>
        <v/>
      </c>
      <c r="K460" s="0" t="str">
        <f aca="false">IF(A460="","",H460-I460-J460)</f>
        <v/>
      </c>
      <c r="O460" s="0" t="str">
        <f aca="false">IF(A460="","",IF(AND(I460=SUMIFS('DETAIL TRANSAKSI'!$H$5:$H$504,'DETAIL TRANSAKSI'!$A$5:$A$504,A460),J460=SUMIFS('DETAIL TRANSAKSI'!$I$5:$I$504,'DETAIL TRANSAKSI'!$A$5:$A$504,A460)),"OK","CEK ALOKASI"))</f>
        <v/>
      </c>
    </row>
    <row r="461" customFormat="false" ht="15" hidden="false" customHeight="false" outlineLevel="0" collapsed="false">
      <c r="H461" s="0" t="str">
        <f aca="false">IF(A461="","",SUMIFS('DETAIL TRANSAKSI'!$G$5:$G$504,'DETAIL TRANSAKSI'!$A$5:$A$504,A461))</f>
        <v/>
      </c>
      <c r="J461" s="0" t="str">
        <f aca="false">IF(A461="","",SUMIFS('REFUND DAN PEMBATALAN'!$E$5:$E$504,'REFUND DAN PEMBATALAN'!$B$5:$B$504,A461,'REFUND DAN PEMBATALAN'!$I$5:$I$504,"Berhasil"))</f>
        <v/>
      </c>
      <c r="K461" s="0" t="str">
        <f aca="false">IF(A461="","",H461-I461-J461)</f>
        <v/>
      </c>
      <c r="O461" s="0" t="str">
        <f aca="false">IF(A461="","",IF(AND(I461=SUMIFS('DETAIL TRANSAKSI'!$H$5:$H$504,'DETAIL TRANSAKSI'!$A$5:$A$504,A461),J461=SUMIFS('DETAIL TRANSAKSI'!$I$5:$I$504,'DETAIL TRANSAKSI'!$A$5:$A$504,A461)),"OK","CEK ALOKASI"))</f>
        <v/>
      </c>
    </row>
    <row r="462" customFormat="false" ht="15" hidden="false" customHeight="false" outlineLevel="0" collapsed="false">
      <c r="H462" s="0" t="str">
        <f aca="false">IF(A462="","",SUMIFS('DETAIL TRANSAKSI'!$G$5:$G$504,'DETAIL TRANSAKSI'!$A$5:$A$504,A462))</f>
        <v/>
      </c>
      <c r="J462" s="0" t="str">
        <f aca="false">IF(A462="","",SUMIFS('REFUND DAN PEMBATALAN'!$E$5:$E$504,'REFUND DAN PEMBATALAN'!$B$5:$B$504,A462,'REFUND DAN PEMBATALAN'!$I$5:$I$504,"Berhasil"))</f>
        <v/>
      </c>
      <c r="K462" s="0" t="str">
        <f aca="false">IF(A462="","",H462-I462-J462)</f>
        <v/>
      </c>
      <c r="O462" s="0" t="str">
        <f aca="false">IF(A462="","",IF(AND(I462=SUMIFS('DETAIL TRANSAKSI'!$H$5:$H$504,'DETAIL TRANSAKSI'!$A$5:$A$504,A462),J462=SUMIFS('DETAIL TRANSAKSI'!$I$5:$I$504,'DETAIL TRANSAKSI'!$A$5:$A$504,A462)),"OK","CEK ALOKASI"))</f>
        <v/>
      </c>
    </row>
    <row r="463" customFormat="false" ht="15" hidden="false" customHeight="false" outlineLevel="0" collapsed="false">
      <c r="H463" s="0" t="str">
        <f aca="false">IF(A463="","",SUMIFS('DETAIL TRANSAKSI'!$G$5:$G$504,'DETAIL TRANSAKSI'!$A$5:$A$504,A463))</f>
        <v/>
      </c>
      <c r="J463" s="0" t="str">
        <f aca="false">IF(A463="","",SUMIFS('REFUND DAN PEMBATALAN'!$E$5:$E$504,'REFUND DAN PEMBATALAN'!$B$5:$B$504,A463,'REFUND DAN PEMBATALAN'!$I$5:$I$504,"Berhasil"))</f>
        <v/>
      </c>
      <c r="K463" s="0" t="str">
        <f aca="false">IF(A463="","",H463-I463-J463)</f>
        <v/>
      </c>
      <c r="O463" s="0" t="str">
        <f aca="false">IF(A463="","",IF(AND(I463=SUMIFS('DETAIL TRANSAKSI'!$H$5:$H$504,'DETAIL TRANSAKSI'!$A$5:$A$504,A463),J463=SUMIFS('DETAIL TRANSAKSI'!$I$5:$I$504,'DETAIL TRANSAKSI'!$A$5:$A$504,A463)),"OK","CEK ALOKASI"))</f>
        <v/>
      </c>
    </row>
    <row r="464" customFormat="false" ht="15" hidden="false" customHeight="false" outlineLevel="0" collapsed="false">
      <c r="H464" s="0" t="str">
        <f aca="false">IF(A464="","",SUMIFS('DETAIL TRANSAKSI'!$G$5:$G$504,'DETAIL TRANSAKSI'!$A$5:$A$504,A464))</f>
        <v/>
      </c>
      <c r="J464" s="0" t="str">
        <f aca="false">IF(A464="","",SUMIFS('REFUND DAN PEMBATALAN'!$E$5:$E$504,'REFUND DAN PEMBATALAN'!$B$5:$B$504,A464,'REFUND DAN PEMBATALAN'!$I$5:$I$504,"Berhasil"))</f>
        <v/>
      </c>
      <c r="K464" s="0" t="str">
        <f aca="false">IF(A464="","",H464-I464-J464)</f>
        <v/>
      </c>
      <c r="O464" s="0" t="str">
        <f aca="false">IF(A464="","",IF(AND(I464=SUMIFS('DETAIL TRANSAKSI'!$H$5:$H$504,'DETAIL TRANSAKSI'!$A$5:$A$504,A464),J464=SUMIFS('DETAIL TRANSAKSI'!$I$5:$I$504,'DETAIL TRANSAKSI'!$A$5:$A$504,A464)),"OK","CEK ALOKASI"))</f>
        <v/>
      </c>
    </row>
    <row r="465" customFormat="false" ht="15" hidden="false" customHeight="false" outlineLevel="0" collapsed="false">
      <c r="H465" s="0" t="str">
        <f aca="false">IF(A465="","",SUMIFS('DETAIL TRANSAKSI'!$G$5:$G$504,'DETAIL TRANSAKSI'!$A$5:$A$504,A465))</f>
        <v/>
      </c>
      <c r="J465" s="0" t="str">
        <f aca="false">IF(A465="","",SUMIFS('REFUND DAN PEMBATALAN'!$E$5:$E$504,'REFUND DAN PEMBATALAN'!$B$5:$B$504,A465,'REFUND DAN PEMBATALAN'!$I$5:$I$504,"Berhasil"))</f>
        <v/>
      </c>
      <c r="K465" s="0" t="str">
        <f aca="false">IF(A465="","",H465-I465-J465)</f>
        <v/>
      </c>
      <c r="O465" s="0" t="str">
        <f aca="false">IF(A465="","",IF(AND(I465=SUMIFS('DETAIL TRANSAKSI'!$H$5:$H$504,'DETAIL TRANSAKSI'!$A$5:$A$504,A465),J465=SUMIFS('DETAIL TRANSAKSI'!$I$5:$I$504,'DETAIL TRANSAKSI'!$A$5:$A$504,A465)),"OK","CEK ALOKASI"))</f>
        <v/>
      </c>
    </row>
    <row r="466" customFormat="false" ht="15" hidden="false" customHeight="false" outlineLevel="0" collapsed="false">
      <c r="H466" s="0" t="str">
        <f aca="false">IF(A466="","",SUMIFS('DETAIL TRANSAKSI'!$G$5:$G$504,'DETAIL TRANSAKSI'!$A$5:$A$504,A466))</f>
        <v/>
      </c>
      <c r="J466" s="0" t="str">
        <f aca="false">IF(A466="","",SUMIFS('REFUND DAN PEMBATALAN'!$E$5:$E$504,'REFUND DAN PEMBATALAN'!$B$5:$B$504,A466,'REFUND DAN PEMBATALAN'!$I$5:$I$504,"Berhasil"))</f>
        <v/>
      </c>
      <c r="K466" s="0" t="str">
        <f aca="false">IF(A466="","",H466-I466-J466)</f>
        <v/>
      </c>
      <c r="O466" s="0" t="str">
        <f aca="false">IF(A466="","",IF(AND(I466=SUMIFS('DETAIL TRANSAKSI'!$H$5:$H$504,'DETAIL TRANSAKSI'!$A$5:$A$504,A466),J466=SUMIFS('DETAIL TRANSAKSI'!$I$5:$I$504,'DETAIL TRANSAKSI'!$A$5:$A$504,A466)),"OK","CEK ALOKASI"))</f>
        <v/>
      </c>
    </row>
    <row r="467" customFormat="false" ht="15" hidden="false" customHeight="false" outlineLevel="0" collapsed="false">
      <c r="H467" s="0" t="str">
        <f aca="false">IF(A467="","",SUMIFS('DETAIL TRANSAKSI'!$G$5:$G$504,'DETAIL TRANSAKSI'!$A$5:$A$504,A467))</f>
        <v/>
      </c>
      <c r="J467" s="0" t="str">
        <f aca="false">IF(A467="","",SUMIFS('REFUND DAN PEMBATALAN'!$E$5:$E$504,'REFUND DAN PEMBATALAN'!$B$5:$B$504,A467,'REFUND DAN PEMBATALAN'!$I$5:$I$504,"Berhasil"))</f>
        <v/>
      </c>
      <c r="K467" s="0" t="str">
        <f aca="false">IF(A467="","",H467-I467-J467)</f>
        <v/>
      </c>
      <c r="O467" s="0" t="str">
        <f aca="false">IF(A467="","",IF(AND(I467=SUMIFS('DETAIL TRANSAKSI'!$H$5:$H$504,'DETAIL TRANSAKSI'!$A$5:$A$504,A467),J467=SUMIFS('DETAIL TRANSAKSI'!$I$5:$I$504,'DETAIL TRANSAKSI'!$A$5:$A$504,A467)),"OK","CEK ALOKASI"))</f>
        <v/>
      </c>
    </row>
    <row r="468" customFormat="false" ht="15" hidden="false" customHeight="false" outlineLevel="0" collapsed="false">
      <c r="H468" s="0" t="str">
        <f aca="false">IF(A468="","",SUMIFS('DETAIL TRANSAKSI'!$G$5:$G$504,'DETAIL TRANSAKSI'!$A$5:$A$504,A468))</f>
        <v/>
      </c>
      <c r="J468" s="0" t="str">
        <f aca="false">IF(A468="","",SUMIFS('REFUND DAN PEMBATALAN'!$E$5:$E$504,'REFUND DAN PEMBATALAN'!$B$5:$B$504,A468,'REFUND DAN PEMBATALAN'!$I$5:$I$504,"Berhasil"))</f>
        <v/>
      </c>
      <c r="K468" s="0" t="str">
        <f aca="false">IF(A468="","",H468-I468-J468)</f>
        <v/>
      </c>
      <c r="O468" s="0" t="str">
        <f aca="false">IF(A468="","",IF(AND(I468=SUMIFS('DETAIL TRANSAKSI'!$H$5:$H$504,'DETAIL TRANSAKSI'!$A$5:$A$504,A468),J468=SUMIFS('DETAIL TRANSAKSI'!$I$5:$I$504,'DETAIL TRANSAKSI'!$A$5:$A$504,A468)),"OK","CEK ALOKASI"))</f>
        <v/>
      </c>
    </row>
    <row r="469" customFormat="false" ht="15" hidden="false" customHeight="false" outlineLevel="0" collapsed="false">
      <c r="H469" s="0" t="str">
        <f aca="false">IF(A469="","",SUMIFS('DETAIL TRANSAKSI'!$G$5:$G$504,'DETAIL TRANSAKSI'!$A$5:$A$504,A469))</f>
        <v/>
      </c>
      <c r="J469" s="0" t="str">
        <f aca="false">IF(A469="","",SUMIFS('REFUND DAN PEMBATALAN'!$E$5:$E$504,'REFUND DAN PEMBATALAN'!$B$5:$B$504,A469,'REFUND DAN PEMBATALAN'!$I$5:$I$504,"Berhasil"))</f>
        <v/>
      </c>
      <c r="K469" s="0" t="str">
        <f aca="false">IF(A469="","",H469-I469-J469)</f>
        <v/>
      </c>
      <c r="O469" s="0" t="str">
        <f aca="false">IF(A469="","",IF(AND(I469=SUMIFS('DETAIL TRANSAKSI'!$H$5:$H$504,'DETAIL TRANSAKSI'!$A$5:$A$504,A469),J469=SUMIFS('DETAIL TRANSAKSI'!$I$5:$I$504,'DETAIL TRANSAKSI'!$A$5:$A$504,A469)),"OK","CEK ALOKASI"))</f>
        <v/>
      </c>
    </row>
    <row r="470" customFormat="false" ht="15" hidden="false" customHeight="false" outlineLevel="0" collapsed="false">
      <c r="H470" s="0" t="str">
        <f aca="false">IF(A470="","",SUMIFS('DETAIL TRANSAKSI'!$G$5:$G$504,'DETAIL TRANSAKSI'!$A$5:$A$504,A470))</f>
        <v/>
      </c>
      <c r="J470" s="0" t="str">
        <f aca="false">IF(A470="","",SUMIFS('REFUND DAN PEMBATALAN'!$E$5:$E$504,'REFUND DAN PEMBATALAN'!$B$5:$B$504,A470,'REFUND DAN PEMBATALAN'!$I$5:$I$504,"Berhasil"))</f>
        <v/>
      </c>
      <c r="K470" s="0" t="str">
        <f aca="false">IF(A470="","",H470-I470-J470)</f>
        <v/>
      </c>
      <c r="O470" s="0" t="str">
        <f aca="false">IF(A470="","",IF(AND(I470=SUMIFS('DETAIL TRANSAKSI'!$H$5:$H$504,'DETAIL TRANSAKSI'!$A$5:$A$504,A470),J470=SUMIFS('DETAIL TRANSAKSI'!$I$5:$I$504,'DETAIL TRANSAKSI'!$A$5:$A$504,A470)),"OK","CEK ALOKASI"))</f>
        <v/>
      </c>
    </row>
    <row r="471" customFormat="false" ht="15" hidden="false" customHeight="false" outlineLevel="0" collapsed="false">
      <c r="H471" s="0" t="str">
        <f aca="false">IF(A471="","",SUMIFS('DETAIL TRANSAKSI'!$G$5:$G$504,'DETAIL TRANSAKSI'!$A$5:$A$504,A471))</f>
        <v/>
      </c>
      <c r="J471" s="0" t="str">
        <f aca="false">IF(A471="","",SUMIFS('REFUND DAN PEMBATALAN'!$E$5:$E$504,'REFUND DAN PEMBATALAN'!$B$5:$B$504,A471,'REFUND DAN PEMBATALAN'!$I$5:$I$504,"Berhasil"))</f>
        <v/>
      </c>
      <c r="K471" s="0" t="str">
        <f aca="false">IF(A471="","",H471-I471-J471)</f>
        <v/>
      </c>
      <c r="O471" s="0" t="str">
        <f aca="false">IF(A471="","",IF(AND(I471=SUMIFS('DETAIL TRANSAKSI'!$H$5:$H$504,'DETAIL TRANSAKSI'!$A$5:$A$504,A471),J471=SUMIFS('DETAIL TRANSAKSI'!$I$5:$I$504,'DETAIL TRANSAKSI'!$A$5:$A$504,A471)),"OK","CEK ALOKASI"))</f>
        <v/>
      </c>
    </row>
    <row r="472" customFormat="false" ht="15" hidden="false" customHeight="false" outlineLevel="0" collapsed="false">
      <c r="H472" s="0" t="str">
        <f aca="false">IF(A472="","",SUMIFS('DETAIL TRANSAKSI'!$G$5:$G$504,'DETAIL TRANSAKSI'!$A$5:$A$504,A472))</f>
        <v/>
      </c>
      <c r="J472" s="0" t="str">
        <f aca="false">IF(A472="","",SUMIFS('REFUND DAN PEMBATALAN'!$E$5:$E$504,'REFUND DAN PEMBATALAN'!$B$5:$B$504,A472,'REFUND DAN PEMBATALAN'!$I$5:$I$504,"Berhasil"))</f>
        <v/>
      </c>
      <c r="K472" s="0" t="str">
        <f aca="false">IF(A472="","",H472-I472-J472)</f>
        <v/>
      </c>
      <c r="O472" s="0" t="str">
        <f aca="false">IF(A472="","",IF(AND(I472=SUMIFS('DETAIL TRANSAKSI'!$H$5:$H$504,'DETAIL TRANSAKSI'!$A$5:$A$504,A472),J472=SUMIFS('DETAIL TRANSAKSI'!$I$5:$I$504,'DETAIL TRANSAKSI'!$A$5:$A$504,A472)),"OK","CEK ALOKASI"))</f>
        <v/>
      </c>
    </row>
    <row r="473" customFormat="false" ht="15" hidden="false" customHeight="false" outlineLevel="0" collapsed="false">
      <c r="H473" s="0" t="str">
        <f aca="false">IF(A473="","",SUMIFS('DETAIL TRANSAKSI'!$G$5:$G$504,'DETAIL TRANSAKSI'!$A$5:$A$504,A473))</f>
        <v/>
      </c>
      <c r="J473" s="0" t="str">
        <f aca="false">IF(A473="","",SUMIFS('REFUND DAN PEMBATALAN'!$E$5:$E$504,'REFUND DAN PEMBATALAN'!$B$5:$B$504,A473,'REFUND DAN PEMBATALAN'!$I$5:$I$504,"Berhasil"))</f>
        <v/>
      </c>
      <c r="K473" s="0" t="str">
        <f aca="false">IF(A473="","",H473-I473-J473)</f>
        <v/>
      </c>
      <c r="O473" s="0" t="str">
        <f aca="false">IF(A473="","",IF(AND(I473=SUMIFS('DETAIL TRANSAKSI'!$H$5:$H$504,'DETAIL TRANSAKSI'!$A$5:$A$504,A473),J473=SUMIFS('DETAIL TRANSAKSI'!$I$5:$I$504,'DETAIL TRANSAKSI'!$A$5:$A$504,A473)),"OK","CEK ALOKASI"))</f>
        <v/>
      </c>
    </row>
    <row r="474" customFormat="false" ht="15" hidden="false" customHeight="false" outlineLevel="0" collapsed="false">
      <c r="H474" s="0" t="str">
        <f aca="false">IF(A474="","",SUMIFS('DETAIL TRANSAKSI'!$G$5:$G$504,'DETAIL TRANSAKSI'!$A$5:$A$504,A474))</f>
        <v/>
      </c>
      <c r="J474" s="0" t="str">
        <f aca="false">IF(A474="","",SUMIFS('REFUND DAN PEMBATALAN'!$E$5:$E$504,'REFUND DAN PEMBATALAN'!$B$5:$B$504,A474,'REFUND DAN PEMBATALAN'!$I$5:$I$504,"Berhasil"))</f>
        <v/>
      </c>
      <c r="K474" s="0" t="str">
        <f aca="false">IF(A474="","",H474-I474-J474)</f>
        <v/>
      </c>
      <c r="O474" s="0" t="str">
        <f aca="false">IF(A474="","",IF(AND(I474=SUMIFS('DETAIL TRANSAKSI'!$H$5:$H$504,'DETAIL TRANSAKSI'!$A$5:$A$504,A474),J474=SUMIFS('DETAIL TRANSAKSI'!$I$5:$I$504,'DETAIL TRANSAKSI'!$A$5:$A$504,A474)),"OK","CEK ALOKASI"))</f>
        <v/>
      </c>
    </row>
    <row r="475" customFormat="false" ht="15" hidden="false" customHeight="false" outlineLevel="0" collapsed="false">
      <c r="H475" s="0" t="str">
        <f aca="false">IF(A475="","",SUMIFS('DETAIL TRANSAKSI'!$G$5:$G$504,'DETAIL TRANSAKSI'!$A$5:$A$504,A475))</f>
        <v/>
      </c>
      <c r="J475" s="0" t="str">
        <f aca="false">IF(A475="","",SUMIFS('REFUND DAN PEMBATALAN'!$E$5:$E$504,'REFUND DAN PEMBATALAN'!$B$5:$B$504,A475,'REFUND DAN PEMBATALAN'!$I$5:$I$504,"Berhasil"))</f>
        <v/>
      </c>
      <c r="K475" s="0" t="str">
        <f aca="false">IF(A475="","",H475-I475-J475)</f>
        <v/>
      </c>
      <c r="O475" s="0" t="str">
        <f aca="false">IF(A475="","",IF(AND(I475=SUMIFS('DETAIL TRANSAKSI'!$H$5:$H$504,'DETAIL TRANSAKSI'!$A$5:$A$504,A475),J475=SUMIFS('DETAIL TRANSAKSI'!$I$5:$I$504,'DETAIL TRANSAKSI'!$A$5:$A$504,A475)),"OK","CEK ALOKASI"))</f>
        <v/>
      </c>
    </row>
    <row r="476" customFormat="false" ht="15" hidden="false" customHeight="false" outlineLevel="0" collapsed="false">
      <c r="H476" s="0" t="str">
        <f aca="false">IF(A476="","",SUMIFS('DETAIL TRANSAKSI'!$G$5:$G$504,'DETAIL TRANSAKSI'!$A$5:$A$504,A476))</f>
        <v/>
      </c>
      <c r="J476" s="0" t="str">
        <f aca="false">IF(A476="","",SUMIFS('REFUND DAN PEMBATALAN'!$E$5:$E$504,'REFUND DAN PEMBATALAN'!$B$5:$B$504,A476,'REFUND DAN PEMBATALAN'!$I$5:$I$504,"Berhasil"))</f>
        <v/>
      </c>
      <c r="K476" s="0" t="str">
        <f aca="false">IF(A476="","",H476-I476-J476)</f>
        <v/>
      </c>
      <c r="O476" s="0" t="str">
        <f aca="false">IF(A476="","",IF(AND(I476=SUMIFS('DETAIL TRANSAKSI'!$H$5:$H$504,'DETAIL TRANSAKSI'!$A$5:$A$504,A476),J476=SUMIFS('DETAIL TRANSAKSI'!$I$5:$I$504,'DETAIL TRANSAKSI'!$A$5:$A$504,A476)),"OK","CEK ALOKASI"))</f>
        <v/>
      </c>
    </row>
    <row r="477" customFormat="false" ht="15" hidden="false" customHeight="false" outlineLevel="0" collapsed="false">
      <c r="H477" s="0" t="str">
        <f aca="false">IF(A477="","",SUMIFS('DETAIL TRANSAKSI'!$G$5:$G$504,'DETAIL TRANSAKSI'!$A$5:$A$504,A477))</f>
        <v/>
      </c>
      <c r="J477" s="0" t="str">
        <f aca="false">IF(A477="","",SUMIFS('REFUND DAN PEMBATALAN'!$E$5:$E$504,'REFUND DAN PEMBATALAN'!$B$5:$B$504,A477,'REFUND DAN PEMBATALAN'!$I$5:$I$504,"Berhasil"))</f>
        <v/>
      </c>
      <c r="K477" s="0" t="str">
        <f aca="false">IF(A477="","",H477-I477-J477)</f>
        <v/>
      </c>
      <c r="O477" s="0" t="str">
        <f aca="false">IF(A477="","",IF(AND(I477=SUMIFS('DETAIL TRANSAKSI'!$H$5:$H$504,'DETAIL TRANSAKSI'!$A$5:$A$504,A477),J477=SUMIFS('DETAIL TRANSAKSI'!$I$5:$I$504,'DETAIL TRANSAKSI'!$A$5:$A$504,A477)),"OK","CEK ALOKASI"))</f>
        <v/>
      </c>
    </row>
    <row r="478" customFormat="false" ht="15" hidden="false" customHeight="false" outlineLevel="0" collapsed="false">
      <c r="H478" s="0" t="str">
        <f aca="false">IF(A478="","",SUMIFS('DETAIL TRANSAKSI'!$G$5:$G$504,'DETAIL TRANSAKSI'!$A$5:$A$504,A478))</f>
        <v/>
      </c>
      <c r="J478" s="0" t="str">
        <f aca="false">IF(A478="","",SUMIFS('REFUND DAN PEMBATALAN'!$E$5:$E$504,'REFUND DAN PEMBATALAN'!$B$5:$B$504,A478,'REFUND DAN PEMBATALAN'!$I$5:$I$504,"Berhasil"))</f>
        <v/>
      </c>
      <c r="K478" s="0" t="str">
        <f aca="false">IF(A478="","",H478-I478-J478)</f>
        <v/>
      </c>
      <c r="O478" s="0" t="str">
        <f aca="false">IF(A478="","",IF(AND(I478=SUMIFS('DETAIL TRANSAKSI'!$H$5:$H$504,'DETAIL TRANSAKSI'!$A$5:$A$504,A478),J478=SUMIFS('DETAIL TRANSAKSI'!$I$5:$I$504,'DETAIL TRANSAKSI'!$A$5:$A$504,A478)),"OK","CEK ALOKASI"))</f>
        <v/>
      </c>
    </row>
    <row r="479" customFormat="false" ht="15" hidden="false" customHeight="false" outlineLevel="0" collapsed="false">
      <c r="H479" s="0" t="str">
        <f aca="false">IF(A479="","",SUMIFS('DETAIL TRANSAKSI'!$G$5:$G$504,'DETAIL TRANSAKSI'!$A$5:$A$504,A479))</f>
        <v/>
      </c>
      <c r="J479" s="0" t="str">
        <f aca="false">IF(A479="","",SUMIFS('REFUND DAN PEMBATALAN'!$E$5:$E$504,'REFUND DAN PEMBATALAN'!$B$5:$B$504,A479,'REFUND DAN PEMBATALAN'!$I$5:$I$504,"Berhasil"))</f>
        <v/>
      </c>
      <c r="K479" s="0" t="str">
        <f aca="false">IF(A479="","",H479-I479-J479)</f>
        <v/>
      </c>
      <c r="O479" s="0" t="str">
        <f aca="false">IF(A479="","",IF(AND(I479=SUMIFS('DETAIL TRANSAKSI'!$H$5:$H$504,'DETAIL TRANSAKSI'!$A$5:$A$504,A479),J479=SUMIFS('DETAIL TRANSAKSI'!$I$5:$I$504,'DETAIL TRANSAKSI'!$A$5:$A$504,A479)),"OK","CEK ALOKASI"))</f>
        <v/>
      </c>
    </row>
    <row r="480" customFormat="false" ht="15" hidden="false" customHeight="false" outlineLevel="0" collapsed="false">
      <c r="H480" s="0" t="str">
        <f aca="false">IF(A480="","",SUMIFS('DETAIL TRANSAKSI'!$G$5:$G$504,'DETAIL TRANSAKSI'!$A$5:$A$504,A480))</f>
        <v/>
      </c>
      <c r="J480" s="0" t="str">
        <f aca="false">IF(A480="","",SUMIFS('REFUND DAN PEMBATALAN'!$E$5:$E$504,'REFUND DAN PEMBATALAN'!$B$5:$B$504,A480,'REFUND DAN PEMBATALAN'!$I$5:$I$504,"Berhasil"))</f>
        <v/>
      </c>
      <c r="K480" s="0" t="str">
        <f aca="false">IF(A480="","",H480-I480-J480)</f>
        <v/>
      </c>
      <c r="O480" s="0" t="str">
        <f aca="false">IF(A480="","",IF(AND(I480=SUMIFS('DETAIL TRANSAKSI'!$H$5:$H$504,'DETAIL TRANSAKSI'!$A$5:$A$504,A480),J480=SUMIFS('DETAIL TRANSAKSI'!$I$5:$I$504,'DETAIL TRANSAKSI'!$A$5:$A$504,A480)),"OK","CEK ALOKASI"))</f>
        <v/>
      </c>
    </row>
    <row r="481" customFormat="false" ht="15" hidden="false" customHeight="false" outlineLevel="0" collapsed="false">
      <c r="H481" s="0" t="str">
        <f aca="false">IF(A481="","",SUMIFS('DETAIL TRANSAKSI'!$G$5:$G$504,'DETAIL TRANSAKSI'!$A$5:$A$504,A481))</f>
        <v/>
      </c>
      <c r="J481" s="0" t="str">
        <f aca="false">IF(A481="","",SUMIFS('REFUND DAN PEMBATALAN'!$E$5:$E$504,'REFUND DAN PEMBATALAN'!$B$5:$B$504,A481,'REFUND DAN PEMBATALAN'!$I$5:$I$504,"Berhasil"))</f>
        <v/>
      </c>
      <c r="K481" s="0" t="str">
        <f aca="false">IF(A481="","",H481-I481-J481)</f>
        <v/>
      </c>
      <c r="O481" s="0" t="str">
        <f aca="false">IF(A481="","",IF(AND(I481=SUMIFS('DETAIL TRANSAKSI'!$H$5:$H$504,'DETAIL TRANSAKSI'!$A$5:$A$504,A481),J481=SUMIFS('DETAIL TRANSAKSI'!$I$5:$I$504,'DETAIL TRANSAKSI'!$A$5:$A$504,A481)),"OK","CEK ALOKASI"))</f>
        <v/>
      </c>
    </row>
    <row r="482" customFormat="false" ht="15" hidden="false" customHeight="false" outlineLevel="0" collapsed="false">
      <c r="H482" s="0" t="str">
        <f aca="false">IF(A482="","",SUMIFS('DETAIL TRANSAKSI'!$G$5:$G$504,'DETAIL TRANSAKSI'!$A$5:$A$504,A482))</f>
        <v/>
      </c>
      <c r="J482" s="0" t="str">
        <f aca="false">IF(A482="","",SUMIFS('REFUND DAN PEMBATALAN'!$E$5:$E$504,'REFUND DAN PEMBATALAN'!$B$5:$B$504,A482,'REFUND DAN PEMBATALAN'!$I$5:$I$504,"Berhasil"))</f>
        <v/>
      </c>
      <c r="K482" s="0" t="str">
        <f aca="false">IF(A482="","",H482-I482-J482)</f>
        <v/>
      </c>
      <c r="O482" s="0" t="str">
        <f aca="false">IF(A482="","",IF(AND(I482=SUMIFS('DETAIL TRANSAKSI'!$H$5:$H$504,'DETAIL TRANSAKSI'!$A$5:$A$504,A482),J482=SUMIFS('DETAIL TRANSAKSI'!$I$5:$I$504,'DETAIL TRANSAKSI'!$A$5:$A$504,A482)),"OK","CEK ALOKASI"))</f>
        <v/>
      </c>
    </row>
    <row r="483" customFormat="false" ht="15" hidden="false" customHeight="false" outlineLevel="0" collapsed="false">
      <c r="H483" s="0" t="str">
        <f aca="false">IF(A483="","",SUMIFS('DETAIL TRANSAKSI'!$G$5:$G$504,'DETAIL TRANSAKSI'!$A$5:$A$504,A483))</f>
        <v/>
      </c>
      <c r="J483" s="0" t="str">
        <f aca="false">IF(A483="","",SUMIFS('REFUND DAN PEMBATALAN'!$E$5:$E$504,'REFUND DAN PEMBATALAN'!$B$5:$B$504,A483,'REFUND DAN PEMBATALAN'!$I$5:$I$504,"Berhasil"))</f>
        <v/>
      </c>
      <c r="K483" s="0" t="str">
        <f aca="false">IF(A483="","",H483-I483-J483)</f>
        <v/>
      </c>
      <c r="O483" s="0" t="str">
        <f aca="false">IF(A483="","",IF(AND(I483=SUMIFS('DETAIL TRANSAKSI'!$H$5:$H$504,'DETAIL TRANSAKSI'!$A$5:$A$504,A483),J483=SUMIFS('DETAIL TRANSAKSI'!$I$5:$I$504,'DETAIL TRANSAKSI'!$A$5:$A$504,A483)),"OK","CEK ALOKASI"))</f>
        <v/>
      </c>
    </row>
    <row r="484" customFormat="false" ht="15" hidden="false" customHeight="false" outlineLevel="0" collapsed="false">
      <c r="H484" s="0" t="str">
        <f aca="false">IF(A484="","",SUMIFS('DETAIL TRANSAKSI'!$G$5:$G$504,'DETAIL TRANSAKSI'!$A$5:$A$504,A484))</f>
        <v/>
      </c>
      <c r="J484" s="0" t="str">
        <f aca="false">IF(A484="","",SUMIFS('REFUND DAN PEMBATALAN'!$E$5:$E$504,'REFUND DAN PEMBATALAN'!$B$5:$B$504,A484,'REFUND DAN PEMBATALAN'!$I$5:$I$504,"Berhasil"))</f>
        <v/>
      </c>
      <c r="K484" s="0" t="str">
        <f aca="false">IF(A484="","",H484-I484-J484)</f>
        <v/>
      </c>
      <c r="O484" s="0" t="str">
        <f aca="false">IF(A484="","",IF(AND(I484=SUMIFS('DETAIL TRANSAKSI'!$H$5:$H$504,'DETAIL TRANSAKSI'!$A$5:$A$504,A484),J484=SUMIFS('DETAIL TRANSAKSI'!$I$5:$I$504,'DETAIL TRANSAKSI'!$A$5:$A$504,A484)),"OK","CEK ALOKASI"))</f>
        <v/>
      </c>
    </row>
    <row r="485" customFormat="false" ht="15" hidden="false" customHeight="false" outlineLevel="0" collapsed="false">
      <c r="H485" s="0" t="str">
        <f aca="false">IF(A485="","",SUMIFS('DETAIL TRANSAKSI'!$G$5:$G$504,'DETAIL TRANSAKSI'!$A$5:$A$504,A485))</f>
        <v/>
      </c>
      <c r="J485" s="0" t="str">
        <f aca="false">IF(A485="","",SUMIFS('REFUND DAN PEMBATALAN'!$E$5:$E$504,'REFUND DAN PEMBATALAN'!$B$5:$B$504,A485,'REFUND DAN PEMBATALAN'!$I$5:$I$504,"Berhasil"))</f>
        <v/>
      </c>
      <c r="K485" s="0" t="str">
        <f aca="false">IF(A485="","",H485-I485-J485)</f>
        <v/>
      </c>
      <c r="O485" s="0" t="str">
        <f aca="false">IF(A485="","",IF(AND(I485=SUMIFS('DETAIL TRANSAKSI'!$H$5:$H$504,'DETAIL TRANSAKSI'!$A$5:$A$504,A485),J485=SUMIFS('DETAIL TRANSAKSI'!$I$5:$I$504,'DETAIL TRANSAKSI'!$A$5:$A$504,A485)),"OK","CEK ALOKASI"))</f>
        <v/>
      </c>
    </row>
    <row r="486" customFormat="false" ht="15" hidden="false" customHeight="false" outlineLevel="0" collapsed="false">
      <c r="H486" s="0" t="str">
        <f aca="false">IF(A486="","",SUMIFS('DETAIL TRANSAKSI'!$G$5:$G$504,'DETAIL TRANSAKSI'!$A$5:$A$504,A486))</f>
        <v/>
      </c>
      <c r="J486" s="0" t="str">
        <f aca="false">IF(A486="","",SUMIFS('REFUND DAN PEMBATALAN'!$E$5:$E$504,'REFUND DAN PEMBATALAN'!$B$5:$B$504,A486,'REFUND DAN PEMBATALAN'!$I$5:$I$504,"Berhasil"))</f>
        <v/>
      </c>
      <c r="K486" s="0" t="str">
        <f aca="false">IF(A486="","",H486-I486-J486)</f>
        <v/>
      </c>
      <c r="O486" s="0" t="str">
        <f aca="false">IF(A486="","",IF(AND(I486=SUMIFS('DETAIL TRANSAKSI'!$H$5:$H$504,'DETAIL TRANSAKSI'!$A$5:$A$504,A486),J486=SUMIFS('DETAIL TRANSAKSI'!$I$5:$I$504,'DETAIL TRANSAKSI'!$A$5:$A$504,A486)),"OK","CEK ALOKASI"))</f>
        <v/>
      </c>
    </row>
    <row r="487" customFormat="false" ht="15" hidden="false" customHeight="false" outlineLevel="0" collapsed="false">
      <c r="H487" s="0" t="str">
        <f aca="false">IF(A487="","",SUMIFS('DETAIL TRANSAKSI'!$G$5:$G$504,'DETAIL TRANSAKSI'!$A$5:$A$504,A487))</f>
        <v/>
      </c>
      <c r="J487" s="0" t="str">
        <f aca="false">IF(A487="","",SUMIFS('REFUND DAN PEMBATALAN'!$E$5:$E$504,'REFUND DAN PEMBATALAN'!$B$5:$B$504,A487,'REFUND DAN PEMBATALAN'!$I$5:$I$504,"Berhasil"))</f>
        <v/>
      </c>
      <c r="K487" s="0" t="str">
        <f aca="false">IF(A487="","",H487-I487-J487)</f>
        <v/>
      </c>
      <c r="O487" s="0" t="str">
        <f aca="false">IF(A487="","",IF(AND(I487=SUMIFS('DETAIL TRANSAKSI'!$H$5:$H$504,'DETAIL TRANSAKSI'!$A$5:$A$504,A487),J487=SUMIFS('DETAIL TRANSAKSI'!$I$5:$I$504,'DETAIL TRANSAKSI'!$A$5:$A$504,A487)),"OK","CEK ALOKASI"))</f>
        <v/>
      </c>
    </row>
    <row r="488" customFormat="false" ht="15" hidden="false" customHeight="false" outlineLevel="0" collapsed="false">
      <c r="H488" s="0" t="str">
        <f aca="false">IF(A488="","",SUMIFS('DETAIL TRANSAKSI'!$G$5:$G$504,'DETAIL TRANSAKSI'!$A$5:$A$504,A488))</f>
        <v/>
      </c>
      <c r="J488" s="0" t="str">
        <f aca="false">IF(A488="","",SUMIFS('REFUND DAN PEMBATALAN'!$E$5:$E$504,'REFUND DAN PEMBATALAN'!$B$5:$B$504,A488,'REFUND DAN PEMBATALAN'!$I$5:$I$504,"Berhasil"))</f>
        <v/>
      </c>
      <c r="K488" s="0" t="str">
        <f aca="false">IF(A488="","",H488-I488-J488)</f>
        <v/>
      </c>
      <c r="O488" s="0" t="str">
        <f aca="false">IF(A488="","",IF(AND(I488=SUMIFS('DETAIL TRANSAKSI'!$H$5:$H$504,'DETAIL TRANSAKSI'!$A$5:$A$504,A488),J488=SUMIFS('DETAIL TRANSAKSI'!$I$5:$I$504,'DETAIL TRANSAKSI'!$A$5:$A$504,A488)),"OK","CEK ALOKASI"))</f>
        <v/>
      </c>
    </row>
    <row r="489" customFormat="false" ht="15" hidden="false" customHeight="false" outlineLevel="0" collapsed="false">
      <c r="H489" s="0" t="str">
        <f aca="false">IF(A489="","",SUMIFS('DETAIL TRANSAKSI'!$G$5:$G$504,'DETAIL TRANSAKSI'!$A$5:$A$504,A489))</f>
        <v/>
      </c>
      <c r="J489" s="0" t="str">
        <f aca="false">IF(A489="","",SUMIFS('REFUND DAN PEMBATALAN'!$E$5:$E$504,'REFUND DAN PEMBATALAN'!$B$5:$B$504,A489,'REFUND DAN PEMBATALAN'!$I$5:$I$504,"Berhasil"))</f>
        <v/>
      </c>
      <c r="K489" s="0" t="str">
        <f aca="false">IF(A489="","",H489-I489-J489)</f>
        <v/>
      </c>
      <c r="O489" s="0" t="str">
        <f aca="false">IF(A489="","",IF(AND(I489=SUMIFS('DETAIL TRANSAKSI'!$H$5:$H$504,'DETAIL TRANSAKSI'!$A$5:$A$504,A489),J489=SUMIFS('DETAIL TRANSAKSI'!$I$5:$I$504,'DETAIL TRANSAKSI'!$A$5:$A$504,A489)),"OK","CEK ALOKASI"))</f>
        <v/>
      </c>
    </row>
    <row r="490" customFormat="false" ht="15" hidden="false" customHeight="false" outlineLevel="0" collapsed="false">
      <c r="H490" s="0" t="str">
        <f aca="false">IF(A490="","",SUMIFS('DETAIL TRANSAKSI'!$G$5:$G$504,'DETAIL TRANSAKSI'!$A$5:$A$504,A490))</f>
        <v/>
      </c>
      <c r="J490" s="0" t="str">
        <f aca="false">IF(A490="","",SUMIFS('REFUND DAN PEMBATALAN'!$E$5:$E$504,'REFUND DAN PEMBATALAN'!$B$5:$B$504,A490,'REFUND DAN PEMBATALAN'!$I$5:$I$504,"Berhasil"))</f>
        <v/>
      </c>
      <c r="K490" s="0" t="str">
        <f aca="false">IF(A490="","",H490-I490-J490)</f>
        <v/>
      </c>
      <c r="O490" s="0" t="str">
        <f aca="false">IF(A490="","",IF(AND(I490=SUMIFS('DETAIL TRANSAKSI'!$H$5:$H$504,'DETAIL TRANSAKSI'!$A$5:$A$504,A490),J490=SUMIFS('DETAIL TRANSAKSI'!$I$5:$I$504,'DETAIL TRANSAKSI'!$A$5:$A$504,A490)),"OK","CEK ALOKASI"))</f>
        <v/>
      </c>
    </row>
    <row r="491" customFormat="false" ht="15" hidden="false" customHeight="false" outlineLevel="0" collapsed="false">
      <c r="H491" s="0" t="str">
        <f aca="false">IF(A491="","",SUMIFS('DETAIL TRANSAKSI'!$G$5:$G$504,'DETAIL TRANSAKSI'!$A$5:$A$504,A491))</f>
        <v/>
      </c>
      <c r="J491" s="0" t="str">
        <f aca="false">IF(A491="","",SUMIFS('REFUND DAN PEMBATALAN'!$E$5:$E$504,'REFUND DAN PEMBATALAN'!$B$5:$B$504,A491,'REFUND DAN PEMBATALAN'!$I$5:$I$504,"Berhasil"))</f>
        <v/>
      </c>
      <c r="K491" s="0" t="str">
        <f aca="false">IF(A491="","",H491-I491-J491)</f>
        <v/>
      </c>
      <c r="O491" s="0" t="str">
        <f aca="false">IF(A491="","",IF(AND(I491=SUMIFS('DETAIL TRANSAKSI'!$H$5:$H$504,'DETAIL TRANSAKSI'!$A$5:$A$504,A491),J491=SUMIFS('DETAIL TRANSAKSI'!$I$5:$I$504,'DETAIL TRANSAKSI'!$A$5:$A$504,A491)),"OK","CEK ALOKASI"))</f>
        <v/>
      </c>
    </row>
    <row r="492" customFormat="false" ht="15" hidden="false" customHeight="false" outlineLevel="0" collapsed="false">
      <c r="H492" s="0" t="str">
        <f aca="false">IF(A492="","",SUMIFS('DETAIL TRANSAKSI'!$G$5:$G$504,'DETAIL TRANSAKSI'!$A$5:$A$504,A492))</f>
        <v/>
      </c>
      <c r="J492" s="0" t="str">
        <f aca="false">IF(A492="","",SUMIFS('REFUND DAN PEMBATALAN'!$E$5:$E$504,'REFUND DAN PEMBATALAN'!$B$5:$B$504,A492,'REFUND DAN PEMBATALAN'!$I$5:$I$504,"Berhasil"))</f>
        <v/>
      </c>
      <c r="K492" s="0" t="str">
        <f aca="false">IF(A492="","",H492-I492-J492)</f>
        <v/>
      </c>
      <c r="O492" s="0" t="str">
        <f aca="false">IF(A492="","",IF(AND(I492=SUMIFS('DETAIL TRANSAKSI'!$H$5:$H$504,'DETAIL TRANSAKSI'!$A$5:$A$504,A492),J492=SUMIFS('DETAIL TRANSAKSI'!$I$5:$I$504,'DETAIL TRANSAKSI'!$A$5:$A$504,A492)),"OK","CEK ALOKASI"))</f>
        <v/>
      </c>
    </row>
    <row r="493" customFormat="false" ht="15" hidden="false" customHeight="false" outlineLevel="0" collapsed="false">
      <c r="H493" s="0" t="str">
        <f aca="false">IF(A493="","",SUMIFS('DETAIL TRANSAKSI'!$G$5:$G$504,'DETAIL TRANSAKSI'!$A$5:$A$504,A493))</f>
        <v/>
      </c>
      <c r="J493" s="0" t="str">
        <f aca="false">IF(A493="","",SUMIFS('REFUND DAN PEMBATALAN'!$E$5:$E$504,'REFUND DAN PEMBATALAN'!$B$5:$B$504,A493,'REFUND DAN PEMBATALAN'!$I$5:$I$504,"Berhasil"))</f>
        <v/>
      </c>
      <c r="K493" s="0" t="str">
        <f aca="false">IF(A493="","",H493-I493-J493)</f>
        <v/>
      </c>
      <c r="O493" s="0" t="str">
        <f aca="false">IF(A493="","",IF(AND(I493=SUMIFS('DETAIL TRANSAKSI'!$H$5:$H$504,'DETAIL TRANSAKSI'!$A$5:$A$504,A493),J493=SUMIFS('DETAIL TRANSAKSI'!$I$5:$I$504,'DETAIL TRANSAKSI'!$A$5:$A$504,A493)),"OK","CEK ALOKASI"))</f>
        <v/>
      </c>
    </row>
    <row r="494" customFormat="false" ht="15" hidden="false" customHeight="false" outlineLevel="0" collapsed="false">
      <c r="H494" s="0" t="str">
        <f aca="false">IF(A494="","",SUMIFS('DETAIL TRANSAKSI'!$G$5:$G$504,'DETAIL TRANSAKSI'!$A$5:$A$504,A494))</f>
        <v/>
      </c>
      <c r="J494" s="0" t="str">
        <f aca="false">IF(A494="","",SUMIFS('REFUND DAN PEMBATALAN'!$E$5:$E$504,'REFUND DAN PEMBATALAN'!$B$5:$B$504,A494,'REFUND DAN PEMBATALAN'!$I$5:$I$504,"Berhasil"))</f>
        <v/>
      </c>
      <c r="K494" s="0" t="str">
        <f aca="false">IF(A494="","",H494-I494-J494)</f>
        <v/>
      </c>
      <c r="O494" s="0" t="str">
        <f aca="false">IF(A494="","",IF(AND(I494=SUMIFS('DETAIL TRANSAKSI'!$H$5:$H$504,'DETAIL TRANSAKSI'!$A$5:$A$504,A494),J494=SUMIFS('DETAIL TRANSAKSI'!$I$5:$I$504,'DETAIL TRANSAKSI'!$A$5:$A$504,A494)),"OK","CEK ALOKASI"))</f>
        <v/>
      </c>
    </row>
    <row r="495" customFormat="false" ht="15" hidden="false" customHeight="false" outlineLevel="0" collapsed="false">
      <c r="H495" s="0" t="str">
        <f aca="false">IF(A495="","",SUMIFS('DETAIL TRANSAKSI'!$G$5:$G$504,'DETAIL TRANSAKSI'!$A$5:$A$504,A495))</f>
        <v/>
      </c>
      <c r="J495" s="0" t="str">
        <f aca="false">IF(A495="","",SUMIFS('REFUND DAN PEMBATALAN'!$E$5:$E$504,'REFUND DAN PEMBATALAN'!$B$5:$B$504,A495,'REFUND DAN PEMBATALAN'!$I$5:$I$504,"Berhasil"))</f>
        <v/>
      </c>
      <c r="K495" s="0" t="str">
        <f aca="false">IF(A495="","",H495-I495-J495)</f>
        <v/>
      </c>
      <c r="O495" s="0" t="str">
        <f aca="false">IF(A495="","",IF(AND(I495=SUMIFS('DETAIL TRANSAKSI'!$H$5:$H$504,'DETAIL TRANSAKSI'!$A$5:$A$504,A495),J495=SUMIFS('DETAIL TRANSAKSI'!$I$5:$I$504,'DETAIL TRANSAKSI'!$A$5:$A$504,A495)),"OK","CEK ALOKASI"))</f>
        <v/>
      </c>
    </row>
    <row r="496" customFormat="false" ht="15" hidden="false" customHeight="false" outlineLevel="0" collapsed="false">
      <c r="H496" s="0" t="str">
        <f aca="false">IF(A496="","",SUMIFS('DETAIL TRANSAKSI'!$G$5:$G$504,'DETAIL TRANSAKSI'!$A$5:$A$504,A496))</f>
        <v/>
      </c>
      <c r="J496" s="0" t="str">
        <f aca="false">IF(A496="","",SUMIFS('REFUND DAN PEMBATALAN'!$E$5:$E$504,'REFUND DAN PEMBATALAN'!$B$5:$B$504,A496,'REFUND DAN PEMBATALAN'!$I$5:$I$504,"Berhasil"))</f>
        <v/>
      </c>
      <c r="K496" s="0" t="str">
        <f aca="false">IF(A496="","",H496-I496-J496)</f>
        <v/>
      </c>
      <c r="O496" s="0" t="str">
        <f aca="false">IF(A496="","",IF(AND(I496=SUMIFS('DETAIL TRANSAKSI'!$H$5:$H$504,'DETAIL TRANSAKSI'!$A$5:$A$504,A496),J496=SUMIFS('DETAIL TRANSAKSI'!$I$5:$I$504,'DETAIL TRANSAKSI'!$A$5:$A$504,A496)),"OK","CEK ALOKASI"))</f>
        <v/>
      </c>
    </row>
    <row r="497" customFormat="false" ht="15" hidden="false" customHeight="false" outlineLevel="0" collapsed="false">
      <c r="H497" s="0" t="str">
        <f aca="false">IF(A497="","",SUMIFS('DETAIL TRANSAKSI'!$G$5:$G$504,'DETAIL TRANSAKSI'!$A$5:$A$504,A497))</f>
        <v/>
      </c>
      <c r="J497" s="0" t="str">
        <f aca="false">IF(A497="","",SUMIFS('REFUND DAN PEMBATALAN'!$E$5:$E$504,'REFUND DAN PEMBATALAN'!$B$5:$B$504,A497,'REFUND DAN PEMBATALAN'!$I$5:$I$504,"Berhasil"))</f>
        <v/>
      </c>
      <c r="K497" s="0" t="str">
        <f aca="false">IF(A497="","",H497-I497-J497)</f>
        <v/>
      </c>
      <c r="O497" s="0" t="str">
        <f aca="false">IF(A497="","",IF(AND(I497=SUMIFS('DETAIL TRANSAKSI'!$H$5:$H$504,'DETAIL TRANSAKSI'!$A$5:$A$504,A497),J497=SUMIFS('DETAIL TRANSAKSI'!$I$5:$I$504,'DETAIL TRANSAKSI'!$A$5:$A$504,A497)),"OK","CEK ALOKASI"))</f>
        <v/>
      </c>
    </row>
    <row r="498" customFormat="false" ht="15" hidden="false" customHeight="false" outlineLevel="0" collapsed="false">
      <c r="H498" s="0" t="str">
        <f aca="false">IF(A498="","",SUMIFS('DETAIL TRANSAKSI'!$G$5:$G$504,'DETAIL TRANSAKSI'!$A$5:$A$504,A498))</f>
        <v/>
      </c>
      <c r="J498" s="0" t="str">
        <f aca="false">IF(A498="","",SUMIFS('REFUND DAN PEMBATALAN'!$E$5:$E$504,'REFUND DAN PEMBATALAN'!$B$5:$B$504,A498,'REFUND DAN PEMBATALAN'!$I$5:$I$504,"Berhasil"))</f>
        <v/>
      </c>
      <c r="K498" s="0" t="str">
        <f aca="false">IF(A498="","",H498-I498-J498)</f>
        <v/>
      </c>
      <c r="O498" s="0" t="str">
        <f aca="false">IF(A498="","",IF(AND(I498=SUMIFS('DETAIL TRANSAKSI'!$H$5:$H$504,'DETAIL TRANSAKSI'!$A$5:$A$504,A498),J498=SUMIFS('DETAIL TRANSAKSI'!$I$5:$I$504,'DETAIL TRANSAKSI'!$A$5:$A$504,A498)),"OK","CEK ALOKASI"))</f>
        <v/>
      </c>
    </row>
    <row r="499" customFormat="false" ht="15" hidden="false" customHeight="false" outlineLevel="0" collapsed="false">
      <c r="H499" s="0" t="str">
        <f aca="false">IF(A499="","",SUMIFS('DETAIL TRANSAKSI'!$G$5:$G$504,'DETAIL TRANSAKSI'!$A$5:$A$504,A499))</f>
        <v/>
      </c>
      <c r="J499" s="0" t="str">
        <f aca="false">IF(A499="","",SUMIFS('REFUND DAN PEMBATALAN'!$E$5:$E$504,'REFUND DAN PEMBATALAN'!$B$5:$B$504,A499,'REFUND DAN PEMBATALAN'!$I$5:$I$504,"Berhasil"))</f>
        <v/>
      </c>
      <c r="K499" s="0" t="str">
        <f aca="false">IF(A499="","",H499-I499-J499)</f>
        <v/>
      </c>
      <c r="O499" s="0" t="str">
        <f aca="false">IF(A499="","",IF(AND(I499=SUMIFS('DETAIL TRANSAKSI'!$H$5:$H$504,'DETAIL TRANSAKSI'!$A$5:$A$504,A499),J499=SUMIFS('DETAIL TRANSAKSI'!$I$5:$I$504,'DETAIL TRANSAKSI'!$A$5:$A$504,A499)),"OK","CEK ALOKASI"))</f>
        <v/>
      </c>
    </row>
    <row r="500" customFormat="false" ht="15" hidden="false" customHeight="false" outlineLevel="0" collapsed="false">
      <c r="H500" s="0" t="str">
        <f aca="false">IF(A500="","",SUMIFS('DETAIL TRANSAKSI'!$G$5:$G$504,'DETAIL TRANSAKSI'!$A$5:$A$504,A500))</f>
        <v/>
      </c>
      <c r="J500" s="0" t="str">
        <f aca="false">IF(A500="","",SUMIFS('REFUND DAN PEMBATALAN'!$E$5:$E$504,'REFUND DAN PEMBATALAN'!$B$5:$B$504,A500,'REFUND DAN PEMBATALAN'!$I$5:$I$504,"Berhasil"))</f>
        <v/>
      </c>
      <c r="K500" s="0" t="str">
        <f aca="false">IF(A500="","",H500-I500-J500)</f>
        <v/>
      </c>
      <c r="O500" s="0" t="str">
        <f aca="false">IF(A500="","",IF(AND(I500=SUMIFS('DETAIL TRANSAKSI'!$H$5:$H$504,'DETAIL TRANSAKSI'!$A$5:$A$504,A500),J500=SUMIFS('DETAIL TRANSAKSI'!$I$5:$I$504,'DETAIL TRANSAKSI'!$A$5:$A$504,A500)),"OK","CEK ALOKASI"))</f>
        <v/>
      </c>
    </row>
    <row r="501" customFormat="false" ht="15" hidden="false" customHeight="false" outlineLevel="0" collapsed="false">
      <c r="H501" s="0" t="str">
        <f aca="false">IF(A501="","",SUMIFS('DETAIL TRANSAKSI'!$G$5:$G$504,'DETAIL TRANSAKSI'!$A$5:$A$504,A501))</f>
        <v/>
      </c>
      <c r="J501" s="0" t="str">
        <f aca="false">IF(A501="","",SUMIFS('REFUND DAN PEMBATALAN'!$E$5:$E$504,'REFUND DAN PEMBATALAN'!$B$5:$B$504,A501,'REFUND DAN PEMBATALAN'!$I$5:$I$504,"Berhasil"))</f>
        <v/>
      </c>
      <c r="K501" s="0" t="str">
        <f aca="false">IF(A501="","",H501-I501-J501)</f>
        <v/>
      </c>
      <c r="O501" s="0" t="str">
        <f aca="false">IF(A501="","",IF(AND(I501=SUMIFS('DETAIL TRANSAKSI'!$H$5:$H$504,'DETAIL TRANSAKSI'!$A$5:$A$504,A501),J501=SUMIFS('DETAIL TRANSAKSI'!$I$5:$I$504,'DETAIL TRANSAKSI'!$A$5:$A$504,A501)),"OK","CEK ALOKASI"))</f>
        <v/>
      </c>
    </row>
    <row r="502" customFormat="false" ht="15" hidden="false" customHeight="false" outlineLevel="0" collapsed="false">
      <c r="H502" s="0" t="str">
        <f aca="false">IF(A502="","",SUMIFS('DETAIL TRANSAKSI'!$G$5:$G$504,'DETAIL TRANSAKSI'!$A$5:$A$504,A502))</f>
        <v/>
      </c>
      <c r="J502" s="0" t="str">
        <f aca="false">IF(A502="","",SUMIFS('REFUND DAN PEMBATALAN'!$E$5:$E$504,'REFUND DAN PEMBATALAN'!$B$5:$B$504,A502,'REFUND DAN PEMBATALAN'!$I$5:$I$504,"Berhasil"))</f>
        <v/>
      </c>
      <c r="K502" s="0" t="str">
        <f aca="false">IF(A502="","",H502-I502-J502)</f>
        <v/>
      </c>
      <c r="O502" s="0" t="str">
        <f aca="false">IF(A502="","",IF(AND(I502=SUMIFS('DETAIL TRANSAKSI'!$H$5:$H$504,'DETAIL TRANSAKSI'!$A$5:$A$504,A502),J502=SUMIFS('DETAIL TRANSAKSI'!$I$5:$I$504,'DETAIL TRANSAKSI'!$A$5:$A$504,A502)),"OK","CEK ALOKASI"))</f>
        <v/>
      </c>
    </row>
    <row r="503" customFormat="false" ht="15" hidden="false" customHeight="false" outlineLevel="0" collapsed="false">
      <c r="H503" s="0" t="str">
        <f aca="false">IF(A503="","",SUMIFS('DETAIL TRANSAKSI'!$G$5:$G$504,'DETAIL TRANSAKSI'!$A$5:$A$504,A503))</f>
        <v/>
      </c>
      <c r="J503" s="0" t="str">
        <f aca="false">IF(A503="","",SUMIFS('REFUND DAN PEMBATALAN'!$E$5:$E$504,'REFUND DAN PEMBATALAN'!$B$5:$B$504,A503,'REFUND DAN PEMBATALAN'!$I$5:$I$504,"Berhasil"))</f>
        <v/>
      </c>
      <c r="K503" s="0" t="str">
        <f aca="false">IF(A503="","",H503-I503-J503)</f>
        <v/>
      </c>
      <c r="O503" s="0" t="str">
        <f aca="false">IF(A503="","",IF(AND(I503=SUMIFS('DETAIL TRANSAKSI'!$H$5:$H$504,'DETAIL TRANSAKSI'!$A$5:$A$504,A503),J503=SUMIFS('DETAIL TRANSAKSI'!$I$5:$I$504,'DETAIL TRANSAKSI'!$A$5:$A$504,A503)),"OK","CEK ALOKASI"))</f>
        <v/>
      </c>
    </row>
    <row r="504" customFormat="false" ht="15" hidden="false" customHeight="false" outlineLevel="0" collapsed="false">
      <c r="H504" s="0" t="str">
        <f aca="false">IF(A504="","",SUMIFS('DETAIL TRANSAKSI'!$G$5:$G$504,'DETAIL TRANSAKSI'!$A$5:$A$504,A504))</f>
        <v/>
      </c>
      <c r="J504" s="0" t="str">
        <f aca="false">IF(A504="","",SUMIFS('REFUND DAN PEMBATALAN'!$E$5:$E$504,'REFUND DAN PEMBATALAN'!$B$5:$B$504,A504,'REFUND DAN PEMBATALAN'!$I$5:$I$504,"Berhasil"))</f>
        <v/>
      </c>
      <c r="K504" s="0" t="str">
        <f aca="false">IF(A504="","",H504-I504-J504)</f>
        <v/>
      </c>
      <c r="O504" s="0" t="str">
        <f aca="false">IF(A504="","",IF(AND(I504=SUMIFS('DETAIL TRANSAKSI'!$H$5:$H$504,'DETAIL TRANSAKSI'!$A$5:$A$504,A504),J504=SUMIFS('DETAIL TRANSAKSI'!$I$5:$I$504,'DETAIL TRANSAKSI'!$A$5:$A$504,A504)),"OK","CEK ALOKASI"))</f>
        <v/>
      </c>
    </row>
  </sheetData>
  <conditionalFormatting sqref="O5:O64">
    <cfRule type="containsText" priority="2" operator="containsText" aboveAverage="0" equalAverage="0" bottom="0" percent="0" rank="0" text="CEK" dxfId="19">
      <formula>NOT(ISERROR(SEARCH("CEK",O5)))</formula>
    </cfRule>
  </conditionalFormatting>
  <conditionalFormatting sqref="A5:A64">
    <cfRule type="expression" priority="3" aboveAverage="0" equalAverage="0" bottom="0" percent="0" rank="0" text="" dxfId="20">
      <formula>AND(A5&lt;&gt;"",COUNTIF($A$5:$A$64,A5)&gt;1)</formula>
    </cfRule>
  </conditionalFormatting>
  <dataValidations count="4">
    <dataValidation allowBlank="false" errorStyle="stop" operator="between" showDropDown="false" showErrorMessage="false" showInputMessage="false" sqref="F5:F504" type="list">
      <formula1>"Dine-in,Takeaway,Delivery"</formula1>
      <formula2>0</formula2>
    </dataValidation>
    <dataValidation allowBlank="false" errorStyle="stop" operator="between" showDropDown="false" showErrorMessage="false" showInputMessage="false" sqref="L5:L504" type="list">
      <formula1>"Tunai,QRIS,Debit,Transfer,E-wallet,Kredit"</formula1>
      <formula2>0</formula2>
    </dataValidation>
    <dataValidation allowBlank="false" errorStyle="stop" operator="between" showDropDown="false" showErrorMessage="false" showInputMessage="false" sqref="M5:M504" type="list">
      <formula1>"Belum bayar,Menunggu verifikasi,Lunas,Gagal"</formula1>
      <formula2>0</formula2>
    </dataValidation>
    <dataValidation allowBlank="false" errorStyle="stop" operator="between" showDropDown="false" showErrorMessage="false" showInputMessage="false" sqref="N5:N504" type="list">
      <formula1>"Baru,Diproses,Siap,Selesai,Dibatalkan"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1"/>
    <col collapsed="false" customWidth="true" hidden="false" outlineLevel="0" max="3" min="3" style="0" width="30"/>
    <col collapsed="false" customWidth="true" hidden="false" outlineLevel="0" max="5" min="4" style="0" width="18"/>
    <col collapsed="false" customWidth="true" hidden="false" outlineLevel="0" max="9" min="6" style="0" width="21"/>
    <col collapsed="false" customWidth="true" hidden="false" outlineLevel="0" max="10" min="10" style="0" width="26"/>
    <col collapsed="false" customWidth="true" hidden="false" outlineLevel="0" max="11" min="11" style="0" width="28"/>
    <col collapsed="false" customWidth="true" hidden="false" outlineLevel="0" max="13" min="12" style="0" width="21"/>
    <col collapsed="false" customWidth="true" hidden="false" outlineLevel="0" max="14" min="14" style="0" width="25"/>
    <col collapsed="false" customWidth="true" hidden="false" outlineLevel="0" max="15" min="15" style="0" width="42"/>
    <col collapsed="false" customWidth="true" hidden="false" outlineLevel="0" max="16" min="16" style="0" width="24"/>
    <col collapsed="false" customWidth="true" hidden="false" outlineLevel="0" max="17" min="17" style="0" width="18"/>
    <col collapsed="false" customWidth="true" hidden="false" outlineLevel="0" max="19" min="18" style="0" width="13"/>
  </cols>
  <sheetData>
    <row r="1" customFormat="false" ht="38" hidden="false" customHeight="true" outlineLevel="0" collapsed="false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29" hidden="false" customHeight="true" outlineLevel="0" collapsed="false">
      <c r="A2" s="9" t="s">
        <v>276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243</v>
      </c>
      <c r="B4" s="13" t="s">
        <v>71</v>
      </c>
      <c r="C4" s="13" t="s">
        <v>72</v>
      </c>
      <c r="D4" s="13" t="s">
        <v>75</v>
      </c>
      <c r="E4" s="13" t="s">
        <v>176</v>
      </c>
      <c r="F4" s="13" t="s">
        <v>277</v>
      </c>
      <c r="G4" s="13" t="s">
        <v>278</v>
      </c>
      <c r="H4" s="13" t="s">
        <v>279</v>
      </c>
      <c r="I4" s="13" t="s">
        <v>280</v>
      </c>
      <c r="J4" s="13" t="s">
        <v>281</v>
      </c>
      <c r="K4" s="13" t="s">
        <v>282</v>
      </c>
      <c r="L4" s="13" t="s">
        <v>283</v>
      </c>
      <c r="M4" s="13" t="s">
        <v>168</v>
      </c>
      <c r="N4" s="13" t="s">
        <v>284</v>
      </c>
      <c r="O4" s="13" t="s">
        <v>285</v>
      </c>
      <c r="P4" s="13" t="s">
        <v>286</v>
      </c>
      <c r="Q4" s="13" t="s">
        <v>287</v>
      </c>
      <c r="R4" s="21" t="s">
        <v>179</v>
      </c>
      <c r="S4" s="21" t="s">
        <v>180</v>
      </c>
    </row>
    <row r="5" customFormat="false" ht="27" hidden="false" customHeight="true" outlineLevel="0" collapsed="false">
      <c r="A5" s="14" t="s">
        <v>214</v>
      </c>
      <c r="B5" s="14" t="s">
        <v>81</v>
      </c>
      <c r="C5" s="18" t="str">
        <f aca="false">IF(B5="","",IF(COUNTIFS('MASTER MENU'!$A$5:$A$504,B5)=0,"BELUM ADA",INDEX('MASTER MENU'!$B$5:$B$504,MATCH(B5,'MASTER MENU'!$A$5:$A$504,0))))</f>
        <v>Kopi Susu Gula Aren</v>
      </c>
      <c r="D5" s="18" t="str">
        <f aca="false">IF(B5="","",IF(COUNTIFS('MASTER MENU'!$A$5:$A$504,B5)=0,"BELUM ADA",INDEX('MASTER MENU'!$E$5:$E$504,MATCH(B5,'MASTER MENU'!$A$5:$A$504,0))))</f>
        <v>Reguler</v>
      </c>
      <c r="E5" s="14" t="n">
        <v>1</v>
      </c>
      <c r="F5" s="19" t="n">
        <f aca="false">IF(B5="","",IF(COUNTIFS('MASTER MENU'!$A$5:$A$504,B5)=0,"BELUM ADA",INDEX('MASTER MENU'!$F$5:$F$504,MATCH(B5,'MASTER MENU'!$A$5:$A$504,0))))</f>
        <v>28000</v>
      </c>
      <c r="G5" s="19" t="n">
        <f aca="false">IF(A5="","",IF(OR(NOT(ISNUMBER(E5)),NOT(ISNUMBER(F5))),"BELUM LENGKAP",ROUND(E5*F5,0)))</f>
        <v>28000</v>
      </c>
      <c r="H5" s="15" t="n">
        <v>0</v>
      </c>
      <c r="I5" s="15" t="n">
        <v>0</v>
      </c>
      <c r="J5" s="19" t="n">
        <f aca="false">IF(A5="","",IF(NOT(ISNUMBER(G5)),"BELUM LENGKAP",G5-H5-I5))</f>
        <v>28000</v>
      </c>
      <c r="K5" s="15" t="n">
        <v>7300</v>
      </c>
      <c r="L5" s="19" t="n">
        <f aca="false">IF(A5="","",IF(NOT(ISNUMBER(K5)),"ISI SNAPSHOT HPP",ROUND(E5*K5,0)))</f>
        <v>7300</v>
      </c>
      <c r="M5" s="19" t="n">
        <f aca="false">IF(A5="","",IF(NOT(ISNUMBER(L5)),"BELUM LENGKAP",J5-L5))</f>
        <v>20700</v>
      </c>
      <c r="N5" s="19" t="n">
        <f aca="false">IF(B5="","",IF(COUNTIFS('RESEP DAN HPP'!$A$5:$A$504,B5,'RESEP DAN HPP'!$N$5:$N$504,"LENGKAP")=0,"BELUM LENGKAP",INDEX('RESEP DAN HPP'!$J$5:$J$504,MATCH(B5,'RESEP DAN HPP'!$A$5:$A$504,0))))</f>
        <v>7300</v>
      </c>
      <c r="O5" s="14" t="s">
        <v>288</v>
      </c>
      <c r="P5" s="27" t="n">
        <f aca="false">IF(A5="","",IF(COUNTIFS('TRANSAKSI PENJUALAN'!$A$5:$A$504,A5)=0,"BELUM ADA",INDEX('TRANSAKSI PENJUALAN'!$B$5:$B$504,MATCH(A5,'TRANSAKSI PENJUALAN'!$A$5:$A$504,0))))</f>
        <v>46325</v>
      </c>
      <c r="Q5" s="18" t="str">
        <f aca="false">IF(A5="","",IF(COUNTIFS('TRANSAKSI PENJUALAN'!$A$5:$A$504,A5)=0,"BELUM ADA",INDEX('TRANSAKSI PENJUALAN'!$M$5:$M$504,MATCH(A5,'TRANSAKSI PENJUALAN'!$A$5:$A$504,0))))</f>
        <v>Lunas</v>
      </c>
      <c r="R5" s="24" t="n">
        <f aca="false">IF(A5="","",COUNTIF($A$5:A5,A5))</f>
        <v>1</v>
      </c>
      <c r="S5" s="24" t="str">
        <f aca="false">IF(A5="","",A5&amp;"|"&amp;R5)</f>
        <v>CONTOH-O01|1</v>
      </c>
    </row>
    <row r="6" customFormat="false" ht="27" hidden="false" customHeight="true" outlineLevel="0" collapsed="false">
      <c r="A6" s="14" t="s">
        <v>265</v>
      </c>
      <c r="B6" s="14" t="s">
        <v>89</v>
      </c>
      <c r="C6" s="18" t="str">
        <f aca="false">IF(B6="","",IF(COUNTIFS('MASTER MENU'!$A$5:$A$504,B6)=0,"BELUM ADA",INDEX('MASTER MENU'!$B$5:$B$504,MATCH(B6,'MASTER MENU'!$A$5:$A$504,0))))</f>
        <v>Americano</v>
      </c>
      <c r="D6" s="18" t="str">
        <f aca="false">IF(B6="","",IF(COUNTIFS('MASTER MENU'!$A$5:$A$504,B6)=0,"BELUM ADA",INDEX('MASTER MENU'!$E$5:$E$504,MATCH(B6,'MASTER MENU'!$A$5:$A$504,0))))</f>
        <v>Ice</v>
      </c>
      <c r="E6" s="14" t="n">
        <v>1</v>
      </c>
      <c r="F6" s="19" t="n">
        <f aca="false">IF(B6="","",IF(COUNTIFS('MASTER MENU'!$A$5:$A$504,B6)=0,"BELUM ADA",INDEX('MASTER MENU'!$F$5:$F$504,MATCH(B6,'MASTER MENU'!$A$5:$A$504,0))))</f>
        <v>25000</v>
      </c>
      <c r="G6" s="19" t="n">
        <f aca="false">IF(A6="","",IF(OR(NOT(ISNUMBER(E6)),NOT(ISNUMBER(F6))),"BELUM LENGKAP",ROUND(E6*F6,0)))</f>
        <v>25000</v>
      </c>
      <c r="H6" s="15" t="n">
        <v>0</v>
      </c>
      <c r="I6" s="15" t="n">
        <v>0</v>
      </c>
      <c r="J6" s="19" t="n">
        <f aca="false">IF(A6="","",IF(NOT(ISNUMBER(G6)),"BELUM LENGKAP",G6-H6-I6))</f>
        <v>25000</v>
      </c>
      <c r="K6" s="15" t="n">
        <v>3160</v>
      </c>
      <c r="L6" s="19" t="n">
        <f aca="false">IF(A6="","",IF(NOT(ISNUMBER(K6)),"ISI SNAPSHOT HPP",ROUND(E6*K6,0)))</f>
        <v>3160</v>
      </c>
      <c r="M6" s="19" t="n">
        <f aca="false">IF(A6="","",IF(NOT(ISNUMBER(L6)),"BELUM LENGKAP",J6-L6))</f>
        <v>21840</v>
      </c>
      <c r="N6" s="19" t="n">
        <f aca="false">IF(B6="","",IF(COUNTIFS('RESEP DAN HPP'!$A$5:$A$504,B6,'RESEP DAN HPP'!$N$5:$N$504,"LENGKAP")=0,"BELUM LENGKAP",INDEX('RESEP DAN HPP'!$J$5:$J$504,MATCH(B6,'RESEP DAN HPP'!$A$5:$A$504,0))))</f>
        <v>3160</v>
      </c>
      <c r="O6" s="14" t="s">
        <v>288</v>
      </c>
      <c r="P6" s="27" t="n">
        <f aca="false">IF(A6="","",IF(COUNTIFS('TRANSAKSI PENJUALAN'!$A$5:$A$504,A6)=0,"BELUM ADA",INDEX('TRANSAKSI PENJUALAN'!$B$5:$B$504,MATCH(A6,'TRANSAKSI PENJUALAN'!$A$5:$A$504,0))))</f>
        <v>46325</v>
      </c>
      <c r="Q6" s="18" t="str">
        <f aca="false">IF(A6="","",IF(COUNTIFS('TRANSAKSI PENJUALAN'!$A$5:$A$504,A6)=0,"BELUM ADA",INDEX('TRANSAKSI PENJUALAN'!$M$5:$M$504,MATCH(A6,'TRANSAKSI PENJUALAN'!$A$5:$A$504,0))))</f>
        <v>Lunas</v>
      </c>
      <c r="R6" s="24" t="n">
        <f aca="false">IF(A6="","",COUNTIF($A$5:A6,A6))</f>
        <v>1</v>
      </c>
      <c r="S6" s="24" t="str">
        <f aca="false">IF(A6="","",A6&amp;"|"&amp;R6)</f>
        <v>CONTOH-O02|1</v>
      </c>
    </row>
    <row r="7" customFormat="false" ht="27" hidden="false" customHeight="true" outlineLevel="0" collapsed="false">
      <c r="A7" s="14" t="s">
        <v>220</v>
      </c>
      <c r="B7" s="14" t="s">
        <v>92</v>
      </c>
      <c r="C7" s="18" t="str">
        <f aca="false">IF(B7="","",IF(COUNTIFS('MASTER MENU'!$A$5:$A$504,B7)=0,"BELUM ADA",INDEX('MASTER MENU'!$B$5:$B$504,MATCH(B7,'MASTER MENU'!$A$5:$A$504,0))))</f>
        <v>Latte</v>
      </c>
      <c r="D7" s="18" t="str">
        <f aca="false">IF(B7="","",IF(COUNTIFS('MASTER MENU'!$A$5:$A$504,B7)=0,"BELUM ADA",INDEX('MASTER MENU'!$E$5:$E$504,MATCH(B7,'MASTER MENU'!$A$5:$A$504,0))))</f>
        <v>Hot</v>
      </c>
      <c r="E7" s="14" t="n">
        <v>1</v>
      </c>
      <c r="F7" s="19" t="n">
        <f aca="false">IF(B7="","",IF(COUNTIFS('MASTER MENU'!$A$5:$A$504,B7)=0,"BELUM ADA",INDEX('MASTER MENU'!$F$5:$F$504,MATCH(B7,'MASTER MENU'!$A$5:$A$504,0))))</f>
        <v>32000</v>
      </c>
      <c r="G7" s="19" t="n">
        <f aca="false">IF(A7="","",IF(OR(NOT(ISNUMBER(E7)),NOT(ISNUMBER(F7))),"BELUM LENGKAP",ROUND(E7*F7,0)))</f>
        <v>32000</v>
      </c>
      <c r="H7" s="15" t="n">
        <v>2000</v>
      </c>
      <c r="I7" s="15" t="n">
        <v>0</v>
      </c>
      <c r="J7" s="19" t="n">
        <f aca="false">IF(A7="","",IF(NOT(ISNUMBER(G7)),"BELUM LENGKAP",G7-H7-I7))</f>
        <v>30000</v>
      </c>
      <c r="K7" s="15" t="n">
        <v>7020</v>
      </c>
      <c r="L7" s="19" t="n">
        <f aca="false">IF(A7="","",IF(NOT(ISNUMBER(K7)),"ISI SNAPSHOT HPP",ROUND(E7*K7,0)))</f>
        <v>7020</v>
      </c>
      <c r="M7" s="19" t="n">
        <f aca="false">IF(A7="","",IF(NOT(ISNUMBER(L7)),"BELUM LENGKAP",J7-L7))</f>
        <v>22980</v>
      </c>
      <c r="N7" s="19" t="n">
        <f aca="false">IF(B7="","",IF(COUNTIFS('RESEP DAN HPP'!$A$5:$A$504,B7,'RESEP DAN HPP'!$N$5:$N$504,"LENGKAP")=0,"BELUM LENGKAP",INDEX('RESEP DAN HPP'!$J$5:$J$504,MATCH(B7,'RESEP DAN HPP'!$A$5:$A$504,0))))</f>
        <v>7020</v>
      </c>
      <c r="O7" s="14" t="s">
        <v>288</v>
      </c>
      <c r="P7" s="27" t="n">
        <f aca="false">IF(A7="","",IF(COUNTIFS('TRANSAKSI PENJUALAN'!$A$5:$A$504,A7)=0,"BELUM ADA",INDEX('TRANSAKSI PENJUALAN'!$B$5:$B$504,MATCH(A7,'TRANSAKSI PENJUALAN'!$A$5:$A$504,0))))</f>
        <v>46325</v>
      </c>
      <c r="Q7" s="18" t="str">
        <f aca="false">IF(A7="","",IF(COUNTIFS('TRANSAKSI PENJUALAN'!$A$5:$A$504,A7)=0,"BELUM ADA",INDEX('TRANSAKSI PENJUALAN'!$M$5:$M$504,MATCH(A7,'TRANSAKSI PENJUALAN'!$A$5:$A$504,0))))</f>
        <v>Lunas</v>
      </c>
      <c r="R7" s="24" t="n">
        <f aca="false">IF(A7="","",COUNTIF($A$5:A7,A7))</f>
        <v>1</v>
      </c>
      <c r="S7" s="24" t="str">
        <f aca="false">IF(A7="","",A7&amp;"|"&amp;R7)</f>
        <v>CONTOH-O03|1</v>
      </c>
    </row>
    <row r="8" customFormat="false" ht="27" hidden="false" customHeight="true" outlineLevel="0" collapsed="false">
      <c r="A8" s="14" t="s">
        <v>222</v>
      </c>
      <c r="B8" s="14" t="s">
        <v>95</v>
      </c>
      <c r="C8" s="18" t="str">
        <f aca="false">IF(B8="","",IF(COUNTIFS('MASTER MENU'!$A$5:$A$504,B8)=0,"BELUM ADA",INDEX('MASTER MENU'!$B$5:$B$504,MATCH(B8,'MASTER MENU'!$A$5:$A$504,0))))</f>
        <v>Matcha Latte</v>
      </c>
      <c r="D8" s="18" t="str">
        <f aca="false">IF(B8="","",IF(COUNTIFS('MASTER MENU'!$A$5:$A$504,B8)=0,"BELUM ADA",INDEX('MASTER MENU'!$E$5:$E$504,MATCH(B8,'MASTER MENU'!$A$5:$A$504,0))))</f>
        <v>Ice</v>
      </c>
      <c r="E8" s="14" t="n">
        <v>1</v>
      </c>
      <c r="F8" s="19" t="n">
        <f aca="false">IF(B8="","",IF(COUNTIFS('MASTER MENU'!$A$5:$A$504,B8)=0,"BELUM ADA",INDEX('MASTER MENU'!$F$5:$F$504,MATCH(B8,'MASTER MENU'!$A$5:$A$504,0))))</f>
        <v>33000</v>
      </c>
      <c r="G8" s="19" t="n">
        <f aca="false">IF(A8="","",IF(OR(NOT(ISNUMBER(E8)),NOT(ISNUMBER(F8))),"BELUM LENGKAP",ROUND(E8*F8,0)))</f>
        <v>33000</v>
      </c>
      <c r="H8" s="15" t="n">
        <v>0</v>
      </c>
      <c r="I8" s="15" t="n">
        <v>5000</v>
      </c>
      <c r="J8" s="19" t="n">
        <f aca="false">IF(A8="","",IF(NOT(ISNUMBER(G8)),"BELUM LENGKAP",G8-H8-I8))</f>
        <v>28000</v>
      </c>
      <c r="K8" s="15" t="n">
        <v>6960</v>
      </c>
      <c r="L8" s="19" t="n">
        <f aca="false">IF(A8="","",IF(NOT(ISNUMBER(K8)),"ISI SNAPSHOT HPP",ROUND(E8*K8,0)))</f>
        <v>6960</v>
      </c>
      <c r="M8" s="19" t="n">
        <f aca="false">IF(A8="","",IF(NOT(ISNUMBER(L8)),"BELUM LENGKAP",J8-L8))</f>
        <v>21040</v>
      </c>
      <c r="N8" s="19" t="n">
        <f aca="false">IF(B8="","",IF(COUNTIFS('RESEP DAN HPP'!$A$5:$A$504,B8,'RESEP DAN HPP'!$N$5:$N$504,"LENGKAP")=0,"BELUM LENGKAP",INDEX('RESEP DAN HPP'!$J$5:$J$504,MATCH(B8,'RESEP DAN HPP'!$A$5:$A$504,0))))</f>
        <v>6960</v>
      </c>
      <c r="O8" s="14" t="s">
        <v>288</v>
      </c>
      <c r="P8" s="27" t="n">
        <f aca="false">IF(A8="","",IF(COUNTIFS('TRANSAKSI PENJUALAN'!$A$5:$A$504,A8)=0,"BELUM ADA",INDEX('TRANSAKSI PENJUALAN'!$B$5:$B$504,MATCH(A8,'TRANSAKSI PENJUALAN'!$A$5:$A$504,0))))</f>
        <v>46325</v>
      </c>
      <c r="Q8" s="18" t="str">
        <f aca="false">IF(A8="","",IF(COUNTIFS('TRANSAKSI PENJUALAN'!$A$5:$A$504,A8)=0,"BELUM ADA",INDEX('TRANSAKSI PENJUALAN'!$M$5:$M$504,MATCH(A8,'TRANSAKSI PENJUALAN'!$A$5:$A$504,0))))</f>
        <v>Lunas</v>
      </c>
      <c r="R8" s="24" t="n">
        <f aca="false">IF(A8="","",COUNTIF($A$5:A8,A8))</f>
        <v>1</v>
      </c>
      <c r="S8" s="24" t="str">
        <f aca="false">IF(A8="","",A8&amp;"|"&amp;R8)</f>
        <v>CONTOH-O04|1</v>
      </c>
    </row>
    <row r="9" customFormat="false" ht="27" hidden="false" customHeight="true" outlineLevel="0" collapsed="false">
      <c r="A9" s="14" t="s">
        <v>224</v>
      </c>
      <c r="B9" s="14" t="s">
        <v>98</v>
      </c>
      <c r="C9" s="18" t="str">
        <f aca="false">IF(B9="","",IF(COUNTIFS('MASTER MENU'!$A$5:$A$504,B9)=0,"BELUM ADA",INDEX('MASTER MENU'!$B$5:$B$504,MATCH(B9,'MASTER MENU'!$A$5:$A$504,0))))</f>
        <v>Teh Lemon</v>
      </c>
      <c r="D9" s="18" t="str">
        <f aca="false">IF(B9="","",IF(COUNTIFS('MASTER MENU'!$A$5:$A$504,B9)=0,"BELUM ADA",INDEX('MASTER MENU'!$E$5:$E$504,MATCH(B9,'MASTER MENU'!$A$5:$A$504,0))))</f>
        <v>Ice</v>
      </c>
      <c r="E9" s="14" t="n">
        <v>1</v>
      </c>
      <c r="F9" s="19" t="n">
        <f aca="false">IF(B9="","",IF(COUNTIFS('MASTER MENU'!$A$5:$A$504,B9)=0,"BELUM ADA",INDEX('MASTER MENU'!$F$5:$F$504,MATCH(B9,'MASTER MENU'!$A$5:$A$504,0))))</f>
        <v>22000</v>
      </c>
      <c r="G9" s="19" t="n">
        <f aca="false">IF(A9="","",IF(OR(NOT(ISNUMBER(E9)),NOT(ISNUMBER(F9))),"BELUM LENGKAP",ROUND(E9*F9,0)))</f>
        <v>22000</v>
      </c>
      <c r="H9" s="15" t="n">
        <v>0</v>
      </c>
      <c r="I9" s="15" t="n">
        <v>0</v>
      </c>
      <c r="J9" s="19" t="n">
        <f aca="false">IF(A9="","",IF(NOT(ISNUMBER(G9)),"BELUM LENGKAP",G9-H9-I9))</f>
        <v>22000</v>
      </c>
      <c r="K9" s="15" t="n">
        <v>1300</v>
      </c>
      <c r="L9" s="19" t="n">
        <f aca="false">IF(A9="","",IF(NOT(ISNUMBER(K9)),"ISI SNAPSHOT HPP",ROUND(E9*K9,0)))</f>
        <v>1300</v>
      </c>
      <c r="M9" s="19" t="n">
        <f aca="false">IF(A9="","",IF(NOT(ISNUMBER(L9)),"BELUM LENGKAP",J9-L9))</f>
        <v>20700</v>
      </c>
      <c r="N9" s="19" t="n">
        <f aca="false">IF(B9="","",IF(COUNTIFS('RESEP DAN HPP'!$A$5:$A$504,B9,'RESEP DAN HPP'!$N$5:$N$504,"LENGKAP")=0,"BELUM LENGKAP",INDEX('RESEP DAN HPP'!$J$5:$J$504,MATCH(B9,'RESEP DAN HPP'!$A$5:$A$504,0))))</f>
        <v>1300</v>
      </c>
      <c r="O9" s="14" t="s">
        <v>288</v>
      </c>
      <c r="P9" s="27" t="n">
        <f aca="false">IF(A9="","",IF(COUNTIFS('TRANSAKSI PENJUALAN'!$A$5:$A$504,A9)=0,"BELUM ADA",INDEX('TRANSAKSI PENJUALAN'!$B$5:$B$504,MATCH(A9,'TRANSAKSI PENJUALAN'!$A$5:$A$504,0))))</f>
        <v>46325</v>
      </c>
      <c r="Q9" s="18" t="str">
        <f aca="false">IF(A9="","",IF(COUNTIFS('TRANSAKSI PENJUALAN'!$A$5:$A$504,A9)=0,"BELUM ADA",INDEX('TRANSAKSI PENJUALAN'!$M$5:$M$504,MATCH(A9,'TRANSAKSI PENJUALAN'!$A$5:$A$504,0))))</f>
        <v>Lunas</v>
      </c>
      <c r="R9" s="24" t="n">
        <f aca="false">IF(A9="","",COUNTIF($A$5:A9,A9))</f>
        <v>1</v>
      </c>
      <c r="S9" s="24" t="str">
        <f aca="false">IF(A9="","",A9&amp;"|"&amp;R9)</f>
        <v>CONTOH-O05|1</v>
      </c>
    </row>
    <row r="10" customFormat="false" ht="27" hidden="false" customHeight="true" outlineLevel="0" collapsed="false">
      <c r="A10" s="14" t="s">
        <v>226</v>
      </c>
      <c r="B10" s="14" t="s">
        <v>101</v>
      </c>
      <c r="C10" s="18" t="str">
        <f aca="false">IF(B10="","",IF(COUNTIFS('MASTER MENU'!$A$5:$A$504,B10)=0,"BELUM ADA",INDEX('MASTER MENU'!$B$5:$B$504,MATCH(B10,'MASTER MENU'!$A$5:$A$504,0))))</f>
        <v>Croissant Butter</v>
      </c>
      <c r="D10" s="18" t="str">
        <f aca="false">IF(B10="","",IF(COUNTIFS('MASTER MENU'!$A$5:$A$504,B10)=0,"BELUM ADA",INDEX('MASTER MENU'!$E$5:$E$504,MATCH(B10,'MASTER MENU'!$A$5:$A$504,0))))</f>
        <v>Reguler</v>
      </c>
      <c r="E10" s="14" t="n">
        <v>1</v>
      </c>
      <c r="F10" s="19" t="n">
        <f aca="false">IF(B10="","",IF(COUNTIFS('MASTER MENU'!$A$5:$A$504,B10)=0,"BELUM ADA",INDEX('MASTER MENU'!$F$5:$F$504,MATCH(B10,'MASTER MENU'!$A$5:$A$504,0))))</f>
        <v>27000</v>
      </c>
      <c r="G10" s="19" t="n">
        <f aca="false">IF(A10="","",IF(OR(NOT(ISNUMBER(E10)),NOT(ISNUMBER(F10))),"BELUM LENGKAP",ROUND(E10*F10,0)))</f>
        <v>27000</v>
      </c>
      <c r="H10" s="15" t="n">
        <v>0</v>
      </c>
      <c r="I10" s="15" t="n">
        <v>0</v>
      </c>
      <c r="J10" s="19" t="n">
        <f aca="false">IF(A10="","",IF(NOT(ISNUMBER(G10)),"BELUM LENGKAP",G10-H10-I10))</f>
        <v>27000</v>
      </c>
      <c r="K10" s="15" t="n">
        <v>7500</v>
      </c>
      <c r="L10" s="19" t="n">
        <f aca="false">IF(A10="","",IF(NOT(ISNUMBER(K10)),"ISI SNAPSHOT HPP",ROUND(E10*K10,0)))</f>
        <v>7500</v>
      </c>
      <c r="M10" s="19" t="n">
        <f aca="false">IF(A10="","",IF(NOT(ISNUMBER(L10)),"BELUM LENGKAP",J10-L10))</f>
        <v>19500</v>
      </c>
      <c r="N10" s="19" t="n">
        <f aca="false">IF(B10="","",IF(COUNTIFS('RESEP DAN HPP'!$A$5:$A$504,B10,'RESEP DAN HPP'!$N$5:$N$504,"LENGKAP")=0,"BELUM LENGKAP",INDEX('RESEP DAN HPP'!$J$5:$J$504,MATCH(B10,'RESEP DAN HPP'!$A$5:$A$504,0))))</f>
        <v>7500</v>
      </c>
      <c r="O10" s="14" t="s">
        <v>288</v>
      </c>
      <c r="P10" s="27" t="n">
        <f aca="false">IF(A10="","",IF(COUNTIFS('TRANSAKSI PENJUALAN'!$A$5:$A$504,A10)=0,"BELUM ADA",INDEX('TRANSAKSI PENJUALAN'!$B$5:$B$504,MATCH(A10,'TRANSAKSI PENJUALAN'!$A$5:$A$504,0))))</f>
        <v>46325</v>
      </c>
      <c r="Q10" s="18" t="str">
        <f aca="false">IF(A10="","",IF(COUNTIFS('TRANSAKSI PENJUALAN'!$A$5:$A$504,A10)=0,"BELUM ADA",INDEX('TRANSAKSI PENJUALAN'!$M$5:$M$504,MATCH(A10,'TRANSAKSI PENJUALAN'!$A$5:$A$504,0))))</f>
        <v>Lunas</v>
      </c>
      <c r="R10" s="24" t="n">
        <f aca="false">IF(A10="","",COUNTIF($A$5:A10,A10))</f>
        <v>1</v>
      </c>
      <c r="S10" s="24" t="str">
        <f aca="false">IF(A10="","",A10&amp;"|"&amp;R10)</f>
        <v>CONTOH-O06|1</v>
      </c>
    </row>
    <row r="11" customFormat="false" ht="27" hidden="false" customHeight="true" outlineLevel="0" collapsed="false">
      <c r="A11" s="14" t="s">
        <v>228</v>
      </c>
      <c r="B11" s="14" t="s">
        <v>105</v>
      </c>
      <c r="C11" s="18" t="str">
        <f aca="false">IF(B11="","",IF(COUNTIFS('MASTER MENU'!$A$5:$A$504,B11)=0,"BELUM ADA",INDEX('MASTER MENU'!$B$5:$B$504,MATCH(B11,'MASTER MENU'!$A$5:$A$504,0))))</f>
        <v>Nasi Goreng</v>
      </c>
      <c r="D11" s="18" t="str">
        <f aca="false">IF(B11="","",IF(COUNTIFS('MASTER MENU'!$A$5:$A$504,B11)=0,"BELUM ADA",INDEX('MASTER MENU'!$E$5:$E$504,MATCH(B11,'MASTER MENU'!$A$5:$A$504,0))))</f>
        <v>Reguler</v>
      </c>
      <c r="E11" s="14" t="n">
        <v>1</v>
      </c>
      <c r="F11" s="19" t="n">
        <f aca="false">IF(B11="","",IF(COUNTIFS('MASTER MENU'!$A$5:$A$504,B11)=0,"BELUM ADA",INDEX('MASTER MENU'!$F$5:$F$504,MATCH(B11,'MASTER MENU'!$A$5:$A$504,0))))</f>
        <v>42000</v>
      </c>
      <c r="G11" s="19" t="n">
        <f aca="false">IF(A11="","",IF(OR(NOT(ISNUMBER(E11)),NOT(ISNUMBER(F11))),"BELUM LENGKAP",ROUND(E11*F11,0)))</f>
        <v>42000</v>
      </c>
      <c r="H11" s="15" t="n">
        <v>0</v>
      </c>
      <c r="I11" s="15" t="n">
        <v>0</v>
      </c>
      <c r="J11" s="19" t="n">
        <f aca="false">IF(A11="","",IF(NOT(ISNUMBER(G11)),"BELUM LENGKAP",G11-H11-I11))</f>
        <v>42000</v>
      </c>
      <c r="K11" s="15" t="n">
        <v>3550</v>
      </c>
      <c r="L11" s="19" t="n">
        <f aca="false">IF(A11="","",IF(NOT(ISNUMBER(K11)),"ISI SNAPSHOT HPP",ROUND(E11*K11,0)))</f>
        <v>3550</v>
      </c>
      <c r="M11" s="19" t="n">
        <f aca="false">IF(A11="","",IF(NOT(ISNUMBER(L11)),"BELUM LENGKAP",J11-L11))</f>
        <v>38450</v>
      </c>
      <c r="N11" s="19" t="n">
        <f aca="false">IF(B11="","",IF(COUNTIFS('RESEP DAN HPP'!$A$5:$A$504,B11,'RESEP DAN HPP'!$N$5:$N$504,"LENGKAP")=0,"BELUM LENGKAP",INDEX('RESEP DAN HPP'!$J$5:$J$504,MATCH(B11,'RESEP DAN HPP'!$A$5:$A$504,0))))</f>
        <v>3550</v>
      </c>
      <c r="O11" s="14" t="s">
        <v>288</v>
      </c>
      <c r="P11" s="27" t="n">
        <f aca="false">IF(A11="","",IF(COUNTIFS('TRANSAKSI PENJUALAN'!$A$5:$A$504,A11)=0,"BELUM ADA",INDEX('TRANSAKSI PENJUALAN'!$B$5:$B$504,MATCH(A11,'TRANSAKSI PENJUALAN'!$A$5:$A$504,0))))</f>
        <v>46325</v>
      </c>
      <c r="Q11" s="18" t="str">
        <f aca="false">IF(A11="","",IF(COUNTIFS('TRANSAKSI PENJUALAN'!$A$5:$A$504,A11)=0,"BELUM ADA",INDEX('TRANSAKSI PENJUALAN'!$M$5:$M$504,MATCH(A11,'TRANSAKSI PENJUALAN'!$A$5:$A$504,0))))</f>
        <v>Lunas</v>
      </c>
      <c r="R11" s="24" t="n">
        <f aca="false">IF(A11="","",COUNTIF($A$5:A11,A11))</f>
        <v>1</v>
      </c>
      <c r="S11" s="24" t="str">
        <f aca="false">IF(A11="","",A11&amp;"|"&amp;R11)</f>
        <v>CONTOH-O07|1</v>
      </c>
    </row>
    <row r="12" customFormat="false" ht="27" hidden="false" customHeight="true" outlineLevel="0" collapsed="false">
      <c r="A12" s="14" t="s">
        <v>230</v>
      </c>
      <c r="B12" s="14" t="s">
        <v>108</v>
      </c>
      <c r="C12" s="18" t="str">
        <f aca="false">IF(B12="","",IF(COUNTIFS('MASTER MENU'!$A$5:$A$504,B12)=0,"BELUM ADA",INDEX('MASTER MENU'!$B$5:$B$504,MATCH(B12,'MASTER MENU'!$A$5:$A$504,0))))</f>
        <v>Kentang Goreng</v>
      </c>
      <c r="D12" s="18" t="str">
        <f aca="false">IF(B12="","",IF(COUNTIFS('MASTER MENU'!$A$5:$A$504,B12)=0,"BELUM ADA",INDEX('MASTER MENU'!$E$5:$E$504,MATCH(B12,'MASTER MENU'!$A$5:$A$504,0))))</f>
        <v>Reguler</v>
      </c>
      <c r="E12" s="14" t="n">
        <v>1</v>
      </c>
      <c r="F12" s="19" t="n">
        <f aca="false">IF(B12="","",IF(COUNTIFS('MASTER MENU'!$A$5:$A$504,B12)=0,"BELUM ADA",INDEX('MASTER MENU'!$F$5:$F$504,MATCH(B12,'MASTER MENU'!$A$5:$A$504,0))))</f>
        <v>26000</v>
      </c>
      <c r="G12" s="19" t="n">
        <f aca="false">IF(A12="","",IF(OR(NOT(ISNUMBER(E12)),NOT(ISNUMBER(F12))),"BELUM LENGKAP",ROUND(E12*F12,0)))</f>
        <v>26000</v>
      </c>
      <c r="H12" s="15" t="n">
        <v>0</v>
      </c>
      <c r="I12" s="15" t="n">
        <v>0</v>
      </c>
      <c r="J12" s="19" t="n">
        <f aca="false">IF(A12="","",IF(NOT(ISNUMBER(G12)),"BELUM LENGKAP",G12-H12-I12))</f>
        <v>26000</v>
      </c>
      <c r="K12" s="15" t="n">
        <v>9000</v>
      </c>
      <c r="L12" s="19" t="n">
        <f aca="false">IF(A12="","",IF(NOT(ISNUMBER(K12)),"ISI SNAPSHOT HPP",ROUND(E12*K12,0)))</f>
        <v>9000</v>
      </c>
      <c r="M12" s="19" t="n">
        <f aca="false">IF(A12="","",IF(NOT(ISNUMBER(L12)),"BELUM LENGKAP",J12-L12))</f>
        <v>17000</v>
      </c>
      <c r="N12" s="19" t="n">
        <f aca="false">IF(B12="","",IF(COUNTIFS('RESEP DAN HPP'!$A$5:$A$504,B12,'RESEP DAN HPP'!$N$5:$N$504,"LENGKAP")=0,"BELUM LENGKAP",INDEX('RESEP DAN HPP'!$J$5:$J$504,MATCH(B12,'RESEP DAN HPP'!$A$5:$A$504,0))))</f>
        <v>9000</v>
      </c>
      <c r="O12" s="14" t="s">
        <v>288</v>
      </c>
      <c r="P12" s="27" t="n">
        <f aca="false">IF(A12="","",IF(COUNTIFS('TRANSAKSI PENJUALAN'!$A$5:$A$504,A12)=0,"BELUM ADA",INDEX('TRANSAKSI PENJUALAN'!$B$5:$B$504,MATCH(A12,'TRANSAKSI PENJUALAN'!$A$5:$A$504,0))))</f>
        <v>46325</v>
      </c>
      <c r="Q12" s="18" t="str">
        <f aca="false">IF(A12="","",IF(COUNTIFS('TRANSAKSI PENJUALAN'!$A$5:$A$504,A12)=0,"BELUM ADA",INDEX('TRANSAKSI PENJUALAN'!$M$5:$M$504,MATCH(A12,'TRANSAKSI PENJUALAN'!$A$5:$A$504,0))))</f>
        <v>Lunas</v>
      </c>
      <c r="R12" s="24" t="n">
        <f aca="false">IF(A12="","",COUNTIF($A$5:A12,A12))</f>
        <v>1</v>
      </c>
      <c r="S12" s="24" t="str">
        <f aca="false">IF(A12="","",A12&amp;"|"&amp;R12)</f>
        <v>CONTOH-O08|1</v>
      </c>
    </row>
    <row r="13" customFormat="false" ht="27" hidden="false" customHeight="true" outlineLevel="0" collapsed="false">
      <c r="A13" s="14" t="s">
        <v>232</v>
      </c>
      <c r="B13" s="14" t="s">
        <v>111</v>
      </c>
      <c r="C13" s="18" t="str">
        <f aca="false">IF(B13="","",IF(COUNTIFS('MASTER MENU'!$A$5:$A$504,B13)=0,"BELUM ADA",INDEX('MASTER MENU'!$B$5:$B$504,MATCH(B13,'MASTER MENU'!$A$5:$A$504,0))))</f>
        <v>Espresso</v>
      </c>
      <c r="D13" s="18" t="str">
        <f aca="false">IF(B13="","",IF(COUNTIFS('MASTER MENU'!$A$5:$A$504,B13)=0,"BELUM ADA",INDEX('MASTER MENU'!$E$5:$E$504,MATCH(B13,'MASTER MENU'!$A$5:$A$504,0))))</f>
        <v>Single</v>
      </c>
      <c r="E13" s="14" t="n">
        <v>1</v>
      </c>
      <c r="F13" s="19" t="n">
        <f aca="false">IF(B13="","",IF(COUNTIFS('MASTER MENU'!$A$5:$A$504,B13)=0,"BELUM ADA",INDEX('MASTER MENU'!$F$5:$F$504,MATCH(B13,'MASTER MENU'!$A$5:$A$504,0))))</f>
        <v>20000</v>
      </c>
      <c r="G13" s="19" t="n">
        <f aca="false">IF(A13="","",IF(OR(NOT(ISNUMBER(E13)),NOT(ISNUMBER(F13))),"BELUM LENGKAP",ROUND(E13*F13,0)))</f>
        <v>20000</v>
      </c>
      <c r="H13" s="15" t="n">
        <v>0</v>
      </c>
      <c r="I13" s="15" t="n">
        <v>0</v>
      </c>
      <c r="J13" s="19" t="n">
        <f aca="false">IF(A13="","",IF(NOT(ISNUMBER(G13)),"BELUM LENGKAP",G13-H13-I13))</f>
        <v>20000</v>
      </c>
      <c r="K13" s="15" t="n">
        <v>2700</v>
      </c>
      <c r="L13" s="19" t="n">
        <f aca="false">IF(A13="","",IF(NOT(ISNUMBER(K13)),"ISI SNAPSHOT HPP",ROUND(E13*K13,0)))</f>
        <v>2700</v>
      </c>
      <c r="M13" s="19" t="n">
        <f aca="false">IF(A13="","",IF(NOT(ISNUMBER(L13)),"BELUM LENGKAP",J13-L13))</f>
        <v>17300</v>
      </c>
      <c r="N13" s="19" t="n">
        <f aca="false">IF(B13="","",IF(COUNTIFS('RESEP DAN HPP'!$A$5:$A$504,B13,'RESEP DAN HPP'!$N$5:$N$504,"LENGKAP")=0,"BELUM LENGKAP",INDEX('RESEP DAN HPP'!$J$5:$J$504,MATCH(B13,'RESEP DAN HPP'!$A$5:$A$504,0))))</f>
        <v>2700</v>
      </c>
      <c r="O13" s="14" t="s">
        <v>288</v>
      </c>
      <c r="P13" s="27" t="n">
        <f aca="false">IF(A13="","",IF(COUNTIFS('TRANSAKSI PENJUALAN'!$A$5:$A$504,A13)=0,"BELUM ADA",INDEX('TRANSAKSI PENJUALAN'!$B$5:$B$504,MATCH(A13,'TRANSAKSI PENJUALAN'!$A$5:$A$504,0))))</f>
        <v>46325</v>
      </c>
      <c r="Q13" s="18" t="str">
        <f aca="false">IF(A13="","",IF(COUNTIFS('TRANSAKSI PENJUALAN'!$A$5:$A$504,A13)=0,"BELUM ADA",INDEX('TRANSAKSI PENJUALAN'!$M$5:$M$504,MATCH(A13,'TRANSAKSI PENJUALAN'!$A$5:$A$504,0))))</f>
        <v>Lunas</v>
      </c>
      <c r="R13" s="24" t="n">
        <f aca="false">IF(A13="","",COUNTIF($A$5:A13,A13))</f>
        <v>1</v>
      </c>
      <c r="S13" s="24" t="str">
        <f aca="false">IF(A13="","",A13&amp;"|"&amp;R13)</f>
        <v>CONTOH-O09|1</v>
      </c>
    </row>
    <row r="14" customFormat="false" ht="27" hidden="false" customHeight="true" outlineLevel="0" collapsed="false">
      <c r="A14" s="14" t="s">
        <v>234</v>
      </c>
      <c r="B14" s="14" t="s">
        <v>114</v>
      </c>
      <c r="C14" s="18" t="str">
        <f aca="false">IF(B14="","",IF(COUNTIFS('MASTER MENU'!$A$5:$A$504,B14)=0,"BELUM ADA",INDEX('MASTER MENU'!$B$5:$B$504,MATCH(B14,'MASTER MENU'!$A$5:$A$504,0))))</f>
        <v>Roti Bakar</v>
      </c>
      <c r="D14" s="18" t="str">
        <f aca="false">IF(B14="","",IF(COUNTIFS('MASTER MENU'!$A$5:$A$504,B14)=0,"BELUM ADA",INDEX('MASTER MENU'!$E$5:$E$504,MATCH(B14,'MASTER MENU'!$A$5:$A$504,0))))</f>
        <v>Reguler</v>
      </c>
      <c r="E14" s="14" t="n">
        <v>1</v>
      </c>
      <c r="F14" s="19" t="n">
        <f aca="false">IF(B14="","",IF(COUNTIFS('MASTER MENU'!$A$5:$A$504,B14)=0,"BELUM ADA",INDEX('MASTER MENU'!$F$5:$F$504,MATCH(B14,'MASTER MENU'!$A$5:$A$504,0))))</f>
        <v>24000</v>
      </c>
      <c r="G14" s="19" t="n">
        <f aca="false">IF(A14="","",IF(OR(NOT(ISNUMBER(E14)),NOT(ISNUMBER(F14))),"BELUM LENGKAP",ROUND(E14*F14,0)))</f>
        <v>24000</v>
      </c>
      <c r="H14" s="15" t="n">
        <v>0</v>
      </c>
      <c r="I14" s="15" t="n">
        <v>0</v>
      </c>
      <c r="J14" s="19" t="n">
        <f aca="false">IF(A14="","",IF(NOT(ISNUMBER(G14)),"BELUM LENGKAP",G14-H14-I14))</f>
        <v>24000</v>
      </c>
      <c r="K14" s="15" t="n">
        <v>5000</v>
      </c>
      <c r="L14" s="19" t="n">
        <f aca="false">IF(A14="","",IF(NOT(ISNUMBER(K14)),"ISI SNAPSHOT HPP",ROUND(E14*K14,0)))</f>
        <v>5000</v>
      </c>
      <c r="M14" s="19" t="n">
        <f aca="false">IF(A14="","",IF(NOT(ISNUMBER(L14)),"BELUM LENGKAP",J14-L14))</f>
        <v>19000</v>
      </c>
      <c r="N14" s="19" t="n">
        <f aca="false">IF(B14="","",IF(COUNTIFS('RESEP DAN HPP'!$A$5:$A$504,B14,'RESEP DAN HPP'!$N$5:$N$504,"LENGKAP")=0,"BELUM LENGKAP",INDEX('RESEP DAN HPP'!$J$5:$J$504,MATCH(B14,'RESEP DAN HPP'!$A$5:$A$504,0))))</f>
        <v>5000</v>
      </c>
      <c r="O14" s="14" t="s">
        <v>288</v>
      </c>
      <c r="P14" s="27" t="n">
        <f aca="false">IF(A14="","",IF(COUNTIFS('TRANSAKSI PENJUALAN'!$A$5:$A$504,A14)=0,"BELUM ADA",INDEX('TRANSAKSI PENJUALAN'!$B$5:$B$504,MATCH(A14,'TRANSAKSI PENJUALAN'!$A$5:$A$504,0))))</f>
        <v>46325</v>
      </c>
      <c r="Q14" s="18" t="str">
        <f aca="false">IF(A14="","",IF(COUNTIFS('TRANSAKSI PENJUALAN'!$A$5:$A$504,A14)=0,"BELUM ADA",INDEX('TRANSAKSI PENJUALAN'!$M$5:$M$504,MATCH(A14,'TRANSAKSI PENJUALAN'!$A$5:$A$504,0))))</f>
        <v>Lunas</v>
      </c>
      <c r="R14" s="24" t="n">
        <f aca="false">IF(A14="","",COUNTIF($A$5:A14,A14))</f>
        <v>1</v>
      </c>
      <c r="S14" s="24" t="str">
        <f aca="false">IF(A14="","",A14&amp;"|"&amp;R14)</f>
        <v>CONTOH-O10|1</v>
      </c>
    </row>
    <row r="15" customFormat="false" ht="27" hidden="false" customHeight="true" outlineLevel="0" collapsed="false">
      <c r="A15" s="14"/>
      <c r="B15" s="14"/>
      <c r="C15" s="18" t="str">
        <f aca="false">IF(B15="","",IF(COUNTIFS('MASTER MENU'!$A$5:$A$504,B15)=0,"BELUM ADA",INDEX('MASTER MENU'!$B$5:$B$504,MATCH(B15,'MASTER MENU'!$A$5:$A$504,0))))</f>
        <v/>
      </c>
      <c r="D15" s="18" t="str">
        <f aca="false">IF(B15="","",IF(COUNTIFS('MASTER MENU'!$A$5:$A$504,B15)=0,"BELUM ADA",INDEX('MASTER MENU'!$E$5:$E$504,MATCH(B15,'MASTER MENU'!$A$5:$A$504,0))))</f>
        <v/>
      </c>
      <c r="E15" s="14"/>
      <c r="F15" s="19" t="str">
        <f aca="false">IF(B15="","",IF(COUNTIFS('MASTER MENU'!$A$5:$A$504,B15)=0,"BELUM ADA",INDEX('MASTER MENU'!$F$5:$F$504,MATCH(B15,'MASTER MENU'!$A$5:$A$504,0))))</f>
        <v/>
      </c>
      <c r="G15" s="19" t="str">
        <f aca="false">IF(A15="","",IF(OR(NOT(ISNUMBER(E15)),NOT(ISNUMBER(F15))),"BELUM LENGKAP",ROUND(E15*F15,0)))</f>
        <v/>
      </c>
      <c r="H15" s="15"/>
      <c r="I15" s="15"/>
      <c r="J15" s="19" t="str">
        <f aca="false">IF(A15="","",IF(NOT(ISNUMBER(G15)),"BELUM LENGKAP",G15-H15-I15))</f>
        <v/>
      </c>
      <c r="K15" s="15"/>
      <c r="L15" s="19" t="str">
        <f aca="false">IF(A15="","",IF(NOT(ISNUMBER(K15)),"ISI SNAPSHOT HPP",ROUND(E15*K15,0)))</f>
        <v/>
      </c>
      <c r="M15" s="19" t="str">
        <f aca="false">IF(A15="","",IF(NOT(ISNUMBER(L15)),"BELUM LENGKAP",J15-L15))</f>
        <v/>
      </c>
      <c r="N15" s="19" t="str">
        <f aca="false">IF(B15="","",IF(COUNTIFS('RESEP DAN HPP'!$A$5:$A$504,B15,'RESEP DAN HPP'!$N$5:$N$504,"LENGKAP")=0,"BELUM LENGKAP",INDEX('RESEP DAN HPP'!$J$5:$J$504,MATCH(B15,'RESEP DAN HPP'!$A$5:$A$504,0))))</f>
        <v/>
      </c>
      <c r="O15" s="14"/>
      <c r="P15" s="27" t="str">
        <f aca="false">IF(A15="","",IF(COUNTIFS('TRANSAKSI PENJUALAN'!$A$5:$A$504,A15)=0,"BELUM ADA",INDEX('TRANSAKSI PENJUALAN'!$B$5:$B$504,MATCH(A15,'TRANSAKSI PENJUALAN'!$A$5:$A$504,0))))</f>
        <v/>
      </c>
      <c r="Q15" s="18" t="str">
        <f aca="false">IF(A15="","",IF(COUNTIFS('TRANSAKSI PENJUALAN'!$A$5:$A$504,A15)=0,"BELUM ADA",INDEX('TRANSAKSI PENJUALAN'!$M$5:$M$504,MATCH(A15,'TRANSAKSI PENJUALAN'!$A$5:$A$504,0))))</f>
        <v/>
      </c>
      <c r="R15" s="24" t="str">
        <f aca="false">IF(A15="","",COUNTIF($A$5:A15,A15))</f>
        <v/>
      </c>
      <c r="S15" s="24" t="str">
        <f aca="false">IF(A15="","",A15&amp;"|"&amp;R15)</f>
        <v/>
      </c>
    </row>
    <row r="16" customFormat="false" ht="27" hidden="false" customHeight="true" outlineLevel="0" collapsed="false">
      <c r="A16" s="14"/>
      <c r="B16" s="14"/>
      <c r="C16" s="18" t="str">
        <f aca="false">IF(B16="","",IF(COUNTIFS('MASTER MENU'!$A$5:$A$504,B16)=0,"BELUM ADA",INDEX('MASTER MENU'!$B$5:$B$504,MATCH(B16,'MASTER MENU'!$A$5:$A$504,0))))</f>
        <v/>
      </c>
      <c r="D16" s="18" t="str">
        <f aca="false">IF(B16="","",IF(COUNTIFS('MASTER MENU'!$A$5:$A$504,B16)=0,"BELUM ADA",INDEX('MASTER MENU'!$E$5:$E$504,MATCH(B16,'MASTER MENU'!$A$5:$A$504,0))))</f>
        <v/>
      </c>
      <c r="E16" s="14"/>
      <c r="F16" s="19" t="str">
        <f aca="false">IF(B16="","",IF(COUNTIFS('MASTER MENU'!$A$5:$A$504,B16)=0,"BELUM ADA",INDEX('MASTER MENU'!$F$5:$F$504,MATCH(B16,'MASTER MENU'!$A$5:$A$504,0))))</f>
        <v/>
      </c>
      <c r="G16" s="19" t="str">
        <f aca="false">IF(A16="","",IF(OR(NOT(ISNUMBER(E16)),NOT(ISNUMBER(F16))),"BELUM LENGKAP",ROUND(E16*F16,0)))</f>
        <v/>
      </c>
      <c r="H16" s="15"/>
      <c r="I16" s="15"/>
      <c r="J16" s="19" t="str">
        <f aca="false">IF(A16="","",IF(NOT(ISNUMBER(G16)),"BELUM LENGKAP",G16-H16-I16))</f>
        <v/>
      </c>
      <c r="K16" s="15"/>
      <c r="L16" s="19" t="str">
        <f aca="false">IF(A16="","",IF(NOT(ISNUMBER(K16)),"ISI SNAPSHOT HPP",ROUND(E16*K16,0)))</f>
        <v/>
      </c>
      <c r="M16" s="19" t="str">
        <f aca="false">IF(A16="","",IF(NOT(ISNUMBER(L16)),"BELUM LENGKAP",J16-L16))</f>
        <v/>
      </c>
      <c r="N16" s="19" t="str">
        <f aca="false">IF(B16="","",IF(COUNTIFS('RESEP DAN HPP'!$A$5:$A$504,B16,'RESEP DAN HPP'!$N$5:$N$504,"LENGKAP")=0,"BELUM LENGKAP",INDEX('RESEP DAN HPP'!$J$5:$J$504,MATCH(B16,'RESEP DAN HPP'!$A$5:$A$504,0))))</f>
        <v/>
      </c>
      <c r="O16" s="14"/>
      <c r="P16" s="27" t="str">
        <f aca="false">IF(A16="","",IF(COUNTIFS('TRANSAKSI PENJUALAN'!$A$5:$A$504,A16)=0,"BELUM ADA",INDEX('TRANSAKSI PENJUALAN'!$B$5:$B$504,MATCH(A16,'TRANSAKSI PENJUALAN'!$A$5:$A$504,0))))</f>
        <v/>
      </c>
      <c r="Q16" s="18" t="str">
        <f aca="false">IF(A16="","",IF(COUNTIFS('TRANSAKSI PENJUALAN'!$A$5:$A$504,A16)=0,"BELUM ADA",INDEX('TRANSAKSI PENJUALAN'!$M$5:$M$504,MATCH(A16,'TRANSAKSI PENJUALAN'!$A$5:$A$504,0))))</f>
        <v/>
      </c>
      <c r="R16" s="24" t="str">
        <f aca="false">IF(A16="","",COUNTIF($A$5:A16,A16))</f>
        <v/>
      </c>
      <c r="S16" s="24" t="str">
        <f aca="false">IF(A16="","",A16&amp;"|"&amp;R16)</f>
        <v/>
      </c>
    </row>
    <row r="17" customFormat="false" ht="27" hidden="false" customHeight="true" outlineLevel="0" collapsed="false">
      <c r="A17" s="14"/>
      <c r="B17" s="14"/>
      <c r="C17" s="18" t="str">
        <f aca="false">IF(B17="","",IF(COUNTIFS('MASTER MENU'!$A$5:$A$504,B17)=0,"BELUM ADA",INDEX('MASTER MENU'!$B$5:$B$504,MATCH(B17,'MASTER MENU'!$A$5:$A$504,0))))</f>
        <v/>
      </c>
      <c r="D17" s="18" t="str">
        <f aca="false">IF(B17="","",IF(COUNTIFS('MASTER MENU'!$A$5:$A$504,B17)=0,"BELUM ADA",INDEX('MASTER MENU'!$E$5:$E$504,MATCH(B17,'MASTER MENU'!$A$5:$A$504,0))))</f>
        <v/>
      </c>
      <c r="E17" s="14"/>
      <c r="F17" s="19" t="str">
        <f aca="false">IF(B17="","",IF(COUNTIFS('MASTER MENU'!$A$5:$A$504,B17)=0,"BELUM ADA",INDEX('MASTER MENU'!$F$5:$F$504,MATCH(B17,'MASTER MENU'!$A$5:$A$504,0))))</f>
        <v/>
      </c>
      <c r="G17" s="19" t="str">
        <f aca="false">IF(A17="","",IF(OR(NOT(ISNUMBER(E17)),NOT(ISNUMBER(F17))),"BELUM LENGKAP",ROUND(E17*F17,0)))</f>
        <v/>
      </c>
      <c r="H17" s="15"/>
      <c r="I17" s="15"/>
      <c r="J17" s="19" t="str">
        <f aca="false">IF(A17="","",IF(NOT(ISNUMBER(G17)),"BELUM LENGKAP",G17-H17-I17))</f>
        <v/>
      </c>
      <c r="K17" s="15"/>
      <c r="L17" s="19" t="str">
        <f aca="false">IF(A17="","",IF(NOT(ISNUMBER(K17)),"ISI SNAPSHOT HPP",ROUND(E17*K17,0)))</f>
        <v/>
      </c>
      <c r="M17" s="19" t="str">
        <f aca="false">IF(A17="","",IF(NOT(ISNUMBER(L17)),"BELUM LENGKAP",J17-L17))</f>
        <v/>
      </c>
      <c r="N17" s="19" t="str">
        <f aca="false">IF(B17="","",IF(COUNTIFS('RESEP DAN HPP'!$A$5:$A$504,B17,'RESEP DAN HPP'!$N$5:$N$504,"LENGKAP")=0,"BELUM LENGKAP",INDEX('RESEP DAN HPP'!$J$5:$J$504,MATCH(B17,'RESEP DAN HPP'!$A$5:$A$504,0))))</f>
        <v/>
      </c>
      <c r="O17" s="14"/>
      <c r="P17" s="27" t="str">
        <f aca="false">IF(A17="","",IF(COUNTIFS('TRANSAKSI PENJUALAN'!$A$5:$A$504,A17)=0,"BELUM ADA",INDEX('TRANSAKSI PENJUALAN'!$B$5:$B$504,MATCH(A17,'TRANSAKSI PENJUALAN'!$A$5:$A$504,0))))</f>
        <v/>
      </c>
      <c r="Q17" s="18" t="str">
        <f aca="false">IF(A17="","",IF(COUNTIFS('TRANSAKSI PENJUALAN'!$A$5:$A$504,A17)=0,"BELUM ADA",INDEX('TRANSAKSI PENJUALAN'!$M$5:$M$504,MATCH(A17,'TRANSAKSI PENJUALAN'!$A$5:$A$504,0))))</f>
        <v/>
      </c>
      <c r="R17" s="24" t="str">
        <f aca="false">IF(A17="","",COUNTIF($A$5:A17,A17))</f>
        <v/>
      </c>
      <c r="S17" s="24" t="str">
        <f aca="false">IF(A17="","",A17&amp;"|"&amp;R17)</f>
        <v/>
      </c>
    </row>
    <row r="18" customFormat="false" ht="27" hidden="false" customHeight="true" outlineLevel="0" collapsed="false">
      <c r="A18" s="14"/>
      <c r="B18" s="14"/>
      <c r="C18" s="18" t="str">
        <f aca="false">IF(B18="","",IF(COUNTIFS('MASTER MENU'!$A$5:$A$504,B18)=0,"BELUM ADA",INDEX('MASTER MENU'!$B$5:$B$504,MATCH(B18,'MASTER MENU'!$A$5:$A$504,0))))</f>
        <v/>
      </c>
      <c r="D18" s="18" t="str">
        <f aca="false">IF(B18="","",IF(COUNTIFS('MASTER MENU'!$A$5:$A$504,B18)=0,"BELUM ADA",INDEX('MASTER MENU'!$E$5:$E$504,MATCH(B18,'MASTER MENU'!$A$5:$A$504,0))))</f>
        <v/>
      </c>
      <c r="E18" s="14"/>
      <c r="F18" s="19" t="str">
        <f aca="false">IF(B18="","",IF(COUNTIFS('MASTER MENU'!$A$5:$A$504,B18)=0,"BELUM ADA",INDEX('MASTER MENU'!$F$5:$F$504,MATCH(B18,'MASTER MENU'!$A$5:$A$504,0))))</f>
        <v/>
      </c>
      <c r="G18" s="19" t="str">
        <f aca="false">IF(A18="","",IF(OR(NOT(ISNUMBER(E18)),NOT(ISNUMBER(F18))),"BELUM LENGKAP",ROUND(E18*F18,0)))</f>
        <v/>
      </c>
      <c r="H18" s="15"/>
      <c r="I18" s="15"/>
      <c r="J18" s="19" t="str">
        <f aca="false">IF(A18="","",IF(NOT(ISNUMBER(G18)),"BELUM LENGKAP",G18-H18-I18))</f>
        <v/>
      </c>
      <c r="K18" s="15"/>
      <c r="L18" s="19" t="str">
        <f aca="false">IF(A18="","",IF(NOT(ISNUMBER(K18)),"ISI SNAPSHOT HPP",ROUND(E18*K18,0)))</f>
        <v/>
      </c>
      <c r="M18" s="19" t="str">
        <f aca="false">IF(A18="","",IF(NOT(ISNUMBER(L18)),"BELUM LENGKAP",J18-L18))</f>
        <v/>
      </c>
      <c r="N18" s="19" t="str">
        <f aca="false">IF(B18="","",IF(COUNTIFS('RESEP DAN HPP'!$A$5:$A$504,B18,'RESEP DAN HPP'!$N$5:$N$504,"LENGKAP")=0,"BELUM LENGKAP",INDEX('RESEP DAN HPP'!$J$5:$J$504,MATCH(B18,'RESEP DAN HPP'!$A$5:$A$504,0))))</f>
        <v/>
      </c>
      <c r="O18" s="14"/>
      <c r="P18" s="27" t="str">
        <f aca="false">IF(A18="","",IF(COUNTIFS('TRANSAKSI PENJUALAN'!$A$5:$A$504,A18)=0,"BELUM ADA",INDEX('TRANSAKSI PENJUALAN'!$B$5:$B$504,MATCH(A18,'TRANSAKSI PENJUALAN'!$A$5:$A$504,0))))</f>
        <v/>
      </c>
      <c r="Q18" s="18" t="str">
        <f aca="false">IF(A18="","",IF(COUNTIFS('TRANSAKSI PENJUALAN'!$A$5:$A$504,A18)=0,"BELUM ADA",INDEX('TRANSAKSI PENJUALAN'!$M$5:$M$504,MATCH(A18,'TRANSAKSI PENJUALAN'!$A$5:$A$504,0))))</f>
        <v/>
      </c>
      <c r="R18" s="24" t="str">
        <f aca="false">IF(A18="","",COUNTIF($A$5:A18,A18))</f>
        <v/>
      </c>
      <c r="S18" s="24" t="str">
        <f aca="false">IF(A18="","",A18&amp;"|"&amp;R18)</f>
        <v/>
      </c>
    </row>
    <row r="19" customFormat="false" ht="27" hidden="false" customHeight="true" outlineLevel="0" collapsed="false">
      <c r="A19" s="14"/>
      <c r="B19" s="14"/>
      <c r="C19" s="18" t="str">
        <f aca="false">IF(B19="","",IF(COUNTIFS('MASTER MENU'!$A$5:$A$504,B19)=0,"BELUM ADA",INDEX('MASTER MENU'!$B$5:$B$504,MATCH(B19,'MASTER MENU'!$A$5:$A$504,0))))</f>
        <v/>
      </c>
      <c r="D19" s="18" t="str">
        <f aca="false">IF(B19="","",IF(COUNTIFS('MASTER MENU'!$A$5:$A$504,B19)=0,"BELUM ADA",INDEX('MASTER MENU'!$E$5:$E$504,MATCH(B19,'MASTER MENU'!$A$5:$A$504,0))))</f>
        <v/>
      </c>
      <c r="E19" s="14"/>
      <c r="F19" s="19" t="str">
        <f aca="false">IF(B19="","",IF(COUNTIFS('MASTER MENU'!$A$5:$A$504,B19)=0,"BELUM ADA",INDEX('MASTER MENU'!$F$5:$F$504,MATCH(B19,'MASTER MENU'!$A$5:$A$504,0))))</f>
        <v/>
      </c>
      <c r="G19" s="19" t="str">
        <f aca="false">IF(A19="","",IF(OR(NOT(ISNUMBER(E19)),NOT(ISNUMBER(F19))),"BELUM LENGKAP",ROUND(E19*F19,0)))</f>
        <v/>
      </c>
      <c r="H19" s="15"/>
      <c r="I19" s="15"/>
      <c r="J19" s="19" t="str">
        <f aca="false">IF(A19="","",IF(NOT(ISNUMBER(G19)),"BELUM LENGKAP",G19-H19-I19))</f>
        <v/>
      </c>
      <c r="K19" s="15"/>
      <c r="L19" s="19" t="str">
        <f aca="false">IF(A19="","",IF(NOT(ISNUMBER(K19)),"ISI SNAPSHOT HPP",ROUND(E19*K19,0)))</f>
        <v/>
      </c>
      <c r="M19" s="19" t="str">
        <f aca="false">IF(A19="","",IF(NOT(ISNUMBER(L19)),"BELUM LENGKAP",J19-L19))</f>
        <v/>
      </c>
      <c r="N19" s="19" t="str">
        <f aca="false">IF(B19="","",IF(COUNTIFS('RESEP DAN HPP'!$A$5:$A$504,B19,'RESEP DAN HPP'!$N$5:$N$504,"LENGKAP")=0,"BELUM LENGKAP",INDEX('RESEP DAN HPP'!$J$5:$J$504,MATCH(B19,'RESEP DAN HPP'!$A$5:$A$504,0))))</f>
        <v/>
      </c>
      <c r="O19" s="14"/>
      <c r="P19" s="27" t="str">
        <f aca="false">IF(A19="","",IF(COUNTIFS('TRANSAKSI PENJUALAN'!$A$5:$A$504,A19)=0,"BELUM ADA",INDEX('TRANSAKSI PENJUALAN'!$B$5:$B$504,MATCH(A19,'TRANSAKSI PENJUALAN'!$A$5:$A$504,0))))</f>
        <v/>
      </c>
      <c r="Q19" s="18" t="str">
        <f aca="false">IF(A19="","",IF(COUNTIFS('TRANSAKSI PENJUALAN'!$A$5:$A$504,A19)=0,"BELUM ADA",INDEX('TRANSAKSI PENJUALAN'!$M$5:$M$504,MATCH(A19,'TRANSAKSI PENJUALAN'!$A$5:$A$504,0))))</f>
        <v/>
      </c>
      <c r="R19" s="24" t="str">
        <f aca="false">IF(A19="","",COUNTIF($A$5:A19,A19))</f>
        <v/>
      </c>
      <c r="S19" s="24" t="str">
        <f aca="false">IF(A19="","",A19&amp;"|"&amp;R19)</f>
        <v/>
      </c>
    </row>
    <row r="20" customFormat="false" ht="27" hidden="false" customHeight="true" outlineLevel="0" collapsed="false">
      <c r="A20" s="14"/>
      <c r="B20" s="14"/>
      <c r="C20" s="18" t="str">
        <f aca="false">IF(B20="","",IF(COUNTIFS('MASTER MENU'!$A$5:$A$504,B20)=0,"BELUM ADA",INDEX('MASTER MENU'!$B$5:$B$504,MATCH(B20,'MASTER MENU'!$A$5:$A$504,0))))</f>
        <v/>
      </c>
      <c r="D20" s="18" t="str">
        <f aca="false">IF(B20="","",IF(COUNTIFS('MASTER MENU'!$A$5:$A$504,B20)=0,"BELUM ADA",INDEX('MASTER MENU'!$E$5:$E$504,MATCH(B20,'MASTER MENU'!$A$5:$A$504,0))))</f>
        <v/>
      </c>
      <c r="E20" s="14"/>
      <c r="F20" s="19" t="str">
        <f aca="false">IF(B20="","",IF(COUNTIFS('MASTER MENU'!$A$5:$A$504,B20)=0,"BELUM ADA",INDEX('MASTER MENU'!$F$5:$F$504,MATCH(B20,'MASTER MENU'!$A$5:$A$504,0))))</f>
        <v/>
      </c>
      <c r="G20" s="19" t="str">
        <f aca="false">IF(A20="","",IF(OR(NOT(ISNUMBER(E20)),NOT(ISNUMBER(F20))),"BELUM LENGKAP",ROUND(E20*F20,0)))</f>
        <v/>
      </c>
      <c r="H20" s="15"/>
      <c r="I20" s="15"/>
      <c r="J20" s="19" t="str">
        <f aca="false">IF(A20="","",IF(NOT(ISNUMBER(G20)),"BELUM LENGKAP",G20-H20-I20))</f>
        <v/>
      </c>
      <c r="K20" s="15"/>
      <c r="L20" s="19" t="str">
        <f aca="false">IF(A20="","",IF(NOT(ISNUMBER(K20)),"ISI SNAPSHOT HPP",ROUND(E20*K20,0)))</f>
        <v/>
      </c>
      <c r="M20" s="19" t="str">
        <f aca="false">IF(A20="","",IF(NOT(ISNUMBER(L20)),"BELUM LENGKAP",J20-L20))</f>
        <v/>
      </c>
      <c r="N20" s="19" t="str">
        <f aca="false">IF(B20="","",IF(COUNTIFS('RESEP DAN HPP'!$A$5:$A$504,B20,'RESEP DAN HPP'!$N$5:$N$504,"LENGKAP")=0,"BELUM LENGKAP",INDEX('RESEP DAN HPP'!$J$5:$J$504,MATCH(B20,'RESEP DAN HPP'!$A$5:$A$504,0))))</f>
        <v/>
      </c>
      <c r="O20" s="14"/>
      <c r="P20" s="27" t="str">
        <f aca="false">IF(A20="","",IF(COUNTIFS('TRANSAKSI PENJUALAN'!$A$5:$A$504,A20)=0,"BELUM ADA",INDEX('TRANSAKSI PENJUALAN'!$B$5:$B$504,MATCH(A20,'TRANSAKSI PENJUALAN'!$A$5:$A$504,0))))</f>
        <v/>
      </c>
      <c r="Q20" s="18" t="str">
        <f aca="false">IF(A20="","",IF(COUNTIFS('TRANSAKSI PENJUALAN'!$A$5:$A$504,A20)=0,"BELUM ADA",INDEX('TRANSAKSI PENJUALAN'!$M$5:$M$504,MATCH(A20,'TRANSAKSI PENJUALAN'!$A$5:$A$504,0))))</f>
        <v/>
      </c>
      <c r="R20" s="24" t="str">
        <f aca="false">IF(A20="","",COUNTIF($A$5:A20,A20))</f>
        <v/>
      </c>
      <c r="S20" s="24" t="str">
        <f aca="false">IF(A20="","",A20&amp;"|"&amp;R20)</f>
        <v/>
      </c>
    </row>
    <row r="21" customFormat="false" ht="27" hidden="false" customHeight="true" outlineLevel="0" collapsed="false">
      <c r="A21" s="14"/>
      <c r="B21" s="14"/>
      <c r="C21" s="18" t="str">
        <f aca="false">IF(B21="","",IF(COUNTIFS('MASTER MENU'!$A$5:$A$504,B21)=0,"BELUM ADA",INDEX('MASTER MENU'!$B$5:$B$504,MATCH(B21,'MASTER MENU'!$A$5:$A$504,0))))</f>
        <v/>
      </c>
      <c r="D21" s="18" t="str">
        <f aca="false">IF(B21="","",IF(COUNTIFS('MASTER MENU'!$A$5:$A$504,B21)=0,"BELUM ADA",INDEX('MASTER MENU'!$E$5:$E$504,MATCH(B21,'MASTER MENU'!$A$5:$A$504,0))))</f>
        <v/>
      </c>
      <c r="E21" s="14"/>
      <c r="F21" s="19" t="str">
        <f aca="false">IF(B21="","",IF(COUNTIFS('MASTER MENU'!$A$5:$A$504,B21)=0,"BELUM ADA",INDEX('MASTER MENU'!$F$5:$F$504,MATCH(B21,'MASTER MENU'!$A$5:$A$504,0))))</f>
        <v/>
      </c>
      <c r="G21" s="19" t="str">
        <f aca="false">IF(A21="","",IF(OR(NOT(ISNUMBER(E21)),NOT(ISNUMBER(F21))),"BELUM LENGKAP",ROUND(E21*F21,0)))</f>
        <v/>
      </c>
      <c r="H21" s="15"/>
      <c r="I21" s="15"/>
      <c r="J21" s="19" t="str">
        <f aca="false">IF(A21="","",IF(NOT(ISNUMBER(G21)),"BELUM LENGKAP",G21-H21-I21))</f>
        <v/>
      </c>
      <c r="K21" s="15"/>
      <c r="L21" s="19" t="str">
        <f aca="false">IF(A21="","",IF(NOT(ISNUMBER(K21)),"ISI SNAPSHOT HPP",ROUND(E21*K21,0)))</f>
        <v/>
      </c>
      <c r="M21" s="19" t="str">
        <f aca="false">IF(A21="","",IF(NOT(ISNUMBER(L21)),"BELUM LENGKAP",J21-L21))</f>
        <v/>
      </c>
      <c r="N21" s="19" t="str">
        <f aca="false">IF(B21="","",IF(COUNTIFS('RESEP DAN HPP'!$A$5:$A$504,B21,'RESEP DAN HPP'!$N$5:$N$504,"LENGKAP")=0,"BELUM LENGKAP",INDEX('RESEP DAN HPP'!$J$5:$J$504,MATCH(B21,'RESEP DAN HPP'!$A$5:$A$504,0))))</f>
        <v/>
      </c>
      <c r="O21" s="14"/>
      <c r="P21" s="27" t="str">
        <f aca="false">IF(A21="","",IF(COUNTIFS('TRANSAKSI PENJUALAN'!$A$5:$A$504,A21)=0,"BELUM ADA",INDEX('TRANSAKSI PENJUALAN'!$B$5:$B$504,MATCH(A21,'TRANSAKSI PENJUALAN'!$A$5:$A$504,0))))</f>
        <v/>
      </c>
      <c r="Q21" s="18" t="str">
        <f aca="false">IF(A21="","",IF(COUNTIFS('TRANSAKSI PENJUALAN'!$A$5:$A$504,A21)=0,"BELUM ADA",INDEX('TRANSAKSI PENJUALAN'!$M$5:$M$504,MATCH(A21,'TRANSAKSI PENJUALAN'!$A$5:$A$504,0))))</f>
        <v/>
      </c>
      <c r="R21" s="24" t="str">
        <f aca="false">IF(A21="","",COUNTIF($A$5:A21,A21))</f>
        <v/>
      </c>
      <c r="S21" s="24" t="str">
        <f aca="false">IF(A21="","",A21&amp;"|"&amp;R21)</f>
        <v/>
      </c>
    </row>
    <row r="22" customFormat="false" ht="27" hidden="false" customHeight="true" outlineLevel="0" collapsed="false">
      <c r="A22" s="14"/>
      <c r="B22" s="14"/>
      <c r="C22" s="18" t="str">
        <f aca="false">IF(B22="","",IF(COUNTIFS('MASTER MENU'!$A$5:$A$504,B22)=0,"BELUM ADA",INDEX('MASTER MENU'!$B$5:$B$504,MATCH(B22,'MASTER MENU'!$A$5:$A$504,0))))</f>
        <v/>
      </c>
      <c r="D22" s="18" t="str">
        <f aca="false">IF(B22="","",IF(COUNTIFS('MASTER MENU'!$A$5:$A$504,B22)=0,"BELUM ADA",INDEX('MASTER MENU'!$E$5:$E$504,MATCH(B22,'MASTER MENU'!$A$5:$A$504,0))))</f>
        <v/>
      </c>
      <c r="E22" s="14"/>
      <c r="F22" s="19" t="str">
        <f aca="false">IF(B22="","",IF(COUNTIFS('MASTER MENU'!$A$5:$A$504,B22)=0,"BELUM ADA",INDEX('MASTER MENU'!$F$5:$F$504,MATCH(B22,'MASTER MENU'!$A$5:$A$504,0))))</f>
        <v/>
      </c>
      <c r="G22" s="19" t="str">
        <f aca="false">IF(A22="","",IF(OR(NOT(ISNUMBER(E22)),NOT(ISNUMBER(F22))),"BELUM LENGKAP",ROUND(E22*F22,0)))</f>
        <v/>
      </c>
      <c r="H22" s="15"/>
      <c r="I22" s="15"/>
      <c r="J22" s="19" t="str">
        <f aca="false">IF(A22="","",IF(NOT(ISNUMBER(G22)),"BELUM LENGKAP",G22-H22-I22))</f>
        <v/>
      </c>
      <c r="K22" s="15"/>
      <c r="L22" s="19" t="str">
        <f aca="false">IF(A22="","",IF(NOT(ISNUMBER(K22)),"ISI SNAPSHOT HPP",ROUND(E22*K22,0)))</f>
        <v/>
      </c>
      <c r="M22" s="19" t="str">
        <f aca="false">IF(A22="","",IF(NOT(ISNUMBER(L22)),"BELUM LENGKAP",J22-L22))</f>
        <v/>
      </c>
      <c r="N22" s="19" t="str">
        <f aca="false">IF(B22="","",IF(COUNTIFS('RESEP DAN HPP'!$A$5:$A$504,B22,'RESEP DAN HPP'!$N$5:$N$504,"LENGKAP")=0,"BELUM LENGKAP",INDEX('RESEP DAN HPP'!$J$5:$J$504,MATCH(B22,'RESEP DAN HPP'!$A$5:$A$504,0))))</f>
        <v/>
      </c>
      <c r="O22" s="14"/>
      <c r="P22" s="27" t="str">
        <f aca="false">IF(A22="","",IF(COUNTIFS('TRANSAKSI PENJUALAN'!$A$5:$A$504,A22)=0,"BELUM ADA",INDEX('TRANSAKSI PENJUALAN'!$B$5:$B$504,MATCH(A22,'TRANSAKSI PENJUALAN'!$A$5:$A$504,0))))</f>
        <v/>
      </c>
      <c r="Q22" s="18" t="str">
        <f aca="false">IF(A22="","",IF(COUNTIFS('TRANSAKSI PENJUALAN'!$A$5:$A$504,A22)=0,"BELUM ADA",INDEX('TRANSAKSI PENJUALAN'!$M$5:$M$504,MATCH(A22,'TRANSAKSI PENJUALAN'!$A$5:$A$504,0))))</f>
        <v/>
      </c>
      <c r="R22" s="24" t="str">
        <f aca="false">IF(A22="","",COUNTIF($A$5:A22,A22))</f>
        <v/>
      </c>
      <c r="S22" s="24" t="str">
        <f aca="false">IF(A22="","",A22&amp;"|"&amp;R22)</f>
        <v/>
      </c>
    </row>
    <row r="23" customFormat="false" ht="27" hidden="false" customHeight="true" outlineLevel="0" collapsed="false">
      <c r="A23" s="14"/>
      <c r="B23" s="14"/>
      <c r="C23" s="18" t="str">
        <f aca="false">IF(B23="","",IF(COUNTIFS('MASTER MENU'!$A$5:$A$504,B23)=0,"BELUM ADA",INDEX('MASTER MENU'!$B$5:$B$504,MATCH(B23,'MASTER MENU'!$A$5:$A$504,0))))</f>
        <v/>
      </c>
      <c r="D23" s="18" t="str">
        <f aca="false">IF(B23="","",IF(COUNTIFS('MASTER MENU'!$A$5:$A$504,B23)=0,"BELUM ADA",INDEX('MASTER MENU'!$E$5:$E$504,MATCH(B23,'MASTER MENU'!$A$5:$A$504,0))))</f>
        <v/>
      </c>
      <c r="E23" s="14"/>
      <c r="F23" s="19" t="str">
        <f aca="false">IF(B23="","",IF(COUNTIFS('MASTER MENU'!$A$5:$A$504,B23)=0,"BELUM ADA",INDEX('MASTER MENU'!$F$5:$F$504,MATCH(B23,'MASTER MENU'!$A$5:$A$504,0))))</f>
        <v/>
      </c>
      <c r="G23" s="19" t="str">
        <f aca="false">IF(A23="","",IF(OR(NOT(ISNUMBER(E23)),NOT(ISNUMBER(F23))),"BELUM LENGKAP",ROUND(E23*F23,0)))</f>
        <v/>
      </c>
      <c r="H23" s="15"/>
      <c r="I23" s="15"/>
      <c r="J23" s="19" t="str">
        <f aca="false">IF(A23="","",IF(NOT(ISNUMBER(G23)),"BELUM LENGKAP",G23-H23-I23))</f>
        <v/>
      </c>
      <c r="K23" s="15"/>
      <c r="L23" s="19" t="str">
        <f aca="false">IF(A23="","",IF(NOT(ISNUMBER(K23)),"ISI SNAPSHOT HPP",ROUND(E23*K23,0)))</f>
        <v/>
      </c>
      <c r="M23" s="19" t="str">
        <f aca="false">IF(A23="","",IF(NOT(ISNUMBER(L23)),"BELUM LENGKAP",J23-L23))</f>
        <v/>
      </c>
      <c r="N23" s="19" t="str">
        <f aca="false">IF(B23="","",IF(COUNTIFS('RESEP DAN HPP'!$A$5:$A$504,B23,'RESEP DAN HPP'!$N$5:$N$504,"LENGKAP")=0,"BELUM LENGKAP",INDEX('RESEP DAN HPP'!$J$5:$J$504,MATCH(B23,'RESEP DAN HPP'!$A$5:$A$504,0))))</f>
        <v/>
      </c>
      <c r="O23" s="14"/>
      <c r="P23" s="27" t="str">
        <f aca="false">IF(A23="","",IF(COUNTIFS('TRANSAKSI PENJUALAN'!$A$5:$A$504,A23)=0,"BELUM ADA",INDEX('TRANSAKSI PENJUALAN'!$B$5:$B$504,MATCH(A23,'TRANSAKSI PENJUALAN'!$A$5:$A$504,0))))</f>
        <v/>
      </c>
      <c r="Q23" s="18" t="str">
        <f aca="false">IF(A23="","",IF(COUNTIFS('TRANSAKSI PENJUALAN'!$A$5:$A$504,A23)=0,"BELUM ADA",INDEX('TRANSAKSI PENJUALAN'!$M$5:$M$504,MATCH(A23,'TRANSAKSI PENJUALAN'!$A$5:$A$504,0))))</f>
        <v/>
      </c>
      <c r="R23" s="24" t="str">
        <f aca="false">IF(A23="","",COUNTIF($A$5:A23,A23))</f>
        <v/>
      </c>
      <c r="S23" s="24" t="str">
        <f aca="false">IF(A23="","",A23&amp;"|"&amp;R23)</f>
        <v/>
      </c>
    </row>
    <row r="24" customFormat="false" ht="27" hidden="false" customHeight="true" outlineLevel="0" collapsed="false">
      <c r="A24" s="14"/>
      <c r="B24" s="14"/>
      <c r="C24" s="18" t="str">
        <f aca="false">IF(B24="","",IF(COUNTIFS('MASTER MENU'!$A$5:$A$504,B24)=0,"BELUM ADA",INDEX('MASTER MENU'!$B$5:$B$504,MATCH(B24,'MASTER MENU'!$A$5:$A$504,0))))</f>
        <v/>
      </c>
      <c r="D24" s="18" t="str">
        <f aca="false">IF(B24="","",IF(COUNTIFS('MASTER MENU'!$A$5:$A$504,B24)=0,"BELUM ADA",INDEX('MASTER MENU'!$E$5:$E$504,MATCH(B24,'MASTER MENU'!$A$5:$A$504,0))))</f>
        <v/>
      </c>
      <c r="E24" s="14"/>
      <c r="F24" s="19" t="str">
        <f aca="false">IF(B24="","",IF(COUNTIFS('MASTER MENU'!$A$5:$A$504,B24)=0,"BELUM ADA",INDEX('MASTER MENU'!$F$5:$F$504,MATCH(B24,'MASTER MENU'!$A$5:$A$504,0))))</f>
        <v/>
      </c>
      <c r="G24" s="19" t="str">
        <f aca="false">IF(A24="","",IF(OR(NOT(ISNUMBER(E24)),NOT(ISNUMBER(F24))),"BELUM LENGKAP",ROUND(E24*F24,0)))</f>
        <v/>
      </c>
      <c r="H24" s="15"/>
      <c r="I24" s="15"/>
      <c r="J24" s="19" t="str">
        <f aca="false">IF(A24="","",IF(NOT(ISNUMBER(G24)),"BELUM LENGKAP",G24-H24-I24))</f>
        <v/>
      </c>
      <c r="K24" s="15"/>
      <c r="L24" s="19" t="str">
        <f aca="false">IF(A24="","",IF(NOT(ISNUMBER(K24)),"ISI SNAPSHOT HPP",ROUND(E24*K24,0)))</f>
        <v/>
      </c>
      <c r="M24" s="19" t="str">
        <f aca="false">IF(A24="","",IF(NOT(ISNUMBER(L24)),"BELUM LENGKAP",J24-L24))</f>
        <v/>
      </c>
      <c r="N24" s="19" t="str">
        <f aca="false">IF(B24="","",IF(COUNTIFS('RESEP DAN HPP'!$A$5:$A$504,B24,'RESEP DAN HPP'!$N$5:$N$504,"LENGKAP")=0,"BELUM LENGKAP",INDEX('RESEP DAN HPP'!$J$5:$J$504,MATCH(B24,'RESEP DAN HPP'!$A$5:$A$504,0))))</f>
        <v/>
      </c>
      <c r="O24" s="14"/>
      <c r="P24" s="27" t="str">
        <f aca="false">IF(A24="","",IF(COUNTIFS('TRANSAKSI PENJUALAN'!$A$5:$A$504,A24)=0,"BELUM ADA",INDEX('TRANSAKSI PENJUALAN'!$B$5:$B$504,MATCH(A24,'TRANSAKSI PENJUALAN'!$A$5:$A$504,0))))</f>
        <v/>
      </c>
      <c r="Q24" s="18" t="str">
        <f aca="false">IF(A24="","",IF(COUNTIFS('TRANSAKSI PENJUALAN'!$A$5:$A$504,A24)=0,"BELUM ADA",INDEX('TRANSAKSI PENJUALAN'!$M$5:$M$504,MATCH(A24,'TRANSAKSI PENJUALAN'!$A$5:$A$504,0))))</f>
        <v/>
      </c>
      <c r="R24" s="24" t="str">
        <f aca="false">IF(A24="","",COUNTIF($A$5:A24,A24))</f>
        <v/>
      </c>
      <c r="S24" s="24" t="str">
        <f aca="false">IF(A24="","",A24&amp;"|"&amp;R24)</f>
        <v/>
      </c>
    </row>
    <row r="25" customFormat="false" ht="27" hidden="false" customHeight="true" outlineLevel="0" collapsed="false">
      <c r="A25" s="14"/>
      <c r="B25" s="14"/>
      <c r="C25" s="18" t="str">
        <f aca="false">IF(B25="","",IF(COUNTIFS('MASTER MENU'!$A$5:$A$504,B25)=0,"BELUM ADA",INDEX('MASTER MENU'!$B$5:$B$504,MATCH(B25,'MASTER MENU'!$A$5:$A$504,0))))</f>
        <v/>
      </c>
      <c r="D25" s="18" t="str">
        <f aca="false">IF(B25="","",IF(COUNTIFS('MASTER MENU'!$A$5:$A$504,B25)=0,"BELUM ADA",INDEX('MASTER MENU'!$E$5:$E$504,MATCH(B25,'MASTER MENU'!$A$5:$A$504,0))))</f>
        <v/>
      </c>
      <c r="E25" s="14"/>
      <c r="F25" s="19" t="str">
        <f aca="false">IF(B25="","",IF(COUNTIFS('MASTER MENU'!$A$5:$A$504,B25)=0,"BELUM ADA",INDEX('MASTER MENU'!$F$5:$F$504,MATCH(B25,'MASTER MENU'!$A$5:$A$504,0))))</f>
        <v/>
      </c>
      <c r="G25" s="19" t="str">
        <f aca="false">IF(A25="","",IF(OR(NOT(ISNUMBER(E25)),NOT(ISNUMBER(F25))),"BELUM LENGKAP",ROUND(E25*F25,0)))</f>
        <v/>
      </c>
      <c r="H25" s="15"/>
      <c r="I25" s="15"/>
      <c r="J25" s="19" t="str">
        <f aca="false">IF(A25="","",IF(NOT(ISNUMBER(G25)),"BELUM LENGKAP",G25-H25-I25))</f>
        <v/>
      </c>
      <c r="K25" s="15"/>
      <c r="L25" s="19" t="str">
        <f aca="false">IF(A25="","",IF(NOT(ISNUMBER(K25)),"ISI SNAPSHOT HPP",ROUND(E25*K25,0)))</f>
        <v/>
      </c>
      <c r="M25" s="19" t="str">
        <f aca="false">IF(A25="","",IF(NOT(ISNUMBER(L25)),"BELUM LENGKAP",J25-L25))</f>
        <v/>
      </c>
      <c r="N25" s="19" t="str">
        <f aca="false">IF(B25="","",IF(COUNTIFS('RESEP DAN HPP'!$A$5:$A$504,B25,'RESEP DAN HPP'!$N$5:$N$504,"LENGKAP")=0,"BELUM LENGKAP",INDEX('RESEP DAN HPP'!$J$5:$J$504,MATCH(B25,'RESEP DAN HPP'!$A$5:$A$504,0))))</f>
        <v/>
      </c>
      <c r="O25" s="14"/>
      <c r="P25" s="27" t="str">
        <f aca="false">IF(A25="","",IF(COUNTIFS('TRANSAKSI PENJUALAN'!$A$5:$A$504,A25)=0,"BELUM ADA",INDEX('TRANSAKSI PENJUALAN'!$B$5:$B$504,MATCH(A25,'TRANSAKSI PENJUALAN'!$A$5:$A$504,0))))</f>
        <v/>
      </c>
      <c r="Q25" s="18" t="str">
        <f aca="false">IF(A25="","",IF(COUNTIFS('TRANSAKSI PENJUALAN'!$A$5:$A$504,A25)=0,"BELUM ADA",INDEX('TRANSAKSI PENJUALAN'!$M$5:$M$504,MATCH(A25,'TRANSAKSI PENJUALAN'!$A$5:$A$504,0))))</f>
        <v/>
      </c>
      <c r="R25" s="24" t="str">
        <f aca="false">IF(A25="","",COUNTIF($A$5:A25,A25))</f>
        <v/>
      </c>
      <c r="S25" s="24" t="str">
        <f aca="false">IF(A25="","",A25&amp;"|"&amp;R25)</f>
        <v/>
      </c>
    </row>
    <row r="26" customFormat="false" ht="27" hidden="false" customHeight="true" outlineLevel="0" collapsed="false">
      <c r="A26" s="14"/>
      <c r="B26" s="14"/>
      <c r="C26" s="18" t="str">
        <f aca="false">IF(B26="","",IF(COUNTIFS('MASTER MENU'!$A$5:$A$504,B26)=0,"BELUM ADA",INDEX('MASTER MENU'!$B$5:$B$504,MATCH(B26,'MASTER MENU'!$A$5:$A$504,0))))</f>
        <v/>
      </c>
      <c r="D26" s="18" t="str">
        <f aca="false">IF(B26="","",IF(COUNTIFS('MASTER MENU'!$A$5:$A$504,B26)=0,"BELUM ADA",INDEX('MASTER MENU'!$E$5:$E$504,MATCH(B26,'MASTER MENU'!$A$5:$A$504,0))))</f>
        <v/>
      </c>
      <c r="E26" s="14"/>
      <c r="F26" s="19" t="str">
        <f aca="false">IF(B26="","",IF(COUNTIFS('MASTER MENU'!$A$5:$A$504,B26)=0,"BELUM ADA",INDEX('MASTER MENU'!$F$5:$F$504,MATCH(B26,'MASTER MENU'!$A$5:$A$504,0))))</f>
        <v/>
      </c>
      <c r="G26" s="19" t="str">
        <f aca="false">IF(A26="","",IF(OR(NOT(ISNUMBER(E26)),NOT(ISNUMBER(F26))),"BELUM LENGKAP",ROUND(E26*F26,0)))</f>
        <v/>
      </c>
      <c r="H26" s="15"/>
      <c r="I26" s="15"/>
      <c r="J26" s="19" t="str">
        <f aca="false">IF(A26="","",IF(NOT(ISNUMBER(G26)),"BELUM LENGKAP",G26-H26-I26))</f>
        <v/>
      </c>
      <c r="K26" s="15"/>
      <c r="L26" s="19" t="str">
        <f aca="false">IF(A26="","",IF(NOT(ISNUMBER(K26)),"ISI SNAPSHOT HPP",ROUND(E26*K26,0)))</f>
        <v/>
      </c>
      <c r="M26" s="19" t="str">
        <f aca="false">IF(A26="","",IF(NOT(ISNUMBER(L26)),"BELUM LENGKAP",J26-L26))</f>
        <v/>
      </c>
      <c r="N26" s="19" t="str">
        <f aca="false">IF(B26="","",IF(COUNTIFS('RESEP DAN HPP'!$A$5:$A$504,B26,'RESEP DAN HPP'!$N$5:$N$504,"LENGKAP")=0,"BELUM LENGKAP",INDEX('RESEP DAN HPP'!$J$5:$J$504,MATCH(B26,'RESEP DAN HPP'!$A$5:$A$504,0))))</f>
        <v/>
      </c>
      <c r="O26" s="14"/>
      <c r="P26" s="27" t="str">
        <f aca="false">IF(A26="","",IF(COUNTIFS('TRANSAKSI PENJUALAN'!$A$5:$A$504,A26)=0,"BELUM ADA",INDEX('TRANSAKSI PENJUALAN'!$B$5:$B$504,MATCH(A26,'TRANSAKSI PENJUALAN'!$A$5:$A$504,0))))</f>
        <v/>
      </c>
      <c r="Q26" s="18" t="str">
        <f aca="false">IF(A26="","",IF(COUNTIFS('TRANSAKSI PENJUALAN'!$A$5:$A$504,A26)=0,"BELUM ADA",INDEX('TRANSAKSI PENJUALAN'!$M$5:$M$504,MATCH(A26,'TRANSAKSI PENJUALAN'!$A$5:$A$504,0))))</f>
        <v/>
      </c>
      <c r="R26" s="24" t="str">
        <f aca="false">IF(A26="","",COUNTIF($A$5:A26,A26))</f>
        <v/>
      </c>
      <c r="S26" s="24" t="str">
        <f aca="false">IF(A26="","",A26&amp;"|"&amp;R26)</f>
        <v/>
      </c>
    </row>
    <row r="27" customFormat="false" ht="27" hidden="false" customHeight="true" outlineLevel="0" collapsed="false">
      <c r="A27" s="14"/>
      <c r="B27" s="14"/>
      <c r="C27" s="18" t="str">
        <f aca="false">IF(B27="","",IF(COUNTIFS('MASTER MENU'!$A$5:$A$504,B27)=0,"BELUM ADA",INDEX('MASTER MENU'!$B$5:$B$504,MATCH(B27,'MASTER MENU'!$A$5:$A$504,0))))</f>
        <v/>
      </c>
      <c r="D27" s="18" t="str">
        <f aca="false">IF(B27="","",IF(COUNTIFS('MASTER MENU'!$A$5:$A$504,B27)=0,"BELUM ADA",INDEX('MASTER MENU'!$E$5:$E$504,MATCH(B27,'MASTER MENU'!$A$5:$A$504,0))))</f>
        <v/>
      </c>
      <c r="E27" s="14"/>
      <c r="F27" s="19" t="str">
        <f aca="false">IF(B27="","",IF(COUNTIFS('MASTER MENU'!$A$5:$A$504,B27)=0,"BELUM ADA",INDEX('MASTER MENU'!$F$5:$F$504,MATCH(B27,'MASTER MENU'!$A$5:$A$504,0))))</f>
        <v/>
      </c>
      <c r="G27" s="19" t="str">
        <f aca="false">IF(A27="","",IF(OR(NOT(ISNUMBER(E27)),NOT(ISNUMBER(F27))),"BELUM LENGKAP",ROUND(E27*F27,0)))</f>
        <v/>
      </c>
      <c r="H27" s="15"/>
      <c r="I27" s="15"/>
      <c r="J27" s="19" t="str">
        <f aca="false">IF(A27="","",IF(NOT(ISNUMBER(G27)),"BELUM LENGKAP",G27-H27-I27))</f>
        <v/>
      </c>
      <c r="K27" s="15"/>
      <c r="L27" s="19" t="str">
        <f aca="false">IF(A27="","",IF(NOT(ISNUMBER(K27)),"ISI SNAPSHOT HPP",ROUND(E27*K27,0)))</f>
        <v/>
      </c>
      <c r="M27" s="19" t="str">
        <f aca="false">IF(A27="","",IF(NOT(ISNUMBER(L27)),"BELUM LENGKAP",J27-L27))</f>
        <v/>
      </c>
      <c r="N27" s="19" t="str">
        <f aca="false">IF(B27="","",IF(COUNTIFS('RESEP DAN HPP'!$A$5:$A$504,B27,'RESEP DAN HPP'!$N$5:$N$504,"LENGKAP")=0,"BELUM LENGKAP",INDEX('RESEP DAN HPP'!$J$5:$J$504,MATCH(B27,'RESEP DAN HPP'!$A$5:$A$504,0))))</f>
        <v/>
      </c>
      <c r="O27" s="14"/>
      <c r="P27" s="27" t="str">
        <f aca="false">IF(A27="","",IF(COUNTIFS('TRANSAKSI PENJUALAN'!$A$5:$A$504,A27)=0,"BELUM ADA",INDEX('TRANSAKSI PENJUALAN'!$B$5:$B$504,MATCH(A27,'TRANSAKSI PENJUALAN'!$A$5:$A$504,0))))</f>
        <v/>
      </c>
      <c r="Q27" s="18" t="str">
        <f aca="false">IF(A27="","",IF(COUNTIFS('TRANSAKSI PENJUALAN'!$A$5:$A$504,A27)=0,"BELUM ADA",INDEX('TRANSAKSI PENJUALAN'!$M$5:$M$504,MATCH(A27,'TRANSAKSI PENJUALAN'!$A$5:$A$504,0))))</f>
        <v/>
      </c>
      <c r="R27" s="24" t="str">
        <f aca="false">IF(A27="","",COUNTIF($A$5:A27,A27))</f>
        <v/>
      </c>
      <c r="S27" s="24" t="str">
        <f aca="false">IF(A27="","",A27&amp;"|"&amp;R27)</f>
        <v/>
      </c>
    </row>
    <row r="28" customFormat="false" ht="27" hidden="false" customHeight="true" outlineLevel="0" collapsed="false">
      <c r="A28" s="14"/>
      <c r="B28" s="14"/>
      <c r="C28" s="18" t="str">
        <f aca="false">IF(B28="","",IF(COUNTIFS('MASTER MENU'!$A$5:$A$504,B28)=0,"BELUM ADA",INDEX('MASTER MENU'!$B$5:$B$504,MATCH(B28,'MASTER MENU'!$A$5:$A$504,0))))</f>
        <v/>
      </c>
      <c r="D28" s="18" t="str">
        <f aca="false">IF(B28="","",IF(COUNTIFS('MASTER MENU'!$A$5:$A$504,B28)=0,"BELUM ADA",INDEX('MASTER MENU'!$E$5:$E$504,MATCH(B28,'MASTER MENU'!$A$5:$A$504,0))))</f>
        <v/>
      </c>
      <c r="E28" s="14"/>
      <c r="F28" s="19" t="str">
        <f aca="false">IF(B28="","",IF(COUNTIFS('MASTER MENU'!$A$5:$A$504,B28)=0,"BELUM ADA",INDEX('MASTER MENU'!$F$5:$F$504,MATCH(B28,'MASTER MENU'!$A$5:$A$504,0))))</f>
        <v/>
      </c>
      <c r="G28" s="19" t="str">
        <f aca="false">IF(A28="","",IF(OR(NOT(ISNUMBER(E28)),NOT(ISNUMBER(F28))),"BELUM LENGKAP",ROUND(E28*F28,0)))</f>
        <v/>
      </c>
      <c r="H28" s="15"/>
      <c r="I28" s="15"/>
      <c r="J28" s="19" t="str">
        <f aca="false">IF(A28="","",IF(NOT(ISNUMBER(G28)),"BELUM LENGKAP",G28-H28-I28))</f>
        <v/>
      </c>
      <c r="K28" s="15"/>
      <c r="L28" s="19" t="str">
        <f aca="false">IF(A28="","",IF(NOT(ISNUMBER(K28)),"ISI SNAPSHOT HPP",ROUND(E28*K28,0)))</f>
        <v/>
      </c>
      <c r="M28" s="19" t="str">
        <f aca="false">IF(A28="","",IF(NOT(ISNUMBER(L28)),"BELUM LENGKAP",J28-L28))</f>
        <v/>
      </c>
      <c r="N28" s="19" t="str">
        <f aca="false">IF(B28="","",IF(COUNTIFS('RESEP DAN HPP'!$A$5:$A$504,B28,'RESEP DAN HPP'!$N$5:$N$504,"LENGKAP")=0,"BELUM LENGKAP",INDEX('RESEP DAN HPP'!$J$5:$J$504,MATCH(B28,'RESEP DAN HPP'!$A$5:$A$504,0))))</f>
        <v/>
      </c>
      <c r="O28" s="14"/>
      <c r="P28" s="27" t="str">
        <f aca="false">IF(A28="","",IF(COUNTIFS('TRANSAKSI PENJUALAN'!$A$5:$A$504,A28)=0,"BELUM ADA",INDEX('TRANSAKSI PENJUALAN'!$B$5:$B$504,MATCH(A28,'TRANSAKSI PENJUALAN'!$A$5:$A$504,0))))</f>
        <v/>
      </c>
      <c r="Q28" s="18" t="str">
        <f aca="false">IF(A28="","",IF(COUNTIFS('TRANSAKSI PENJUALAN'!$A$5:$A$504,A28)=0,"BELUM ADA",INDEX('TRANSAKSI PENJUALAN'!$M$5:$M$504,MATCH(A28,'TRANSAKSI PENJUALAN'!$A$5:$A$504,0))))</f>
        <v/>
      </c>
      <c r="R28" s="24" t="str">
        <f aca="false">IF(A28="","",COUNTIF($A$5:A28,A28))</f>
        <v/>
      </c>
      <c r="S28" s="24" t="str">
        <f aca="false">IF(A28="","",A28&amp;"|"&amp;R28)</f>
        <v/>
      </c>
    </row>
    <row r="29" customFormat="false" ht="27" hidden="false" customHeight="true" outlineLevel="0" collapsed="false">
      <c r="A29" s="14"/>
      <c r="B29" s="14"/>
      <c r="C29" s="18" t="str">
        <f aca="false">IF(B29="","",IF(COUNTIFS('MASTER MENU'!$A$5:$A$504,B29)=0,"BELUM ADA",INDEX('MASTER MENU'!$B$5:$B$504,MATCH(B29,'MASTER MENU'!$A$5:$A$504,0))))</f>
        <v/>
      </c>
      <c r="D29" s="18" t="str">
        <f aca="false">IF(B29="","",IF(COUNTIFS('MASTER MENU'!$A$5:$A$504,B29)=0,"BELUM ADA",INDEX('MASTER MENU'!$E$5:$E$504,MATCH(B29,'MASTER MENU'!$A$5:$A$504,0))))</f>
        <v/>
      </c>
      <c r="E29" s="14"/>
      <c r="F29" s="19" t="str">
        <f aca="false">IF(B29="","",IF(COUNTIFS('MASTER MENU'!$A$5:$A$504,B29)=0,"BELUM ADA",INDEX('MASTER MENU'!$F$5:$F$504,MATCH(B29,'MASTER MENU'!$A$5:$A$504,0))))</f>
        <v/>
      </c>
      <c r="G29" s="19" t="str">
        <f aca="false">IF(A29="","",IF(OR(NOT(ISNUMBER(E29)),NOT(ISNUMBER(F29))),"BELUM LENGKAP",ROUND(E29*F29,0)))</f>
        <v/>
      </c>
      <c r="H29" s="15"/>
      <c r="I29" s="15"/>
      <c r="J29" s="19" t="str">
        <f aca="false">IF(A29="","",IF(NOT(ISNUMBER(G29)),"BELUM LENGKAP",G29-H29-I29))</f>
        <v/>
      </c>
      <c r="K29" s="15"/>
      <c r="L29" s="19" t="str">
        <f aca="false">IF(A29="","",IF(NOT(ISNUMBER(K29)),"ISI SNAPSHOT HPP",ROUND(E29*K29,0)))</f>
        <v/>
      </c>
      <c r="M29" s="19" t="str">
        <f aca="false">IF(A29="","",IF(NOT(ISNUMBER(L29)),"BELUM LENGKAP",J29-L29))</f>
        <v/>
      </c>
      <c r="N29" s="19" t="str">
        <f aca="false">IF(B29="","",IF(COUNTIFS('RESEP DAN HPP'!$A$5:$A$504,B29,'RESEP DAN HPP'!$N$5:$N$504,"LENGKAP")=0,"BELUM LENGKAP",INDEX('RESEP DAN HPP'!$J$5:$J$504,MATCH(B29,'RESEP DAN HPP'!$A$5:$A$504,0))))</f>
        <v/>
      </c>
      <c r="O29" s="14"/>
      <c r="P29" s="27" t="str">
        <f aca="false">IF(A29="","",IF(COUNTIFS('TRANSAKSI PENJUALAN'!$A$5:$A$504,A29)=0,"BELUM ADA",INDEX('TRANSAKSI PENJUALAN'!$B$5:$B$504,MATCH(A29,'TRANSAKSI PENJUALAN'!$A$5:$A$504,0))))</f>
        <v/>
      </c>
      <c r="Q29" s="18" t="str">
        <f aca="false">IF(A29="","",IF(COUNTIFS('TRANSAKSI PENJUALAN'!$A$5:$A$504,A29)=0,"BELUM ADA",INDEX('TRANSAKSI PENJUALAN'!$M$5:$M$504,MATCH(A29,'TRANSAKSI PENJUALAN'!$A$5:$A$504,0))))</f>
        <v/>
      </c>
      <c r="R29" s="24" t="str">
        <f aca="false">IF(A29="","",COUNTIF($A$5:A29,A29))</f>
        <v/>
      </c>
      <c r="S29" s="24" t="str">
        <f aca="false">IF(A29="","",A29&amp;"|"&amp;R29)</f>
        <v/>
      </c>
    </row>
    <row r="30" customFormat="false" ht="27" hidden="false" customHeight="true" outlineLevel="0" collapsed="false">
      <c r="A30" s="14"/>
      <c r="B30" s="14"/>
      <c r="C30" s="18" t="str">
        <f aca="false">IF(B30="","",IF(COUNTIFS('MASTER MENU'!$A$5:$A$504,B30)=0,"BELUM ADA",INDEX('MASTER MENU'!$B$5:$B$504,MATCH(B30,'MASTER MENU'!$A$5:$A$504,0))))</f>
        <v/>
      </c>
      <c r="D30" s="18" t="str">
        <f aca="false">IF(B30="","",IF(COUNTIFS('MASTER MENU'!$A$5:$A$504,B30)=0,"BELUM ADA",INDEX('MASTER MENU'!$E$5:$E$504,MATCH(B30,'MASTER MENU'!$A$5:$A$504,0))))</f>
        <v/>
      </c>
      <c r="E30" s="14"/>
      <c r="F30" s="19" t="str">
        <f aca="false">IF(B30="","",IF(COUNTIFS('MASTER MENU'!$A$5:$A$504,B30)=0,"BELUM ADA",INDEX('MASTER MENU'!$F$5:$F$504,MATCH(B30,'MASTER MENU'!$A$5:$A$504,0))))</f>
        <v/>
      </c>
      <c r="G30" s="19" t="str">
        <f aca="false">IF(A30="","",IF(OR(NOT(ISNUMBER(E30)),NOT(ISNUMBER(F30))),"BELUM LENGKAP",ROUND(E30*F30,0)))</f>
        <v/>
      </c>
      <c r="H30" s="15"/>
      <c r="I30" s="15"/>
      <c r="J30" s="19" t="str">
        <f aca="false">IF(A30="","",IF(NOT(ISNUMBER(G30)),"BELUM LENGKAP",G30-H30-I30))</f>
        <v/>
      </c>
      <c r="K30" s="15"/>
      <c r="L30" s="19" t="str">
        <f aca="false">IF(A30="","",IF(NOT(ISNUMBER(K30)),"ISI SNAPSHOT HPP",ROUND(E30*K30,0)))</f>
        <v/>
      </c>
      <c r="M30" s="19" t="str">
        <f aca="false">IF(A30="","",IF(NOT(ISNUMBER(L30)),"BELUM LENGKAP",J30-L30))</f>
        <v/>
      </c>
      <c r="N30" s="19" t="str">
        <f aca="false">IF(B30="","",IF(COUNTIFS('RESEP DAN HPP'!$A$5:$A$504,B30,'RESEP DAN HPP'!$N$5:$N$504,"LENGKAP")=0,"BELUM LENGKAP",INDEX('RESEP DAN HPP'!$J$5:$J$504,MATCH(B30,'RESEP DAN HPP'!$A$5:$A$504,0))))</f>
        <v/>
      </c>
      <c r="O30" s="14"/>
      <c r="P30" s="27" t="str">
        <f aca="false">IF(A30="","",IF(COUNTIFS('TRANSAKSI PENJUALAN'!$A$5:$A$504,A30)=0,"BELUM ADA",INDEX('TRANSAKSI PENJUALAN'!$B$5:$B$504,MATCH(A30,'TRANSAKSI PENJUALAN'!$A$5:$A$504,0))))</f>
        <v/>
      </c>
      <c r="Q30" s="18" t="str">
        <f aca="false">IF(A30="","",IF(COUNTIFS('TRANSAKSI PENJUALAN'!$A$5:$A$504,A30)=0,"BELUM ADA",INDEX('TRANSAKSI PENJUALAN'!$M$5:$M$504,MATCH(A30,'TRANSAKSI PENJUALAN'!$A$5:$A$504,0))))</f>
        <v/>
      </c>
      <c r="R30" s="24" t="str">
        <f aca="false">IF(A30="","",COUNTIF($A$5:A30,A30))</f>
        <v/>
      </c>
      <c r="S30" s="24" t="str">
        <f aca="false">IF(A30="","",A30&amp;"|"&amp;R30)</f>
        <v/>
      </c>
    </row>
    <row r="31" customFormat="false" ht="27" hidden="false" customHeight="true" outlineLevel="0" collapsed="false">
      <c r="A31" s="14"/>
      <c r="B31" s="14"/>
      <c r="C31" s="18" t="str">
        <f aca="false">IF(B31="","",IF(COUNTIFS('MASTER MENU'!$A$5:$A$504,B31)=0,"BELUM ADA",INDEX('MASTER MENU'!$B$5:$B$504,MATCH(B31,'MASTER MENU'!$A$5:$A$504,0))))</f>
        <v/>
      </c>
      <c r="D31" s="18" t="str">
        <f aca="false">IF(B31="","",IF(COUNTIFS('MASTER MENU'!$A$5:$A$504,B31)=0,"BELUM ADA",INDEX('MASTER MENU'!$E$5:$E$504,MATCH(B31,'MASTER MENU'!$A$5:$A$504,0))))</f>
        <v/>
      </c>
      <c r="E31" s="14"/>
      <c r="F31" s="19" t="str">
        <f aca="false">IF(B31="","",IF(COUNTIFS('MASTER MENU'!$A$5:$A$504,B31)=0,"BELUM ADA",INDEX('MASTER MENU'!$F$5:$F$504,MATCH(B31,'MASTER MENU'!$A$5:$A$504,0))))</f>
        <v/>
      </c>
      <c r="G31" s="19" t="str">
        <f aca="false">IF(A31="","",IF(OR(NOT(ISNUMBER(E31)),NOT(ISNUMBER(F31))),"BELUM LENGKAP",ROUND(E31*F31,0)))</f>
        <v/>
      </c>
      <c r="H31" s="15"/>
      <c r="I31" s="15"/>
      <c r="J31" s="19" t="str">
        <f aca="false">IF(A31="","",IF(NOT(ISNUMBER(G31)),"BELUM LENGKAP",G31-H31-I31))</f>
        <v/>
      </c>
      <c r="K31" s="15"/>
      <c r="L31" s="19" t="str">
        <f aca="false">IF(A31="","",IF(NOT(ISNUMBER(K31)),"ISI SNAPSHOT HPP",ROUND(E31*K31,0)))</f>
        <v/>
      </c>
      <c r="M31" s="19" t="str">
        <f aca="false">IF(A31="","",IF(NOT(ISNUMBER(L31)),"BELUM LENGKAP",J31-L31))</f>
        <v/>
      </c>
      <c r="N31" s="19" t="str">
        <f aca="false">IF(B31="","",IF(COUNTIFS('RESEP DAN HPP'!$A$5:$A$504,B31,'RESEP DAN HPP'!$N$5:$N$504,"LENGKAP")=0,"BELUM LENGKAP",INDEX('RESEP DAN HPP'!$J$5:$J$504,MATCH(B31,'RESEP DAN HPP'!$A$5:$A$504,0))))</f>
        <v/>
      </c>
      <c r="O31" s="14"/>
      <c r="P31" s="27" t="str">
        <f aca="false">IF(A31="","",IF(COUNTIFS('TRANSAKSI PENJUALAN'!$A$5:$A$504,A31)=0,"BELUM ADA",INDEX('TRANSAKSI PENJUALAN'!$B$5:$B$504,MATCH(A31,'TRANSAKSI PENJUALAN'!$A$5:$A$504,0))))</f>
        <v/>
      </c>
      <c r="Q31" s="18" t="str">
        <f aca="false">IF(A31="","",IF(COUNTIFS('TRANSAKSI PENJUALAN'!$A$5:$A$504,A31)=0,"BELUM ADA",INDEX('TRANSAKSI PENJUALAN'!$M$5:$M$504,MATCH(A31,'TRANSAKSI PENJUALAN'!$A$5:$A$504,0))))</f>
        <v/>
      </c>
      <c r="R31" s="24" t="str">
        <f aca="false">IF(A31="","",COUNTIF($A$5:A31,A31))</f>
        <v/>
      </c>
      <c r="S31" s="24" t="str">
        <f aca="false">IF(A31="","",A31&amp;"|"&amp;R31)</f>
        <v/>
      </c>
    </row>
    <row r="32" customFormat="false" ht="27" hidden="false" customHeight="true" outlineLevel="0" collapsed="false">
      <c r="A32" s="14"/>
      <c r="B32" s="14"/>
      <c r="C32" s="18" t="str">
        <f aca="false">IF(B32="","",IF(COUNTIFS('MASTER MENU'!$A$5:$A$504,B32)=0,"BELUM ADA",INDEX('MASTER MENU'!$B$5:$B$504,MATCH(B32,'MASTER MENU'!$A$5:$A$504,0))))</f>
        <v/>
      </c>
      <c r="D32" s="18" t="str">
        <f aca="false">IF(B32="","",IF(COUNTIFS('MASTER MENU'!$A$5:$A$504,B32)=0,"BELUM ADA",INDEX('MASTER MENU'!$E$5:$E$504,MATCH(B32,'MASTER MENU'!$A$5:$A$504,0))))</f>
        <v/>
      </c>
      <c r="E32" s="14"/>
      <c r="F32" s="19" t="str">
        <f aca="false">IF(B32="","",IF(COUNTIFS('MASTER MENU'!$A$5:$A$504,B32)=0,"BELUM ADA",INDEX('MASTER MENU'!$F$5:$F$504,MATCH(B32,'MASTER MENU'!$A$5:$A$504,0))))</f>
        <v/>
      </c>
      <c r="G32" s="19" t="str">
        <f aca="false">IF(A32="","",IF(OR(NOT(ISNUMBER(E32)),NOT(ISNUMBER(F32))),"BELUM LENGKAP",ROUND(E32*F32,0)))</f>
        <v/>
      </c>
      <c r="H32" s="15"/>
      <c r="I32" s="15"/>
      <c r="J32" s="19" t="str">
        <f aca="false">IF(A32="","",IF(NOT(ISNUMBER(G32)),"BELUM LENGKAP",G32-H32-I32))</f>
        <v/>
      </c>
      <c r="K32" s="15"/>
      <c r="L32" s="19" t="str">
        <f aca="false">IF(A32="","",IF(NOT(ISNUMBER(K32)),"ISI SNAPSHOT HPP",ROUND(E32*K32,0)))</f>
        <v/>
      </c>
      <c r="M32" s="19" t="str">
        <f aca="false">IF(A32="","",IF(NOT(ISNUMBER(L32)),"BELUM LENGKAP",J32-L32))</f>
        <v/>
      </c>
      <c r="N32" s="19" t="str">
        <f aca="false">IF(B32="","",IF(COUNTIFS('RESEP DAN HPP'!$A$5:$A$504,B32,'RESEP DAN HPP'!$N$5:$N$504,"LENGKAP")=0,"BELUM LENGKAP",INDEX('RESEP DAN HPP'!$J$5:$J$504,MATCH(B32,'RESEP DAN HPP'!$A$5:$A$504,0))))</f>
        <v/>
      </c>
      <c r="O32" s="14"/>
      <c r="P32" s="27" t="str">
        <f aca="false">IF(A32="","",IF(COUNTIFS('TRANSAKSI PENJUALAN'!$A$5:$A$504,A32)=0,"BELUM ADA",INDEX('TRANSAKSI PENJUALAN'!$B$5:$B$504,MATCH(A32,'TRANSAKSI PENJUALAN'!$A$5:$A$504,0))))</f>
        <v/>
      </c>
      <c r="Q32" s="18" t="str">
        <f aca="false">IF(A32="","",IF(COUNTIFS('TRANSAKSI PENJUALAN'!$A$5:$A$504,A32)=0,"BELUM ADA",INDEX('TRANSAKSI PENJUALAN'!$M$5:$M$504,MATCH(A32,'TRANSAKSI PENJUALAN'!$A$5:$A$504,0))))</f>
        <v/>
      </c>
      <c r="R32" s="24" t="str">
        <f aca="false">IF(A32="","",COUNTIF($A$5:A32,A32))</f>
        <v/>
      </c>
      <c r="S32" s="24" t="str">
        <f aca="false">IF(A32="","",A32&amp;"|"&amp;R32)</f>
        <v/>
      </c>
    </row>
    <row r="33" customFormat="false" ht="27" hidden="false" customHeight="true" outlineLevel="0" collapsed="false">
      <c r="A33" s="14"/>
      <c r="B33" s="14"/>
      <c r="C33" s="18" t="str">
        <f aca="false">IF(B33="","",IF(COUNTIFS('MASTER MENU'!$A$5:$A$504,B33)=0,"BELUM ADA",INDEX('MASTER MENU'!$B$5:$B$504,MATCH(B33,'MASTER MENU'!$A$5:$A$504,0))))</f>
        <v/>
      </c>
      <c r="D33" s="18" t="str">
        <f aca="false">IF(B33="","",IF(COUNTIFS('MASTER MENU'!$A$5:$A$504,B33)=0,"BELUM ADA",INDEX('MASTER MENU'!$E$5:$E$504,MATCH(B33,'MASTER MENU'!$A$5:$A$504,0))))</f>
        <v/>
      </c>
      <c r="E33" s="14"/>
      <c r="F33" s="19" t="str">
        <f aca="false">IF(B33="","",IF(COUNTIFS('MASTER MENU'!$A$5:$A$504,B33)=0,"BELUM ADA",INDEX('MASTER MENU'!$F$5:$F$504,MATCH(B33,'MASTER MENU'!$A$5:$A$504,0))))</f>
        <v/>
      </c>
      <c r="G33" s="19" t="str">
        <f aca="false">IF(A33="","",IF(OR(NOT(ISNUMBER(E33)),NOT(ISNUMBER(F33))),"BELUM LENGKAP",ROUND(E33*F33,0)))</f>
        <v/>
      </c>
      <c r="H33" s="15"/>
      <c r="I33" s="15"/>
      <c r="J33" s="19" t="str">
        <f aca="false">IF(A33="","",IF(NOT(ISNUMBER(G33)),"BELUM LENGKAP",G33-H33-I33))</f>
        <v/>
      </c>
      <c r="K33" s="15"/>
      <c r="L33" s="19" t="str">
        <f aca="false">IF(A33="","",IF(NOT(ISNUMBER(K33)),"ISI SNAPSHOT HPP",ROUND(E33*K33,0)))</f>
        <v/>
      </c>
      <c r="M33" s="19" t="str">
        <f aca="false">IF(A33="","",IF(NOT(ISNUMBER(L33)),"BELUM LENGKAP",J33-L33))</f>
        <v/>
      </c>
      <c r="N33" s="19" t="str">
        <f aca="false">IF(B33="","",IF(COUNTIFS('RESEP DAN HPP'!$A$5:$A$504,B33,'RESEP DAN HPP'!$N$5:$N$504,"LENGKAP")=0,"BELUM LENGKAP",INDEX('RESEP DAN HPP'!$J$5:$J$504,MATCH(B33,'RESEP DAN HPP'!$A$5:$A$504,0))))</f>
        <v/>
      </c>
      <c r="O33" s="14"/>
      <c r="P33" s="27" t="str">
        <f aca="false">IF(A33="","",IF(COUNTIFS('TRANSAKSI PENJUALAN'!$A$5:$A$504,A33)=0,"BELUM ADA",INDEX('TRANSAKSI PENJUALAN'!$B$5:$B$504,MATCH(A33,'TRANSAKSI PENJUALAN'!$A$5:$A$504,0))))</f>
        <v/>
      </c>
      <c r="Q33" s="18" t="str">
        <f aca="false">IF(A33="","",IF(COUNTIFS('TRANSAKSI PENJUALAN'!$A$5:$A$504,A33)=0,"BELUM ADA",INDEX('TRANSAKSI PENJUALAN'!$M$5:$M$504,MATCH(A33,'TRANSAKSI PENJUALAN'!$A$5:$A$504,0))))</f>
        <v/>
      </c>
      <c r="R33" s="24" t="str">
        <f aca="false">IF(A33="","",COUNTIF($A$5:A33,A33))</f>
        <v/>
      </c>
      <c r="S33" s="24" t="str">
        <f aca="false">IF(A33="","",A33&amp;"|"&amp;R33)</f>
        <v/>
      </c>
    </row>
    <row r="34" customFormat="false" ht="27" hidden="false" customHeight="true" outlineLevel="0" collapsed="false">
      <c r="A34" s="14"/>
      <c r="B34" s="14"/>
      <c r="C34" s="18" t="str">
        <f aca="false">IF(B34="","",IF(COUNTIFS('MASTER MENU'!$A$5:$A$504,B34)=0,"BELUM ADA",INDEX('MASTER MENU'!$B$5:$B$504,MATCH(B34,'MASTER MENU'!$A$5:$A$504,0))))</f>
        <v/>
      </c>
      <c r="D34" s="18" t="str">
        <f aca="false">IF(B34="","",IF(COUNTIFS('MASTER MENU'!$A$5:$A$504,B34)=0,"BELUM ADA",INDEX('MASTER MENU'!$E$5:$E$504,MATCH(B34,'MASTER MENU'!$A$5:$A$504,0))))</f>
        <v/>
      </c>
      <c r="E34" s="14"/>
      <c r="F34" s="19" t="str">
        <f aca="false">IF(B34="","",IF(COUNTIFS('MASTER MENU'!$A$5:$A$504,B34)=0,"BELUM ADA",INDEX('MASTER MENU'!$F$5:$F$504,MATCH(B34,'MASTER MENU'!$A$5:$A$504,0))))</f>
        <v/>
      </c>
      <c r="G34" s="19" t="str">
        <f aca="false">IF(A34="","",IF(OR(NOT(ISNUMBER(E34)),NOT(ISNUMBER(F34))),"BELUM LENGKAP",ROUND(E34*F34,0)))</f>
        <v/>
      </c>
      <c r="H34" s="15"/>
      <c r="I34" s="15"/>
      <c r="J34" s="19" t="str">
        <f aca="false">IF(A34="","",IF(NOT(ISNUMBER(G34)),"BELUM LENGKAP",G34-H34-I34))</f>
        <v/>
      </c>
      <c r="K34" s="15"/>
      <c r="L34" s="19" t="str">
        <f aca="false">IF(A34="","",IF(NOT(ISNUMBER(K34)),"ISI SNAPSHOT HPP",ROUND(E34*K34,0)))</f>
        <v/>
      </c>
      <c r="M34" s="19" t="str">
        <f aca="false">IF(A34="","",IF(NOT(ISNUMBER(L34)),"BELUM LENGKAP",J34-L34))</f>
        <v/>
      </c>
      <c r="N34" s="19" t="str">
        <f aca="false">IF(B34="","",IF(COUNTIFS('RESEP DAN HPP'!$A$5:$A$504,B34,'RESEP DAN HPP'!$N$5:$N$504,"LENGKAP")=0,"BELUM LENGKAP",INDEX('RESEP DAN HPP'!$J$5:$J$504,MATCH(B34,'RESEP DAN HPP'!$A$5:$A$504,0))))</f>
        <v/>
      </c>
      <c r="O34" s="14"/>
      <c r="P34" s="27" t="str">
        <f aca="false">IF(A34="","",IF(COUNTIFS('TRANSAKSI PENJUALAN'!$A$5:$A$504,A34)=0,"BELUM ADA",INDEX('TRANSAKSI PENJUALAN'!$B$5:$B$504,MATCH(A34,'TRANSAKSI PENJUALAN'!$A$5:$A$504,0))))</f>
        <v/>
      </c>
      <c r="Q34" s="18" t="str">
        <f aca="false">IF(A34="","",IF(COUNTIFS('TRANSAKSI PENJUALAN'!$A$5:$A$504,A34)=0,"BELUM ADA",INDEX('TRANSAKSI PENJUALAN'!$M$5:$M$504,MATCH(A34,'TRANSAKSI PENJUALAN'!$A$5:$A$504,0))))</f>
        <v/>
      </c>
      <c r="R34" s="24" t="str">
        <f aca="false">IF(A34="","",COUNTIF($A$5:A34,A34))</f>
        <v/>
      </c>
      <c r="S34" s="24" t="str">
        <f aca="false">IF(A34="","",A34&amp;"|"&amp;R34)</f>
        <v/>
      </c>
    </row>
    <row r="35" customFormat="false" ht="27" hidden="false" customHeight="true" outlineLevel="0" collapsed="false">
      <c r="A35" s="14"/>
      <c r="B35" s="14"/>
      <c r="C35" s="18" t="str">
        <f aca="false">IF(B35="","",IF(COUNTIFS('MASTER MENU'!$A$5:$A$504,B35)=0,"BELUM ADA",INDEX('MASTER MENU'!$B$5:$B$504,MATCH(B35,'MASTER MENU'!$A$5:$A$504,0))))</f>
        <v/>
      </c>
      <c r="D35" s="18" t="str">
        <f aca="false">IF(B35="","",IF(COUNTIFS('MASTER MENU'!$A$5:$A$504,B35)=0,"BELUM ADA",INDEX('MASTER MENU'!$E$5:$E$504,MATCH(B35,'MASTER MENU'!$A$5:$A$504,0))))</f>
        <v/>
      </c>
      <c r="E35" s="14"/>
      <c r="F35" s="19" t="str">
        <f aca="false">IF(B35="","",IF(COUNTIFS('MASTER MENU'!$A$5:$A$504,B35)=0,"BELUM ADA",INDEX('MASTER MENU'!$F$5:$F$504,MATCH(B35,'MASTER MENU'!$A$5:$A$504,0))))</f>
        <v/>
      </c>
      <c r="G35" s="19" t="str">
        <f aca="false">IF(A35="","",IF(OR(NOT(ISNUMBER(E35)),NOT(ISNUMBER(F35))),"BELUM LENGKAP",ROUND(E35*F35,0)))</f>
        <v/>
      </c>
      <c r="H35" s="15"/>
      <c r="I35" s="15"/>
      <c r="J35" s="19" t="str">
        <f aca="false">IF(A35="","",IF(NOT(ISNUMBER(G35)),"BELUM LENGKAP",G35-H35-I35))</f>
        <v/>
      </c>
      <c r="K35" s="15"/>
      <c r="L35" s="19" t="str">
        <f aca="false">IF(A35="","",IF(NOT(ISNUMBER(K35)),"ISI SNAPSHOT HPP",ROUND(E35*K35,0)))</f>
        <v/>
      </c>
      <c r="M35" s="19" t="str">
        <f aca="false">IF(A35="","",IF(NOT(ISNUMBER(L35)),"BELUM LENGKAP",J35-L35))</f>
        <v/>
      </c>
      <c r="N35" s="19" t="str">
        <f aca="false">IF(B35="","",IF(COUNTIFS('RESEP DAN HPP'!$A$5:$A$504,B35,'RESEP DAN HPP'!$N$5:$N$504,"LENGKAP")=0,"BELUM LENGKAP",INDEX('RESEP DAN HPP'!$J$5:$J$504,MATCH(B35,'RESEP DAN HPP'!$A$5:$A$504,0))))</f>
        <v/>
      </c>
      <c r="O35" s="14"/>
      <c r="P35" s="27" t="str">
        <f aca="false">IF(A35="","",IF(COUNTIFS('TRANSAKSI PENJUALAN'!$A$5:$A$504,A35)=0,"BELUM ADA",INDEX('TRANSAKSI PENJUALAN'!$B$5:$B$504,MATCH(A35,'TRANSAKSI PENJUALAN'!$A$5:$A$504,0))))</f>
        <v/>
      </c>
      <c r="Q35" s="18" t="str">
        <f aca="false">IF(A35="","",IF(COUNTIFS('TRANSAKSI PENJUALAN'!$A$5:$A$504,A35)=0,"BELUM ADA",INDEX('TRANSAKSI PENJUALAN'!$M$5:$M$504,MATCH(A35,'TRANSAKSI PENJUALAN'!$A$5:$A$504,0))))</f>
        <v/>
      </c>
      <c r="R35" s="24" t="str">
        <f aca="false">IF(A35="","",COUNTIF($A$5:A35,A35))</f>
        <v/>
      </c>
      <c r="S35" s="24" t="str">
        <f aca="false">IF(A35="","",A35&amp;"|"&amp;R35)</f>
        <v/>
      </c>
    </row>
    <row r="36" customFormat="false" ht="27" hidden="false" customHeight="true" outlineLevel="0" collapsed="false">
      <c r="A36" s="14"/>
      <c r="B36" s="14"/>
      <c r="C36" s="18" t="str">
        <f aca="false">IF(B36="","",IF(COUNTIFS('MASTER MENU'!$A$5:$A$504,B36)=0,"BELUM ADA",INDEX('MASTER MENU'!$B$5:$B$504,MATCH(B36,'MASTER MENU'!$A$5:$A$504,0))))</f>
        <v/>
      </c>
      <c r="D36" s="18" t="str">
        <f aca="false">IF(B36="","",IF(COUNTIFS('MASTER MENU'!$A$5:$A$504,B36)=0,"BELUM ADA",INDEX('MASTER MENU'!$E$5:$E$504,MATCH(B36,'MASTER MENU'!$A$5:$A$504,0))))</f>
        <v/>
      </c>
      <c r="E36" s="14"/>
      <c r="F36" s="19" t="str">
        <f aca="false">IF(B36="","",IF(COUNTIFS('MASTER MENU'!$A$5:$A$504,B36)=0,"BELUM ADA",INDEX('MASTER MENU'!$F$5:$F$504,MATCH(B36,'MASTER MENU'!$A$5:$A$504,0))))</f>
        <v/>
      </c>
      <c r="G36" s="19" t="str">
        <f aca="false">IF(A36="","",IF(OR(NOT(ISNUMBER(E36)),NOT(ISNUMBER(F36))),"BELUM LENGKAP",ROUND(E36*F36,0)))</f>
        <v/>
      </c>
      <c r="H36" s="15"/>
      <c r="I36" s="15"/>
      <c r="J36" s="19" t="str">
        <f aca="false">IF(A36="","",IF(NOT(ISNUMBER(G36)),"BELUM LENGKAP",G36-H36-I36))</f>
        <v/>
      </c>
      <c r="K36" s="15"/>
      <c r="L36" s="19" t="str">
        <f aca="false">IF(A36="","",IF(NOT(ISNUMBER(K36)),"ISI SNAPSHOT HPP",ROUND(E36*K36,0)))</f>
        <v/>
      </c>
      <c r="M36" s="19" t="str">
        <f aca="false">IF(A36="","",IF(NOT(ISNUMBER(L36)),"BELUM LENGKAP",J36-L36))</f>
        <v/>
      </c>
      <c r="N36" s="19" t="str">
        <f aca="false">IF(B36="","",IF(COUNTIFS('RESEP DAN HPP'!$A$5:$A$504,B36,'RESEP DAN HPP'!$N$5:$N$504,"LENGKAP")=0,"BELUM LENGKAP",INDEX('RESEP DAN HPP'!$J$5:$J$504,MATCH(B36,'RESEP DAN HPP'!$A$5:$A$504,0))))</f>
        <v/>
      </c>
      <c r="O36" s="14"/>
      <c r="P36" s="27" t="str">
        <f aca="false">IF(A36="","",IF(COUNTIFS('TRANSAKSI PENJUALAN'!$A$5:$A$504,A36)=0,"BELUM ADA",INDEX('TRANSAKSI PENJUALAN'!$B$5:$B$504,MATCH(A36,'TRANSAKSI PENJUALAN'!$A$5:$A$504,0))))</f>
        <v/>
      </c>
      <c r="Q36" s="18" t="str">
        <f aca="false">IF(A36="","",IF(COUNTIFS('TRANSAKSI PENJUALAN'!$A$5:$A$504,A36)=0,"BELUM ADA",INDEX('TRANSAKSI PENJUALAN'!$M$5:$M$504,MATCH(A36,'TRANSAKSI PENJUALAN'!$A$5:$A$504,0))))</f>
        <v/>
      </c>
      <c r="R36" s="24" t="str">
        <f aca="false">IF(A36="","",COUNTIF($A$5:A36,A36))</f>
        <v/>
      </c>
      <c r="S36" s="24" t="str">
        <f aca="false">IF(A36="","",A36&amp;"|"&amp;R36)</f>
        <v/>
      </c>
    </row>
    <row r="37" customFormat="false" ht="27" hidden="false" customHeight="true" outlineLevel="0" collapsed="false">
      <c r="A37" s="14"/>
      <c r="B37" s="14"/>
      <c r="C37" s="18" t="str">
        <f aca="false">IF(B37="","",IF(COUNTIFS('MASTER MENU'!$A$5:$A$504,B37)=0,"BELUM ADA",INDEX('MASTER MENU'!$B$5:$B$504,MATCH(B37,'MASTER MENU'!$A$5:$A$504,0))))</f>
        <v/>
      </c>
      <c r="D37" s="18" t="str">
        <f aca="false">IF(B37="","",IF(COUNTIFS('MASTER MENU'!$A$5:$A$504,B37)=0,"BELUM ADA",INDEX('MASTER MENU'!$E$5:$E$504,MATCH(B37,'MASTER MENU'!$A$5:$A$504,0))))</f>
        <v/>
      </c>
      <c r="E37" s="14"/>
      <c r="F37" s="19" t="str">
        <f aca="false">IF(B37="","",IF(COUNTIFS('MASTER MENU'!$A$5:$A$504,B37)=0,"BELUM ADA",INDEX('MASTER MENU'!$F$5:$F$504,MATCH(B37,'MASTER MENU'!$A$5:$A$504,0))))</f>
        <v/>
      </c>
      <c r="G37" s="19" t="str">
        <f aca="false">IF(A37="","",IF(OR(NOT(ISNUMBER(E37)),NOT(ISNUMBER(F37))),"BELUM LENGKAP",ROUND(E37*F37,0)))</f>
        <v/>
      </c>
      <c r="H37" s="15"/>
      <c r="I37" s="15"/>
      <c r="J37" s="19" t="str">
        <f aca="false">IF(A37="","",IF(NOT(ISNUMBER(G37)),"BELUM LENGKAP",G37-H37-I37))</f>
        <v/>
      </c>
      <c r="K37" s="15"/>
      <c r="L37" s="19" t="str">
        <f aca="false">IF(A37="","",IF(NOT(ISNUMBER(K37)),"ISI SNAPSHOT HPP",ROUND(E37*K37,0)))</f>
        <v/>
      </c>
      <c r="M37" s="19" t="str">
        <f aca="false">IF(A37="","",IF(NOT(ISNUMBER(L37)),"BELUM LENGKAP",J37-L37))</f>
        <v/>
      </c>
      <c r="N37" s="19" t="str">
        <f aca="false">IF(B37="","",IF(COUNTIFS('RESEP DAN HPP'!$A$5:$A$504,B37,'RESEP DAN HPP'!$N$5:$N$504,"LENGKAP")=0,"BELUM LENGKAP",INDEX('RESEP DAN HPP'!$J$5:$J$504,MATCH(B37,'RESEP DAN HPP'!$A$5:$A$504,0))))</f>
        <v/>
      </c>
      <c r="O37" s="14"/>
      <c r="P37" s="27" t="str">
        <f aca="false">IF(A37="","",IF(COUNTIFS('TRANSAKSI PENJUALAN'!$A$5:$A$504,A37)=0,"BELUM ADA",INDEX('TRANSAKSI PENJUALAN'!$B$5:$B$504,MATCH(A37,'TRANSAKSI PENJUALAN'!$A$5:$A$504,0))))</f>
        <v/>
      </c>
      <c r="Q37" s="18" t="str">
        <f aca="false">IF(A37="","",IF(COUNTIFS('TRANSAKSI PENJUALAN'!$A$5:$A$504,A37)=0,"BELUM ADA",INDEX('TRANSAKSI PENJUALAN'!$M$5:$M$504,MATCH(A37,'TRANSAKSI PENJUALAN'!$A$5:$A$504,0))))</f>
        <v/>
      </c>
      <c r="R37" s="24" t="str">
        <f aca="false">IF(A37="","",COUNTIF($A$5:A37,A37))</f>
        <v/>
      </c>
      <c r="S37" s="24" t="str">
        <f aca="false">IF(A37="","",A37&amp;"|"&amp;R37)</f>
        <v/>
      </c>
    </row>
    <row r="38" customFormat="false" ht="27" hidden="false" customHeight="true" outlineLevel="0" collapsed="false">
      <c r="A38" s="14"/>
      <c r="B38" s="14"/>
      <c r="C38" s="18" t="str">
        <f aca="false">IF(B38="","",IF(COUNTIFS('MASTER MENU'!$A$5:$A$504,B38)=0,"BELUM ADA",INDEX('MASTER MENU'!$B$5:$B$504,MATCH(B38,'MASTER MENU'!$A$5:$A$504,0))))</f>
        <v/>
      </c>
      <c r="D38" s="18" t="str">
        <f aca="false">IF(B38="","",IF(COUNTIFS('MASTER MENU'!$A$5:$A$504,B38)=0,"BELUM ADA",INDEX('MASTER MENU'!$E$5:$E$504,MATCH(B38,'MASTER MENU'!$A$5:$A$504,0))))</f>
        <v/>
      </c>
      <c r="E38" s="14"/>
      <c r="F38" s="19" t="str">
        <f aca="false">IF(B38="","",IF(COUNTIFS('MASTER MENU'!$A$5:$A$504,B38)=0,"BELUM ADA",INDEX('MASTER MENU'!$F$5:$F$504,MATCH(B38,'MASTER MENU'!$A$5:$A$504,0))))</f>
        <v/>
      </c>
      <c r="G38" s="19" t="str">
        <f aca="false">IF(A38="","",IF(OR(NOT(ISNUMBER(E38)),NOT(ISNUMBER(F38))),"BELUM LENGKAP",ROUND(E38*F38,0)))</f>
        <v/>
      </c>
      <c r="H38" s="15"/>
      <c r="I38" s="15"/>
      <c r="J38" s="19" t="str">
        <f aca="false">IF(A38="","",IF(NOT(ISNUMBER(G38)),"BELUM LENGKAP",G38-H38-I38))</f>
        <v/>
      </c>
      <c r="K38" s="15"/>
      <c r="L38" s="19" t="str">
        <f aca="false">IF(A38="","",IF(NOT(ISNUMBER(K38)),"ISI SNAPSHOT HPP",ROUND(E38*K38,0)))</f>
        <v/>
      </c>
      <c r="M38" s="19" t="str">
        <f aca="false">IF(A38="","",IF(NOT(ISNUMBER(L38)),"BELUM LENGKAP",J38-L38))</f>
        <v/>
      </c>
      <c r="N38" s="19" t="str">
        <f aca="false">IF(B38="","",IF(COUNTIFS('RESEP DAN HPP'!$A$5:$A$504,B38,'RESEP DAN HPP'!$N$5:$N$504,"LENGKAP")=0,"BELUM LENGKAP",INDEX('RESEP DAN HPP'!$J$5:$J$504,MATCH(B38,'RESEP DAN HPP'!$A$5:$A$504,0))))</f>
        <v/>
      </c>
      <c r="O38" s="14"/>
      <c r="P38" s="27" t="str">
        <f aca="false">IF(A38="","",IF(COUNTIFS('TRANSAKSI PENJUALAN'!$A$5:$A$504,A38)=0,"BELUM ADA",INDEX('TRANSAKSI PENJUALAN'!$B$5:$B$504,MATCH(A38,'TRANSAKSI PENJUALAN'!$A$5:$A$504,0))))</f>
        <v/>
      </c>
      <c r="Q38" s="18" t="str">
        <f aca="false">IF(A38="","",IF(COUNTIFS('TRANSAKSI PENJUALAN'!$A$5:$A$504,A38)=0,"BELUM ADA",INDEX('TRANSAKSI PENJUALAN'!$M$5:$M$504,MATCH(A38,'TRANSAKSI PENJUALAN'!$A$5:$A$504,0))))</f>
        <v/>
      </c>
      <c r="R38" s="24" t="str">
        <f aca="false">IF(A38="","",COUNTIF($A$5:A38,A38))</f>
        <v/>
      </c>
      <c r="S38" s="24" t="str">
        <f aca="false">IF(A38="","",A38&amp;"|"&amp;R38)</f>
        <v/>
      </c>
    </row>
    <row r="39" customFormat="false" ht="27" hidden="false" customHeight="true" outlineLevel="0" collapsed="false">
      <c r="A39" s="14"/>
      <c r="B39" s="14"/>
      <c r="C39" s="18" t="str">
        <f aca="false">IF(B39="","",IF(COUNTIFS('MASTER MENU'!$A$5:$A$504,B39)=0,"BELUM ADA",INDEX('MASTER MENU'!$B$5:$B$504,MATCH(B39,'MASTER MENU'!$A$5:$A$504,0))))</f>
        <v/>
      </c>
      <c r="D39" s="18" t="str">
        <f aca="false">IF(B39="","",IF(COUNTIFS('MASTER MENU'!$A$5:$A$504,B39)=0,"BELUM ADA",INDEX('MASTER MENU'!$E$5:$E$504,MATCH(B39,'MASTER MENU'!$A$5:$A$504,0))))</f>
        <v/>
      </c>
      <c r="E39" s="14"/>
      <c r="F39" s="19" t="str">
        <f aca="false">IF(B39="","",IF(COUNTIFS('MASTER MENU'!$A$5:$A$504,B39)=0,"BELUM ADA",INDEX('MASTER MENU'!$F$5:$F$504,MATCH(B39,'MASTER MENU'!$A$5:$A$504,0))))</f>
        <v/>
      </c>
      <c r="G39" s="19" t="str">
        <f aca="false">IF(A39="","",IF(OR(NOT(ISNUMBER(E39)),NOT(ISNUMBER(F39))),"BELUM LENGKAP",ROUND(E39*F39,0)))</f>
        <v/>
      </c>
      <c r="H39" s="15"/>
      <c r="I39" s="15"/>
      <c r="J39" s="19" t="str">
        <f aca="false">IF(A39="","",IF(NOT(ISNUMBER(G39)),"BELUM LENGKAP",G39-H39-I39))</f>
        <v/>
      </c>
      <c r="K39" s="15"/>
      <c r="L39" s="19" t="str">
        <f aca="false">IF(A39="","",IF(NOT(ISNUMBER(K39)),"ISI SNAPSHOT HPP",ROUND(E39*K39,0)))</f>
        <v/>
      </c>
      <c r="M39" s="19" t="str">
        <f aca="false">IF(A39="","",IF(NOT(ISNUMBER(L39)),"BELUM LENGKAP",J39-L39))</f>
        <v/>
      </c>
      <c r="N39" s="19" t="str">
        <f aca="false">IF(B39="","",IF(COUNTIFS('RESEP DAN HPP'!$A$5:$A$504,B39,'RESEP DAN HPP'!$N$5:$N$504,"LENGKAP")=0,"BELUM LENGKAP",INDEX('RESEP DAN HPP'!$J$5:$J$504,MATCH(B39,'RESEP DAN HPP'!$A$5:$A$504,0))))</f>
        <v/>
      </c>
      <c r="O39" s="14"/>
      <c r="P39" s="27" t="str">
        <f aca="false">IF(A39="","",IF(COUNTIFS('TRANSAKSI PENJUALAN'!$A$5:$A$504,A39)=0,"BELUM ADA",INDEX('TRANSAKSI PENJUALAN'!$B$5:$B$504,MATCH(A39,'TRANSAKSI PENJUALAN'!$A$5:$A$504,0))))</f>
        <v/>
      </c>
      <c r="Q39" s="18" t="str">
        <f aca="false">IF(A39="","",IF(COUNTIFS('TRANSAKSI PENJUALAN'!$A$5:$A$504,A39)=0,"BELUM ADA",INDEX('TRANSAKSI PENJUALAN'!$M$5:$M$504,MATCH(A39,'TRANSAKSI PENJUALAN'!$A$5:$A$504,0))))</f>
        <v/>
      </c>
      <c r="R39" s="24" t="str">
        <f aca="false">IF(A39="","",COUNTIF($A$5:A39,A39))</f>
        <v/>
      </c>
      <c r="S39" s="24" t="str">
        <f aca="false">IF(A39="","",A39&amp;"|"&amp;R39)</f>
        <v/>
      </c>
    </row>
    <row r="40" customFormat="false" ht="27" hidden="false" customHeight="true" outlineLevel="0" collapsed="false">
      <c r="A40" s="14"/>
      <c r="B40" s="14"/>
      <c r="C40" s="18" t="str">
        <f aca="false">IF(B40="","",IF(COUNTIFS('MASTER MENU'!$A$5:$A$504,B40)=0,"BELUM ADA",INDEX('MASTER MENU'!$B$5:$B$504,MATCH(B40,'MASTER MENU'!$A$5:$A$504,0))))</f>
        <v/>
      </c>
      <c r="D40" s="18" t="str">
        <f aca="false">IF(B40="","",IF(COUNTIFS('MASTER MENU'!$A$5:$A$504,B40)=0,"BELUM ADA",INDEX('MASTER MENU'!$E$5:$E$504,MATCH(B40,'MASTER MENU'!$A$5:$A$504,0))))</f>
        <v/>
      </c>
      <c r="E40" s="14"/>
      <c r="F40" s="19" t="str">
        <f aca="false">IF(B40="","",IF(COUNTIFS('MASTER MENU'!$A$5:$A$504,B40)=0,"BELUM ADA",INDEX('MASTER MENU'!$F$5:$F$504,MATCH(B40,'MASTER MENU'!$A$5:$A$504,0))))</f>
        <v/>
      </c>
      <c r="G40" s="19" t="str">
        <f aca="false">IF(A40="","",IF(OR(NOT(ISNUMBER(E40)),NOT(ISNUMBER(F40))),"BELUM LENGKAP",ROUND(E40*F40,0)))</f>
        <v/>
      </c>
      <c r="H40" s="15"/>
      <c r="I40" s="15"/>
      <c r="J40" s="19" t="str">
        <f aca="false">IF(A40="","",IF(NOT(ISNUMBER(G40)),"BELUM LENGKAP",G40-H40-I40))</f>
        <v/>
      </c>
      <c r="K40" s="15"/>
      <c r="L40" s="19" t="str">
        <f aca="false">IF(A40="","",IF(NOT(ISNUMBER(K40)),"ISI SNAPSHOT HPP",ROUND(E40*K40,0)))</f>
        <v/>
      </c>
      <c r="M40" s="19" t="str">
        <f aca="false">IF(A40="","",IF(NOT(ISNUMBER(L40)),"BELUM LENGKAP",J40-L40))</f>
        <v/>
      </c>
      <c r="N40" s="19" t="str">
        <f aca="false">IF(B40="","",IF(COUNTIFS('RESEP DAN HPP'!$A$5:$A$504,B40,'RESEP DAN HPP'!$N$5:$N$504,"LENGKAP")=0,"BELUM LENGKAP",INDEX('RESEP DAN HPP'!$J$5:$J$504,MATCH(B40,'RESEP DAN HPP'!$A$5:$A$504,0))))</f>
        <v/>
      </c>
      <c r="O40" s="14"/>
      <c r="P40" s="27" t="str">
        <f aca="false">IF(A40="","",IF(COUNTIFS('TRANSAKSI PENJUALAN'!$A$5:$A$504,A40)=0,"BELUM ADA",INDEX('TRANSAKSI PENJUALAN'!$B$5:$B$504,MATCH(A40,'TRANSAKSI PENJUALAN'!$A$5:$A$504,0))))</f>
        <v/>
      </c>
      <c r="Q40" s="18" t="str">
        <f aca="false">IF(A40="","",IF(COUNTIFS('TRANSAKSI PENJUALAN'!$A$5:$A$504,A40)=0,"BELUM ADA",INDEX('TRANSAKSI PENJUALAN'!$M$5:$M$504,MATCH(A40,'TRANSAKSI PENJUALAN'!$A$5:$A$504,0))))</f>
        <v/>
      </c>
      <c r="R40" s="24" t="str">
        <f aca="false">IF(A40="","",COUNTIF($A$5:A40,A40))</f>
        <v/>
      </c>
      <c r="S40" s="24" t="str">
        <f aca="false">IF(A40="","",A40&amp;"|"&amp;R40)</f>
        <v/>
      </c>
    </row>
    <row r="41" customFormat="false" ht="27" hidden="false" customHeight="true" outlineLevel="0" collapsed="false">
      <c r="A41" s="14"/>
      <c r="B41" s="14"/>
      <c r="C41" s="18" t="str">
        <f aca="false">IF(B41="","",IF(COUNTIFS('MASTER MENU'!$A$5:$A$504,B41)=0,"BELUM ADA",INDEX('MASTER MENU'!$B$5:$B$504,MATCH(B41,'MASTER MENU'!$A$5:$A$504,0))))</f>
        <v/>
      </c>
      <c r="D41" s="18" t="str">
        <f aca="false">IF(B41="","",IF(COUNTIFS('MASTER MENU'!$A$5:$A$504,B41)=0,"BELUM ADA",INDEX('MASTER MENU'!$E$5:$E$504,MATCH(B41,'MASTER MENU'!$A$5:$A$504,0))))</f>
        <v/>
      </c>
      <c r="E41" s="14"/>
      <c r="F41" s="19" t="str">
        <f aca="false">IF(B41="","",IF(COUNTIFS('MASTER MENU'!$A$5:$A$504,B41)=0,"BELUM ADA",INDEX('MASTER MENU'!$F$5:$F$504,MATCH(B41,'MASTER MENU'!$A$5:$A$504,0))))</f>
        <v/>
      </c>
      <c r="G41" s="19" t="str">
        <f aca="false">IF(A41="","",IF(OR(NOT(ISNUMBER(E41)),NOT(ISNUMBER(F41))),"BELUM LENGKAP",ROUND(E41*F41,0)))</f>
        <v/>
      </c>
      <c r="H41" s="15"/>
      <c r="I41" s="15"/>
      <c r="J41" s="19" t="str">
        <f aca="false">IF(A41="","",IF(NOT(ISNUMBER(G41)),"BELUM LENGKAP",G41-H41-I41))</f>
        <v/>
      </c>
      <c r="K41" s="15"/>
      <c r="L41" s="19" t="str">
        <f aca="false">IF(A41="","",IF(NOT(ISNUMBER(K41)),"ISI SNAPSHOT HPP",ROUND(E41*K41,0)))</f>
        <v/>
      </c>
      <c r="M41" s="19" t="str">
        <f aca="false">IF(A41="","",IF(NOT(ISNUMBER(L41)),"BELUM LENGKAP",J41-L41))</f>
        <v/>
      </c>
      <c r="N41" s="19" t="str">
        <f aca="false">IF(B41="","",IF(COUNTIFS('RESEP DAN HPP'!$A$5:$A$504,B41,'RESEP DAN HPP'!$N$5:$N$504,"LENGKAP")=0,"BELUM LENGKAP",INDEX('RESEP DAN HPP'!$J$5:$J$504,MATCH(B41,'RESEP DAN HPP'!$A$5:$A$504,0))))</f>
        <v/>
      </c>
      <c r="O41" s="14"/>
      <c r="P41" s="27" t="str">
        <f aca="false">IF(A41="","",IF(COUNTIFS('TRANSAKSI PENJUALAN'!$A$5:$A$504,A41)=0,"BELUM ADA",INDEX('TRANSAKSI PENJUALAN'!$B$5:$B$504,MATCH(A41,'TRANSAKSI PENJUALAN'!$A$5:$A$504,0))))</f>
        <v/>
      </c>
      <c r="Q41" s="18" t="str">
        <f aca="false">IF(A41="","",IF(COUNTIFS('TRANSAKSI PENJUALAN'!$A$5:$A$504,A41)=0,"BELUM ADA",INDEX('TRANSAKSI PENJUALAN'!$M$5:$M$504,MATCH(A41,'TRANSAKSI PENJUALAN'!$A$5:$A$504,0))))</f>
        <v/>
      </c>
      <c r="R41" s="24" t="str">
        <f aca="false">IF(A41="","",COUNTIF($A$5:A41,A41))</f>
        <v/>
      </c>
      <c r="S41" s="24" t="str">
        <f aca="false">IF(A41="","",A41&amp;"|"&amp;R41)</f>
        <v/>
      </c>
    </row>
    <row r="42" customFormat="false" ht="27" hidden="false" customHeight="true" outlineLevel="0" collapsed="false">
      <c r="A42" s="14"/>
      <c r="B42" s="14"/>
      <c r="C42" s="18" t="str">
        <f aca="false">IF(B42="","",IF(COUNTIFS('MASTER MENU'!$A$5:$A$504,B42)=0,"BELUM ADA",INDEX('MASTER MENU'!$B$5:$B$504,MATCH(B42,'MASTER MENU'!$A$5:$A$504,0))))</f>
        <v/>
      </c>
      <c r="D42" s="18" t="str">
        <f aca="false">IF(B42="","",IF(COUNTIFS('MASTER MENU'!$A$5:$A$504,B42)=0,"BELUM ADA",INDEX('MASTER MENU'!$E$5:$E$504,MATCH(B42,'MASTER MENU'!$A$5:$A$504,0))))</f>
        <v/>
      </c>
      <c r="E42" s="14"/>
      <c r="F42" s="19" t="str">
        <f aca="false">IF(B42="","",IF(COUNTIFS('MASTER MENU'!$A$5:$A$504,B42)=0,"BELUM ADA",INDEX('MASTER MENU'!$F$5:$F$504,MATCH(B42,'MASTER MENU'!$A$5:$A$504,0))))</f>
        <v/>
      </c>
      <c r="G42" s="19" t="str">
        <f aca="false">IF(A42="","",IF(OR(NOT(ISNUMBER(E42)),NOT(ISNUMBER(F42))),"BELUM LENGKAP",ROUND(E42*F42,0)))</f>
        <v/>
      </c>
      <c r="H42" s="15"/>
      <c r="I42" s="15"/>
      <c r="J42" s="19" t="str">
        <f aca="false">IF(A42="","",IF(NOT(ISNUMBER(G42)),"BELUM LENGKAP",G42-H42-I42))</f>
        <v/>
      </c>
      <c r="K42" s="15"/>
      <c r="L42" s="19" t="str">
        <f aca="false">IF(A42="","",IF(NOT(ISNUMBER(K42)),"ISI SNAPSHOT HPP",ROUND(E42*K42,0)))</f>
        <v/>
      </c>
      <c r="M42" s="19" t="str">
        <f aca="false">IF(A42="","",IF(NOT(ISNUMBER(L42)),"BELUM LENGKAP",J42-L42))</f>
        <v/>
      </c>
      <c r="N42" s="19" t="str">
        <f aca="false">IF(B42="","",IF(COUNTIFS('RESEP DAN HPP'!$A$5:$A$504,B42,'RESEP DAN HPP'!$N$5:$N$504,"LENGKAP")=0,"BELUM LENGKAP",INDEX('RESEP DAN HPP'!$J$5:$J$504,MATCH(B42,'RESEP DAN HPP'!$A$5:$A$504,0))))</f>
        <v/>
      </c>
      <c r="O42" s="14"/>
      <c r="P42" s="27" t="str">
        <f aca="false">IF(A42="","",IF(COUNTIFS('TRANSAKSI PENJUALAN'!$A$5:$A$504,A42)=0,"BELUM ADA",INDEX('TRANSAKSI PENJUALAN'!$B$5:$B$504,MATCH(A42,'TRANSAKSI PENJUALAN'!$A$5:$A$504,0))))</f>
        <v/>
      </c>
      <c r="Q42" s="18" t="str">
        <f aca="false">IF(A42="","",IF(COUNTIFS('TRANSAKSI PENJUALAN'!$A$5:$A$504,A42)=0,"BELUM ADA",INDEX('TRANSAKSI PENJUALAN'!$M$5:$M$504,MATCH(A42,'TRANSAKSI PENJUALAN'!$A$5:$A$504,0))))</f>
        <v/>
      </c>
      <c r="R42" s="24" t="str">
        <f aca="false">IF(A42="","",COUNTIF($A$5:A42,A42))</f>
        <v/>
      </c>
      <c r="S42" s="24" t="str">
        <f aca="false">IF(A42="","",A42&amp;"|"&amp;R42)</f>
        <v/>
      </c>
    </row>
    <row r="43" customFormat="false" ht="27" hidden="false" customHeight="true" outlineLevel="0" collapsed="false">
      <c r="A43" s="14"/>
      <c r="B43" s="14"/>
      <c r="C43" s="18" t="str">
        <f aca="false">IF(B43="","",IF(COUNTIFS('MASTER MENU'!$A$5:$A$504,B43)=0,"BELUM ADA",INDEX('MASTER MENU'!$B$5:$B$504,MATCH(B43,'MASTER MENU'!$A$5:$A$504,0))))</f>
        <v/>
      </c>
      <c r="D43" s="18" t="str">
        <f aca="false">IF(B43="","",IF(COUNTIFS('MASTER MENU'!$A$5:$A$504,B43)=0,"BELUM ADA",INDEX('MASTER MENU'!$E$5:$E$504,MATCH(B43,'MASTER MENU'!$A$5:$A$504,0))))</f>
        <v/>
      </c>
      <c r="E43" s="14"/>
      <c r="F43" s="19" t="str">
        <f aca="false">IF(B43="","",IF(COUNTIFS('MASTER MENU'!$A$5:$A$504,B43)=0,"BELUM ADA",INDEX('MASTER MENU'!$F$5:$F$504,MATCH(B43,'MASTER MENU'!$A$5:$A$504,0))))</f>
        <v/>
      </c>
      <c r="G43" s="19" t="str">
        <f aca="false">IF(A43="","",IF(OR(NOT(ISNUMBER(E43)),NOT(ISNUMBER(F43))),"BELUM LENGKAP",ROUND(E43*F43,0)))</f>
        <v/>
      </c>
      <c r="H43" s="15"/>
      <c r="I43" s="15"/>
      <c r="J43" s="19" t="str">
        <f aca="false">IF(A43="","",IF(NOT(ISNUMBER(G43)),"BELUM LENGKAP",G43-H43-I43))</f>
        <v/>
      </c>
      <c r="K43" s="15"/>
      <c r="L43" s="19" t="str">
        <f aca="false">IF(A43="","",IF(NOT(ISNUMBER(K43)),"ISI SNAPSHOT HPP",ROUND(E43*K43,0)))</f>
        <v/>
      </c>
      <c r="M43" s="19" t="str">
        <f aca="false">IF(A43="","",IF(NOT(ISNUMBER(L43)),"BELUM LENGKAP",J43-L43))</f>
        <v/>
      </c>
      <c r="N43" s="19" t="str">
        <f aca="false">IF(B43="","",IF(COUNTIFS('RESEP DAN HPP'!$A$5:$A$504,B43,'RESEP DAN HPP'!$N$5:$N$504,"LENGKAP")=0,"BELUM LENGKAP",INDEX('RESEP DAN HPP'!$J$5:$J$504,MATCH(B43,'RESEP DAN HPP'!$A$5:$A$504,0))))</f>
        <v/>
      </c>
      <c r="O43" s="14"/>
      <c r="P43" s="27" t="str">
        <f aca="false">IF(A43="","",IF(COUNTIFS('TRANSAKSI PENJUALAN'!$A$5:$A$504,A43)=0,"BELUM ADA",INDEX('TRANSAKSI PENJUALAN'!$B$5:$B$504,MATCH(A43,'TRANSAKSI PENJUALAN'!$A$5:$A$504,0))))</f>
        <v/>
      </c>
      <c r="Q43" s="18" t="str">
        <f aca="false">IF(A43="","",IF(COUNTIFS('TRANSAKSI PENJUALAN'!$A$5:$A$504,A43)=0,"BELUM ADA",INDEX('TRANSAKSI PENJUALAN'!$M$5:$M$504,MATCH(A43,'TRANSAKSI PENJUALAN'!$A$5:$A$504,0))))</f>
        <v/>
      </c>
      <c r="R43" s="24" t="str">
        <f aca="false">IF(A43="","",COUNTIF($A$5:A43,A43))</f>
        <v/>
      </c>
      <c r="S43" s="24" t="str">
        <f aca="false">IF(A43="","",A43&amp;"|"&amp;R43)</f>
        <v/>
      </c>
    </row>
    <row r="44" customFormat="false" ht="27" hidden="false" customHeight="true" outlineLevel="0" collapsed="false">
      <c r="A44" s="14"/>
      <c r="B44" s="14"/>
      <c r="C44" s="18" t="str">
        <f aca="false">IF(B44="","",IF(COUNTIFS('MASTER MENU'!$A$5:$A$504,B44)=0,"BELUM ADA",INDEX('MASTER MENU'!$B$5:$B$504,MATCH(B44,'MASTER MENU'!$A$5:$A$504,0))))</f>
        <v/>
      </c>
      <c r="D44" s="18" t="str">
        <f aca="false">IF(B44="","",IF(COUNTIFS('MASTER MENU'!$A$5:$A$504,B44)=0,"BELUM ADA",INDEX('MASTER MENU'!$E$5:$E$504,MATCH(B44,'MASTER MENU'!$A$5:$A$504,0))))</f>
        <v/>
      </c>
      <c r="E44" s="14"/>
      <c r="F44" s="19" t="str">
        <f aca="false">IF(B44="","",IF(COUNTIFS('MASTER MENU'!$A$5:$A$504,B44)=0,"BELUM ADA",INDEX('MASTER MENU'!$F$5:$F$504,MATCH(B44,'MASTER MENU'!$A$5:$A$504,0))))</f>
        <v/>
      </c>
      <c r="G44" s="19" t="str">
        <f aca="false">IF(A44="","",IF(OR(NOT(ISNUMBER(E44)),NOT(ISNUMBER(F44))),"BELUM LENGKAP",ROUND(E44*F44,0)))</f>
        <v/>
      </c>
      <c r="H44" s="15"/>
      <c r="I44" s="15"/>
      <c r="J44" s="19" t="str">
        <f aca="false">IF(A44="","",IF(NOT(ISNUMBER(G44)),"BELUM LENGKAP",G44-H44-I44))</f>
        <v/>
      </c>
      <c r="K44" s="15"/>
      <c r="L44" s="19" t="str">
        <f aca="false">IF(A44="","",IF(NOT(ISNUMBER(K44)),"ISI SNAPSHOT HPP",ROUND(E44*K44,0)))</f>
        <v/>
      </c>
      <c r="M44" s="19" t="str">
        <f aca="false">IF(A44="","",IF(NOT(ISNUMBER(L44)),"BELUM LENGKAP",J44-L44))</f>
        <v/>
      </c>
      <c r="N44" s="19" t="str">
        <f aca="false">IF(B44="","",IF(COUNTIFS('RESEP DAN HPP'!$A$5:$A$504,B44,'RESEP DAN HPP'!$N$5:$N$504,"LENGKAP")=0,"BELUM LENGKAP",INDEX('RESEP DAN HPP'!$J$5:$J$504,MATCH(B44,'RESEP DAN HPP'!$A$5:$A$504,0))))</f>
        <v/>
      </c>
      <c r="O44" s="14"/>
      <c r="P44" s="27" t="str">
        <f aca="false">IF(A44="","",IF(COUNTIFS('TRANSAKSI PENJUALAN'!$A$5:$A$504,A44)=0,"BELUM ADA",INDEX('TRANSAKSI PENJUALAN'!$B$5:$B$504,MATCH(A44,'TRANSAKSI PENJUALAN'!$A$5:$A$504,0))))</f>
        <v/>
      </c>
      <c r="Q44" s="18" t="str">
        <f aca="false">IF(A44="","",IF(COUNTIFS('TRANSAKSI PENJUALAN'!$A$5:$A$504,A44)=0,"BELUM ADA",INDEX('TRANSAKSI PENJUALAN'!$M$5:$M$504,MATCH(A44,'TRANSAKSI PENJUALAN'!$A$5:$A$504,0))))</f>
        <v/>
      </c>
      <c r="R44" s="24" t="str">
        <f aca="false">IF(A44="","",COUNTIF($A$5:A44,A44))</f>
        <v/>
      </c>
      <c r="S44" s="24" t="str">
        <f aca="false">IF(A44="","",A44&amp;"|"&amp;R44)</f>
        <v/>
      </c>
    </row>
    <row r="45" customFormat="false" ht="27" hidden="false" customHeight="true" outlineLevel="0" collapsed="false">
      <c r="A45" s="14"/>
      <c r="B45" s="14"/>
      <c r="C45" s="18" t="str">
        <f aca="false">IF(B45="","",IF(COUNTIFS('MASTER MENU'!$A$5:$A$504,B45)=0,"BELUM ADA",INDEX('MASTER MENU'!$B$5:$B$504,MATCH(B45,'MASTER MENU'!$A$5:$A$504,0))))</f>
        <v/>
      </c>
      <c r="D45" s="18" t="str">
        <f aca="false">IF(B45="","",IF(COUNTIFS('MASTER MENU'!$A$5:$A$504,B45)=0,"BELUM ADA",INDEX('MASTER MENU'!$E$5:$E$504,MATCH(B45,'MASTER MENU'!$A$5:$A$504,0))))</f>
        <v/>
      </c>
      <c r="E45" s="14"/>
      <c r="F45" s="19" t="str">
        <f aca="false">IF(B45="","",IF(COUNTIFS('MASTER MENU'!$A$5:$A$504,B45)=0,"BELUM ADA",INDEX('MASTER MENU'!$F$5:$F$504,MATCH(B45,'MASTER MENU'!$A$5:$A$504,0))))</f>
        <v/>
      </c>
      <c r="G45" s="19" t="str">
        <f aca="false">IF(A45="","",IF(OR(NOT(ISNUMBER(E45)),NOT(ISNUMBER(F45))),"BELUM LENGKAP",ROUND(E45*F45,0)))</f>
        <v/>
      </c>
      <c r="H45" s="15"/>
      <c r="I45" s="15"/>
      <c r="J45" s="19" t="str">
        <f aca="false">IF(A45="","",IF(NOT(ISNUMBER(G45)),"BELUM LENGKAP",G45-H45-I45))</f>
        <v/>
      </c>
      <c r="K45" s="15"/>
      <c r="L45" s="19" t="str">
        <f aca="false">IF(A45="","",IF(NOT(ISNUMBER(K45)),"ISI SNAPSHOT HPP",ROUND(E45*K45,0)))</f>
        <v/>
      </c>
      <c r="M45" s="19" t="str">
        <f aca="false">IF(A45="","",IF(NOT(ISNUMBER(L45)),"BELUM LENGKAP",J45-L45))</f>
        <v/>
      </c>
      <c r="N45" s="19" t="str">
        <f aca="false">IF(B45="","",IF(COUNTIFS('RESEP DAN HPP'!$A$5:$A$504,B45,'RESEP DAN HPP'!$N$5:$N$504,"LENGKAP")=0,"BELUM LENGKAP",INDEX('RESEP DAN HPP'!$J$5:$J$504,MATCH(B45,'RESEP DAN HPP'!$A$5:$A$504,0))))</f>
        <v/>
      </c>
      <c r="O45" s="14"/>
      <c r="P45" s="27" t="str">
        <f aca="false">IF(A45="","",IF(COUNTIFS('TRANSAKSI PENJUALAN'!$A$5:$A$504,A45)=0,"BELUM ADA",INDEX('TRANSAKSI PENJUALAN'!$B$5:$B$504,MATCH(A45,'TRANSAKSI PENJUALAN'!$A$5:$A$504,0))))</f>
        <v/>
      </c>
      <c r="Q45" s="18" t="str">
        <f aca="false">IF(A45="","",IF(COUNTIFS('TRANSAKSI PENJUALAN'!$A$5:$A$504,A45)=0,"BELUM ADA",INDEX('TRANSAKSI PENJUALAN'!$M$5:$M$504,MATCH(A45,'TRANSAKSI PENJUALAN'!$A$5:$A$504,0))))</f>
        <v/>
      </c>
      <c r="R45" s="24" t="str">
        <f aca="false">IF(A45="","",COUNTIF($A$5:A45,A45))</f>
        <v/>
      </c>
      <c r="S45" s="24" t="str">
        <f aca="false">IF(A45="","",A45&amp;"|"&amp;R45)</f>
        <v/>
      </c>
    </row>
    <row r="46" customFormat="false" ht="27" hidden="false" customHeight="true" outlineLevel="0" collapsed="false">
      <c r="A46" s="14"/>
      <c r="B46" s="14"/>
      <c r="C46" s="18" t="str">
        <f aca="false">IF(B46="","",IF(COUNTIFS('MASTER MENU'!$A$5:$A$504,B46)=0,"BELUM ADA",INDEX('MASTER MENU'!$B$5:$B$504,MATCH(B46,'MASTER MENU'!$A$5:$A$504,0))))</f>
        <v/>
      </c>
      <c r="D46" s="18" t="str">
        <f aca="false">IF(B46="","",IF(COUNTIFS('MASTER MENU'!$A$5:$A$504,B46)=0,"BELUM ADA",INDEX('MASTER MENU'!$E$5:$E$504,MATCH(B46,'MASTER MENU'!$A$5:$A$504,0))))</f>
        <v/>
      </c>
      <c r="E46" s="14"/>
      <c r="F46" s="19" t="str">
        <f aca="false">IF(B46="","",IF(COUNTIFS('MASTER MENU'!$A$5:$A$504,B46)=0,"BELUM ADA",INDEX('MASTER MENU'!$F$5:$F$504,MATCH(B46,'MASTER MENU'!$A$5:$A$504,0))))</f>
        <v/>
      </c>
      <c r="G46" s="19" t="str">
        <f aca="false">IF(A46="","",IF(OR(NOT(ISNUMBER(E46)),NOT(ISNUMBER(F46))),"BELUM LENGKAP",ROUND(E46*F46,0)))</f>
        <v/>
      </c>
      <c r="H46" s="15"/>
      <c r="I46" s="15"/>
      <c r="J46" s="19" t="str">
        <f aca="false">IF(A46="","",IF(NOT(ISNUMBER(G46)),"BELUM LENGKAP",G46-H46-I46))</f>
        <v/>
      </c>
      <c r="K46" s="15"/>
      <c r="L46" s="19" t="str">
        <f aca="false">IF(A46="","",IF(NOT(ISNUMBER(K46)),"ISI SNAPSHOT HPP",ROUND(E46*K46,0)))</f>
        <v/>
      </c>
      <c r="M46" s="19" t="str">
        <f aca="false">IF(A46="","",IF(NOT(ISNUMBER(L46)),"BELUM LENGKAP",J46-L46))</f>
        <v/>
      </c>
      <c r="N46" s="19" t="str">
        <f aca="false">IF(B46="","",IF(COUNTIFS('RESEP DAN HPP'!$A$5:$A$504,B46,'RESEP DAN HPP'!$N$5:$N$504,"LENGKAP")=0,"BELUM LENGKAP",INDEX('RESEP DAN HPP'!$J$5:$J$504,MATCH(B46,'RESEP DAN HPP'!$A$5:$A$504,0))))</f>
        <v/>
      </c>
      <c r="O46" s="14"/>
      <c r="P46" s="27" t="str">
        <f aca="false">IF(A46="","",IF(COUNTIFS('TRANSAKSI PENJUALAN'!$A$5:$A$504,A46)=0,"BELUM ADA",INDEX('TRANSAKSI PENJUALAN'!$B$5:$B$504,MATCH(A46,'TRANSAKSI PENJUALAN'!$A$5:$A$504,0))))</f>
        <v/>
      </c>
      <c r="Q46" s="18" t="str">
        <f aca="false">IF(A46="","",IF(COUNTIFS('TRANSAKSI PENJUALAN'!$A$5:$A$504,A46)=0,"BELUM ADA",INDEX('TRANSAKSI PENJUALAN'!$M$5:$M$504,MATCH(A46,'TRANSAKSI PENJUALAN'!$A$5:$A$504,0))))</f>
        <v/>
      </c>
      <c r="R46" s="24" t="str">
        <f aca="false">IF(A46="","",COUNTIF($A$5:A46,A46))</f>
        <v/>
      </c>
      <c r="S46" s="24" t="str">
        <f aca="false">IF(A46="","",A46&amp;"|"&amp;R46)</f>
        <v/>
      </c>
    </row>
    <row r="47" customFormat="false" ht="27" hidden="false" customHeight="true" outlineLevel="0" collapsed="false">
      <c r="A47" s="14"/>
      <c r="B47" s="14"/>
      <c r="C47" s="18" t="str">
        <f aca="false">IF(B47="","",IF(COUNTIFS('MASTER MENU'!$A$5:$A$504,B47)=0,"BELUM ADA",INDEX('MASTER MENU'!$B$5:$B$504,MATCH(B47,'MASTER MENU'!$A$5:$A$504,0))))</f>
        <v/>
      </c>
      <c r="D47" s="18" t="str">
        <f aca="false">IF(B47="","",IF(COUNTIFS('MASTER MENU'!$A$5:$A$504,B47)=0,"BELUM ADA",INDEX('MASTER MENU'!$E$5:$E$504,MATCH(B47,'MASTER MENU'!$A$5:$A$504,0))))</f>
        <v/>
      </c>
      <c r="E47" s="14"/>
      <c r="F47" s="19" t="str">
        <f aca="false">IF(B47="","",IF(COUNTIFS('MASTER MENU'!$A$5:$A$504,B47)=0,"BELUM ADA",INDEX('MASTER MENU'!$F$5:$F$504,MATCH(B47,'MASTER MENU'!$A$5:$A$504,0))))</f>
        <v/>
      </c>
      <c r="G47" s="19" t="str">
        <f aca="false">IF(A47="","",IF(OR(NOT(ISNUMBER(E47)),NOT(ISNUMBER(F47))),"BELUM LENGKAP",ROUND(E47*F47,0)))</f>
        <v/>
      </c>
      <c r="H47" s="15"/>
      <c r="I47" s="15"/>
      <c r="J47" s="19" t="str">
        <f aca="false">IF(A47="","",IF(NOT(ISNUMBER(G47)),"BELUM LENGKAP",G47-H47-I47))</f>
        <v/>
      </c>
      <c r="K47" s="15"/>
      <c r="L47" s="19" t="str">
        <f aca="false">IF(A47="","",IF(NOT(ISNUMBER(K47)),"ISI SNAPSHOT HPP",ROUND(E47*K47,0)))</f>
        <v/>
      </c>
      <c r="M47" s="19" t="str">
        <f aca="false">IF(A47="","",IF(NOT(ISNUMBER(L47)),"BELUM LENGKAP",J47-L47))</f>
        <v/>
      </c>
      <c r="N47" s="19" t="str">
        <f aca="false">IF(B47="","",IF(COUNTIFS('RESEP DAN HPP'!$A$5:$A$504,B47,'RESEP DAN HPP'!$N$5:$N$504,"LENGKAP")=0,"BELUM LENGKAP",INDEX('RESEP DAN HPP'!$J$5:$J$504,MATCH(B47,'RESEP DAN HPP'!$A$5:$A$504,0))))</f>
        <v/>
      </c>
      <c r="O47" s="14"/>
      <c r="P47" s="27" t="str">
        <f aca="false">IF(A47="","",IF(COUNTIFS('TRANSAKSI PENJUALAN'!$A$5:$A$504,A47)=0,"BELUM ADA",INDEX('TRANSAKSI PENJUALAN'!$B$5:$B$504,MATCH(A47,'TRANSAKSI PENJUALAN'!$A$5:$A$504,0))))</f>
        <v/>
      </c>
      <c r="Q47" s="18" t="str">
        <f aca="false">IF(A47="","",IF(COUNTIFS('TRANSAKSI PENJUALAN'!$A$5:$A$504,A47)=0,"BELUM ADA",INDEX('TRANSAKSI PENJUALAN'!$M$5:$M$504,MATCH(A47,'TRANSAKSI PENJUALAN'!$A$5:$A$504,0))))</f>
        <v/>
      </c>
      <c r="R47" s="24" t="str">
        <f aca="false">IF(A47="","",COUNTIF($A$5:A47,A47))</f>
        <v/>
      </c>
      <c r="S47" s="24" t="str">
        <f aca="false">IF(A47="","",A47&amp;"|"&amp;R47)</f>
        <v/>
      </c>
    </row>
    <row r="48" customFormat="false" ht="27" hidden="false" customHeight="true" outlineLevel="0" collapsed="false">
      <c r="A48" s="14"/>
      <c r="B48" s="14"/>
      <c r="C48" s="18" t="str">
        <f aca="false">IF(B48="","",IF(COUNTIFS('MASTER MENU'!$A$5:$A$504,B48)=0,"BELUM ADA",INDEX('MASTER MENU'!$B$5:$B$504,MATCH(B48,'MASTER MENU'!$A$5:$A$504,0))))</f>
        <v/>
      </c>
      <c r="D48" s="18" t="str">
        <f aca="false">IF(B48="","",IF(COUNTIFS('MASTER MENU'!$A$5:$A$504,B48)=0,"BELUM ADA",INDEX('MASTER MENU'!$E$5:$E$504,MATCH(B48,'MASTER MENU'!$A$5:$A$504,0))))</f>
        <v/>
      </c>
      <c r="E48" s="14"/>
      <c r="F48" s="19" t="str">
        <f aca="false">IF(B48="","",IF(COUNTIFS('MASTER MENU'!$A$5:$A$504,B48)=0,"BELUM ADA",INDEX('MASTER MENU'!$F$5:$F$504,MATCH(B48,'MASTER MENU'!$A$5:$A$504,0))))</f>
        <v/>
      </c>
      <c r="G48" s="19" t="str">
        <f aca="false">IF(A48="","",IF(OR(NOT(ISNUMBER(E48)),NOT(ISNUMBER(F48))),"BELUM LENGKAP",ROUND(E48*F48,0)))</f>
        <v/>
      </c>
      <c r="H48" s="15"/>
      <c r="I48" s="15"/>
      <c r="J48" s="19" t="str">
        <f aca="false">IF(A48="","",IF(NOT(ISNUMBER(G48)),"BELUM LENGKAP",G48-H48-I48))</f>
        <v/>
      </c>
      <c r="K48" s="15"/>
      <c r="L48" s="19" t="str">
        <f aca="false">IF(A48="","",IF(NOT(ISNUMBER(K48)),"ISI SNAPSHOT HPP",ROUND(E48*K48,0)))</f>
        <v/>
      </c>
      <c r="M48" s="19" t="str">
        <f aca="false">IF(A48="","",IF(NOT(ISNUMBER(L48)),"BELUM LENGKAP",J48-L48))</f>
        <v/>
      </c>
      <c r="N48" s="19" t="str">
        <f aca="false">IF(B48="","",IF(COUNTIFS('RESEP DAN HPP'!$A$5:$A$504,B48,'RESEP DAN HPP'!$N$5:$N$504,"LENGKAP")=0,"BELUM LENGKAP",INDEX('RESEP DAN HPP'!$J$5:$J$504,MATCH(B48,'RESEP DAN HPP'!$A$5:$A$504,0))))</f>
        <v/>
      </c>
      <c r="O48" s="14"/>
      <c r="P48" s="27" t="str">
        <f aca="false">IF(A48="","",IF(COUNTIFS('TRANSAKSI PENJUALAN'!$A$5:$A$504,A48)=0,"BELUM ADA",INDEX('TRANSAKSI PENJUALAN'!$B$5:$B$504,MATCH(A48,'TRANSAKSI PENJUALAN'!$A$5:$A$504,0))))</f>
        <v/>
      </c>
      <c r="Q48" s="18" t="str">
        <f aca="false">IF(A48="","",IF(COUNTIFS('TRANSAKSI PENJUALAN'!$A$5:$A$504,A48)=0,"BELUM ADA",INDEX('TRANSAKSI PENJUALAN'!$M$5:$M$504,MATCH(A48,'TRANSAKSI PENJUALAN'!$A$5:$A$504,0))))</f>
        <v/>
      </c>
      <c r="R48" s="24" t="str">
        <f aca="false">IF(A48="","",COUNTIF($A$5:A48,A48))</f>
        <v/>
      </c>
      <c r="S48" s="24" t="str">
        <f aca="false">IF(A48="","",A48&amp;"|"&amp;R48)</f>
        <v/>
      </c>
    </row>
    <row r="49" customFormat="false" ht="27" hidden="false" customHeight="true" outlineLevel="0" collapsed="false">
      <c r="A49" s="14"/>
      <c r="B49" s="14"/>
      <c r="C49" s="18" t="str">
        <f aca="false">IF(B49="","",IF(COUNTIFS('MASTER MENU'!$A$5:$A$504,B49)=0,"BELUM ADA",INDEX('MASTER MENU'!$B$5:$B$504,MATCH(B49,'MASTER MENU'!$A$5:$A$504,0))))</f>
        <v/>
      </c>
      <c r="D49" s="18" t="str">
        <f aca="false">IF(B49="","",IF(COUNTIFS('MASTER MENU'!$A$5:$A$504,B49)=0,"BELUM ADA",INDEX('MASTER MENU'!$E$5:$E$504,MATCH(B49,'MASTER MENU'!$A$5:$A$504,0))))</f>
        <v/>
      </c>
      <c r="E49" s="14"/>
      <c r="F49" s="19" t="str">
        <f aca="false">IF(B49="","",IF(COUNTIFS('MASTER MENU'!$A$5:$A$504,B49)=0,"BELUM ADA",INDEX('MASTER MENU'!$F$5:$F$504,MATCH(B49,'MASTER MENU'!$A$5:$A$504,0))))</f>
        <v/>
      </c>
      <c r="G49" s="19" t="str">
        <f aca="false">IF(A49="","",IF(OR(NOT(ISNUMBER(E49)),NOT(ISNUMBER(F49))),"BELUM LENGKAP",ROUND(E49*F49,0)))</f>
        <v/>
      </c>
      <c r="H49" s="15"/>
      <c r="I49" s="15"/>
      <c r="J49" s="19" t="str">
        <f aca="false">IF(A49="","",IF(NOT(ISNUMBER(G49)),"BELUM LENGKAP",G49-H49-I49))</f>
        <v/>
      </c>
      <c r="K49" s="15"/>
      <c r="L49" s="19" t="str">
        <f aca="false">IF(A49="","",IF(NOT(ISNUMBER(K49)),"ISI SNAPSHOT HPP",ROUND(E49*K49,0)))</f>
        <v/>
      </c>
      <c r="M49" s="19" t="str">
        <f aca="false">IF(A49="","",IF(NOT(ISNUMBER(L49)),"BELUM LENGKAP",J49-L49))</f>
        <v/>
      </c>
      <c r="N49" s="19" t="str">
        <f aca="false">IF(B49="","",IF(COUNTIFS('RESEP DAN HPP'!$A$5:$A$504,B49,'RESEP DAN HPP'!$N$5:$N$504,"LENGKAP")=0,"BELUM LENGKAP",INDEX('RESEP DAN HPP'!$J$5:$J$504,MATCH(B49,'RESEP DAN HPP'!$A$5:$A$504,0))))</f>
        <v/>
      </c>
      <c r="O49" s="14"/>
      <c r="P49" s="27" t="str">
        <f aca="false">IF(A49="","",IF(COUNTIFS('TRANSAKSI PENJUALAN'!$A$5:$A$504,A49)=0,"BELUM ADA",INDEX('TRANSAKSI PENJUALAN'!$B$5:$B$504,MATCH(A49,'TRANSAKSI PENJUALAN'!$A$5:$A$504,0))))</f>
        <v/>
      </c>
      <c r="Q49" s="18" t="str">
        <f aca="false">IF(A49="","",IF(COUNTIFS('TRANSAKSI PENJUALAN'!$A$5:$A$504,A49)=0,"BELUM ADA",INDEX('TRANSAKSI PENJUALAN'!$M$5:$M$504,MATCH(A49,'TRANSAKSI PENJUALAN'!$A$5:$A$504,0))))</f>
        <v/>
      </c>
      <c r="R49" s="24" t="str">
        <f aca="false">IF(A49="","",COUNTIF($A$5:A49,A49))</f>
        <v/>
      </c>
      <c r="S49" s="24" t="str">
        <f aca="false">IF(A49="","",A49&amp;"|"&amp;R49)</f>
        <v/>
      </c>
    </row>
    <row r="50" customFormat="false" ht="27" hidden="false" customHeight="true" outlineLevel="0" collapsed="false">
      <c r="A50" s="14"/>
      <c r="B50" s="14"/>
      <c r="C50" s="18" t="str">
        <f aca="false">IF(B50="","",IF(COUNTIFS('MASTER MENU'!$A$5:$A$504,B50)=0,"BELUM ADA",INDEX('MASTER MENU'!$B$5:$B$504,MATCH(B50,'MASTER MENU'!$A$5:$A$504,0))))</f>
        <v/>
      </c>
      <c r="D50" s="18" t="str">
        <f aca="false">IF(B50="","",IF(COUNTIFS('MASTER MENU'!$A$5:$A$504,B50)=0,"BELUM ADA",INDEX('MASTER MENU'!$E$5:$E$504,MATCH(B50,'MASTER MENU'!$A$5:$A$504,0))))</f>
        <v/>
      </c>
      <c r="E50" s="14"/>
      <c r="F50" s="19" t="str">
        <f aca="false">IF(B50="","",IF(COUNTIFS('MASTER MENU'!$A$5:$A$504,B50)=0,"BELUM ADA",INDEX('MASTER MENU'!$F$5:$F$504,MATCH(B50,'MASTER MENU'!$A$5:$A$504,0))))</f>
        <v/>
      </c>
      <c r="G50" s="19" t="str">
        <f aca="false">IF(A50="","",IF(OR(NOT(ISNUMBER(E50)),NOT(ISNUMBER(F50))),"BELUM LENGKAP",ROUND(E50*F50,0)))</f>
        <v/>
      </c>
      <c r="H50" s="15"/>
      <c r="I50" s="15"/>
      <c r="J50" s="19" t="str">
        <f aca="false">IF(A50="","",IF(NOT(ISNUMBER(G50)),"BELUM LENGKAP",G50-H50-I50))</f>
        <v/>
      </c>
      <c r="K50" s="15"/>
      <c r="L50" s="19" t="str">
        <f aca="false">IF(A50="","",IF(NOT(ISNUMBER(K50)),"ISI SNAPSHOT HPP",ROUND(E50*K50,0)))</f>
        <v/>
      </c>
      <c r="M50" s="19" t="str">
        <f aca="false">IF(A50="","",IF(NOT(ISNUMBER(L50)),"BELUM LENGKAP",J50-L50))</f>
        <v/>
      </c>
      <c r="N50" s="19" t="str">
        <f aca="false">IF(B50="","",IF(COUNTIFS('RESEP DAN HPP'!$A$5:$A$504,B50,'RESEP DAN HPP'!$N$5:$N$504,"LENGKAP")=0,"BELUM LENGKAP",INDEX('RESEP DAN HPP'!$J$5:$J$504,MATCH(B50,'RESEP DAN HPP'!$A$5:$A$504,0))))</f>
        <v/>
      </c>
      <c r="O50" s="14"/>
      <c r="P50" s="27" t="str">
        <f aca="false">IF(A50="","",IF(COUNTIFS('TRANSAKSI PENJUALAN'!$A$5:$A$504,A50)=0,"BELUM ADA",INDEX('TRANSAKSI PENJUALAN'!$B$5:$B$504,MATCH(A50,'TRANSAKSI PENJUALAN'!$A$5:$A$504,0))))</f>
        <v/>
      </c>
      <c r="Q50" s="18" t="str">
        <f aca="false">IF(A50="","",IF(COUNTIFS('TRANSAKSI PENJUALAN'!$A$5:$A$504,A50)=0,"BELUM ADA",INDEX('TRANSAKSI PENJUALAN'!$M$5:$M$504,MATCH(A50,'TRANSAKSI PENJUALAN'!$A$5:$A$504,0))))</f>
        <v/>
      </c>
      <c r="R50" s="24" t="str">
        <f aca="false">IF(A50="","",COUNTIF($A$5:A50,A50))</f>
        <v/>
      </c>
      <c r="S50" s="24" t="str">
        <f aca="false">IF(A50="","",A50&amp;"|"&amp;R50)</f>
        <v/>
      </c>
    </row>
    <row r="51" customFormat="false" ht="27" hidden="false" customHeight="true" outlineLevel="0" collapsed="false">
      <c r="A51" s="14"/>
      <c r="B51" s="14"/>
      <c r="C51" s="18" t="str">
        <f aca="false">IF(B51="","",IF(COUNTIFS('MASTER MENU'!$A$5:$A$504,B51)=0,"BELUM ADA",INDEX('MASTER MENU'!$B$5:$B$504,MATCH(B51,'MASTER MENU'!$A$5:$A$504,0))))</f>
        <v/>
      </c>
      <c r="D51" s="18" t="str">
        <f aca="false">IF(B51="","",IF(COUNTIFS('MASTER MENU'!$A$5:$A$504,B51)=0,"BELUM ADA",INDEX('MASTER MENU'!$E$5:$E$504,MATCH(B51,'MASTER MENU'!$A$5:$A$504,0))))</f>
        <v/>
      </c>
      <c r="E51" s="14"/>
      <c r="F51" s="19" t="str">
        <f aca="false">IF(B51="","",IF(COUNTIFS('MASTER MENU'!$A$5:$A$504,B51)=0,"BELUM ADA",INDEX('MASTER MENU'!$F$5:$F$504,MATCH(B51,'MASTER MENU'!$A$5:$A$504,0))))</f>
        <v/>
      </c>
      <c r="G51" s="19" t="str">
        <f aca="false">IF(A51="","",IF(OR(NOT(ISNUMBER(E51)),NOT(ISNUMBER(F51))),"BELUM LENGKAP",ROUND(E51*F51,0)))</f>
        <v/>
      </c>
      <c r="H51" s="15"/>
      <c r="I51" s="15"/>
      <c r="J51" s="19" t="str">
        <f aca="false">IF(A51="","",IF(NOT(ISNUMBER(G51)),"BELUM LENGKAP",G51-H51-I51))</f>
        <v/>
      </c>
      <c r="K51" s="15"/>
      <c r="L51" s="19" t="str">
        <f aca="false">IF(A51="","",IF(NOT(ISNUMBER(K51)),"ISI SNAPSHOT HPP",ROUND(E51*K51,0)))</f>
        <v/>
      </c>
      <c r="M51" s="19" t="str">
        <f aca="false">IF(A51="","",IF(NOT(ISNUMBER(L51)),"BELUM LENGKAP",J51-L51))</f>
        <v/>
      </c>
      <c r="N51" s="19" t="str">
        <f aca="false">IF(B51="","",IF(COUNTIFS('RESEP DAN HPP'!$A$5:$A$504,B51,'RESEP DAN HPP'!$N$5:$N$504,"LENGKAP")=0,"BELUM LENGKAP",INDEX('RESEP DAN HPP'!$J$5:$J$504,MATCH(B51,'RESEP DAN HPP'!$A$5:$A$504,0))))</f>
        <v/>
      </c>
      <c r="O51" s="14"/>
      <c r="P51" s="27" t="str">
        <f aca="false">IF(A51="","",IF(COUNTIFS('TRANSAKSI PENJUALAN'!$A$5:$A$504,A51)=0,"BELUM ADA",INDEX('TRANSAKSI PENJUALAN'!$B$5:$B$504,MATCH(A51,'TRANSAKSI PENJUALAN'!$A$5:$A$504,0))))</f>
        <v/>
      </c>
      <c r="Q51" s="18" t="str">
        <f aca="false">IF(A51="","",IF(COUNTIFS('TRANSAKSI PENJUALAN'!$A$5:$A$504,A51)=0,"BELUM ADA",INDEX('TRANSAKSI PENJUALAN'!$M$5:$M$504,MATCH(A51,'TRANSAKSI PENJUALAN'!$A$5:$A$504,0))))</f>
        <v/>
      </c>
      <c r="R51" s="24" t="str">
        <f aca="false">IF(A51="","",COUNTIF($A$5:A51,A51))</f>
        <v/>
      </c>
      <c r="S51" s="24" t="str">
        <f aca="false">IF(A51="","",A51&amp;"|"&amp;R51)</f>
        <v/>
      </c>
    </row>
    <row r="52" customFormat="false" ht="27" hidden="false" customHeight="true" outlineLevel="0" collapsed="false">
      <c r="A52" s="14"/>
      <c r="B52" s="14"/>
      <c r="C52" s="18" t="str">
        <f aca="false">IF(B52="","",IF(COUNTIFS('MASTER MENU'!$A$5:$A$504,B52)=0,"BELUM ADA",INDEX('MASTER MENU'!$B$5:$B$504,MATCH(B52,'MASTER MENU'!$A$5:$A$504,0))))</f>
        <v/>
      </c>
      <c r="D52" s="18" t="str">
        <f aca="false">IF(B52="","",IF(COUNTIFS('MASTER MENU'!$A$5:$A$504,B52)=0,"BELUM ADA",INDEX('MASTER MENU'!$E$5:$E$504,MATCH(B52,'MASTER MENU'!$A$5:$A$504,0))))</f>
        <v/>
      </c>
      <c r="E52" s="14"/>
      <c r="F52" s="19" t="str">
        <f aca="false">IF(B52="","",IF(COUNTIFS('MASTER MENU'!$A$5:$A$504,B52)=0,"BELUM ADA",INDEX('MASTER MENU'!$F$5:$F$504,MATCH(B52,'MASTER MENU'!$A$5:$A$504,0))))</f>
        <v/>
      </c>
      <c r="G52" s="19" t="str">
        <f aca="false">IF(A52="","",IF(OR(NOT(ISNUMBER(E52)),NOT(ISNUMBER(F52))),"BELUM LENGKAP",ROUND(E52*F52,0)))</f>
        <v/>
      </c>
      <c r="H52" s="15"/>
      <c r="I52" s="15"/>
      <c r="J52" s="19" t="str">
        <f aca="false">IF(A52="","",IF(NOT(ISNUMBER(G52)),"BELUM LENGKAP",G52-H52-I52))</f>
        <v/>
      </c>
      <c r="K52" s="15"/>
      <c r="L52" s="19" t="str">
        <f aca="false">IF(A52="","",IF(NOT(ISNUMBER(K52)),"ISI SNAPSHOT HPP",ROUND(E52*K52,0)))</f>
        <v/>
      </c>
      <c r="M52" s="19" t="str">
        <f aca="false">IF(A52="","",IF(NOT(ISNUMBER(L52)),"BELUM LENGKAP",J52-L52))</f>
        <v/>
      </c>
      <c r="N52" s="19" t="str">
        <f aca="false">IF(B52="","",IF(COUNTIFS('RESEP DAN HPP'!$A$5:$A$504,B52,'RESEP DAN HPP'!$N$5:$N$504,"LENGKAP")=0,"BELUM LENGKAP",INDEX('RESEP DAN HPP'!$J$5:$J$504,MATCH(B52,'RESEP DAN HPP'!$A$5:$A$504,0))))</f>
        <v/>
      </c>
      <c r="O52" s="14"/>
      <c r="P52" s="27" t="str">
        <f aca="false">IF(A52="","",IF(COUNTIFS('TRANSAKSI PENJUALAN'!$A$5:$A$504,A52)=0,"BELUM ADA",INDEX('TRANSAKSI PENJUALAN'!$B$5:$B$504,MATCH(A52,'TRANSAKSI PENJUALAN'!$A$5:$A$504,0))))</f>
        <v/>
      </c>
      <c r="Q52" s="18" t="str">
        <f aca="false">IF(A52="","",IF(COUNTIFS('TRANSAKSI PENJUALAN'!$A$5:$A$504,A52)=0,"BELUM ADA",INDEX('TRANSAKSI PENJUALAN'!$M$5:$M$504,MATCH(A52,'TRANSAKSI PENJUALAN'!$A$5:$A$504,0))))</f>
        <v/>
      </c>
      <c r="R52" s="24" t="str">
        <f aca="false">IF(A52="","",COUNTIF($A$5:A52,A52))</f>
        <v/>
      </c>
      <c r="S52" s="24" t="str">
        <f aca="false">IF(A52="","",A52&amp;"|"&amp;R52)</f>
        <v/>
      </c>
    </row>
    <row r="53" customFormat="false" ht="27" hidden="false" customHeight="true" outlineLevel="0" collapsed="false">
      <c r="A53" s="14"/>
      <c r="B53" s="14"/>
      <c r="C53" s="18" t="str">
        <f aca="false">IF(B53="","",IF(COUNTIFS('MASTER MENU'!$A$5:$A$504,B53)=0,"BELUM ADA",INDEX('MASTER MENU'!$B$5:$B$504,MATCH(B53,'MASTER MENU'!$A$5:$A$504,0))))</f>
        <v/>
      </c>
      <c r="D53" s="18" t="str">
        <f aca="false">IF(B53="","",IF(COUNTIFS('MASTER MENU'!$A$5:$A$504,B53)=0,"BELUM ADA",INDEX('MASTER MENU'!$E$5:$E$504,MATCH(B53,'MASTER MENU'!$A$5:$A$504,0))))</f>
        <v/>
      </c>
      <c r="E53" s="14"/>
      <c r="F53" s="19" t="str">
        <f aca="false">IF(B53="","",IF(COUNTIFS('MASTER MENU'!$A$5:$A$504,B53)=0,"BELUM ADA",INDEX('MASTER MENU'!$F$5:$F$504,MATCH(B53,'MASTER MENU'!$A$5:$A$504,0))))</f>
        <v/>
      </c>
      <c r="G53" s="19" t="str">
        <f aca="false">IF(A53="","",IF(OR(NOT(ISNUMBER(E53)),NOT(ISNUMBER(F53))),"BELUM LENGKAP",ROUND(E53*F53,0)))</f>
        <v/>
      </c>
      <c r="H53" s="15"/>
      <c r="I53" s="15"/>
      <c r="J53" s="19" t="str">
        <f aca="false">IF(A53="","",IF(NOT(ISNUMBER(G53)),"BELUM LENGKAP",G53-H53-I53))</f>
        <v/>
      </c>
      <c r="K53" s="15"/>
      <c r="L53" s="19" t="str">
        <f aca="false">IF(A53="","",IF(NOT(ISNUMBER(K53)),"ISI SNAPSHOT HPP",ROUND(E53*K53,0)))</f>
        <v/>
      </c>
      <c r="M53" s="19" t="str">
        <f aca="false">IF(A53="","",IF(NOT(ISNUMBER(L53)),"BELUM LENGKAP",J53-L53))</f>
        <v/>
      </c>
      <c r="N53" s="19" t="str">
        <f aca="false">IF(B53="","",IF(COUNTIFS('RESEP DAN HPP'!$A$5:$A$504,B53,'RESEP DAN HPP'!$N$5:$N$504,"LENGKAP")=0,"BELUM LENGKAP",INDEX('RESEP DAN HPP'!$J$5:$J$504,MATCH(B53,'RESEP DAN HPP'!$A$5:$A$504,0))))</f>
        <v/>
      </c>
      <c r="O53" s="14"/>
      <c r="P53" s="27" t="str">
        <f aca="false">IF(A53="","",IF(COUNTIFS('TRANSAKSI PENJUALAN'!$A$5:$A$504,A53)=0,"BELUM ADA",INDEX('TRANSAKSI PENJUALAN'!$B$5:$B$504,MATCH(A53,'TRANSAKSI PENJUALAN'!$A$5:$A$504,0))))</f>
        <v/>
      </c>
      <c r="Q53" s="18" t="str">
        <f aca="false">IF(A53="","",IF(COUNTIFS('TRANSAKSI PENJUALAN'!$A$5:$A$504,A53)=0,"BELUM ADA",INDEX('TRANSAKSI PENJUALAN'!$M$5:$M$504,MATCH(A53,'TRANSAKSI PENJUALAN'!$A$5:$A$504,0))))</f>
        <v/>
      </c>
      <c r="R53" s="24" t="str">
        <f aca="false">IF(A53="","",COUNTIF($A$5:A53,A53))</f>
        <v/>
      </c>
      <c r="S53" s="24" t="str">
        <f aca="false">IF(A53="","",A53&amp;"|"&amp;R53)</f>
        <v/>
      </c>
    </row>
    <row r="54" customFormat="false" ht="27" hidden="false" customHeight="true" outlineLevel="0" collapsed="false">
      <c r="A54" s="14"/>
      <c r="B54" s="14"/>
      <c r="C54" s="18" t="str">
        <f aca="false">IF(B54="","",IF(COUNTIFS('MASTER MENU'!$A$5:$A$504,B54)=0,"BELUM ADA",INDEX('MASTER MENU'!$B$5:$B$504,MATCH(B54,'MASTER MENU'!$A$5:$A$504,0))))</f>
        <v/>
      </c>
      <c r="D54" s="18" t="str">
        <f aca="false">IF(B54="","",IF(COUNTIFS('MASTER MENU'!$A$5:$A$504,B54)=0,"BELUM ADA",INDEX('MASTER MENU'!$E$5:$E$504,MATCH(B54,'MASTER MENU'!$A$5:$A$504,0))))</f>
        <v/>
      </c>
      <c r="E54" s="14"/>
      <c r="F54" s="19" t="str">
        <f aca="false">IF(B54="","",IF(COUNTIFS('MASTER MENU'!$A$5:$A$504,B54)=0,"BELUM ADA",INDEX('MASTER MENU'!$F$5:$F$504,MATCH(B54,'MASTER MENU'!$A$5:$A$504,0))))</f>
        <v/>
      </c>
      <c r="G54" s="19" t="str">
        <f aca="false">IF(A54="","",IF(OR(NOT(ISNUMBER(E54)),NOT(ISNUMBER(F54))),"BELUM LENGKAP",ROUND(E54*F54,0)))</f>
        <v/>
      </c>
      <c r="H54" s="15"/>
      <c r="I54" s="15"/>
      <c r="J54" s="19" t="str">
        <f aca="false">IF(A54="","",IF(NOT(ISNUMBER(G54)),"BELUM LENGKAP",G54-H54-I54))</f>
        <v/>
      </c>
      <c r="K54" s="15"/>
      <c r="L54" s="19" t="str">
        <f aca="false">IF(A54="","",IF(NOT(ISNUMBER(K54)),"ISI SNAPSHOT HPP",ROUND(E54*K54,0)))</f>
        <v/>
      </c>
      <c r="M54" s="19" t="str">
        <f aca="false">IF(A54="","",IF(NOT(ISNUMBER(L54)),"BELUM LENGKAP",J54-L54))</f>
        <v/>
      </c>
      <c r="N54" s="19" t="str">
        <f aca="false">IF(B54="","",IF(COUNTIFS('RESEP DAN HPP'!$A$5:$A$504,B54,'RESEP DAN HPP'!$N$5:$N$504,"LENGKAP")=0,"BELUM LENGKAP",INDEX('RESEP DAN HPP'!$J$5:$J$504,MATCH(B54,'RESEP DAN HPP'!$A$5:$A$504,0))))</f>
        <v/>
      </c>
      <c r="O54" s="14"/>
      <c r="P54" s="27" t="str">
        <f aca="false">IF(A54="","",IF(COUNTIFS('TRANSAKSI PENJUALAN'!$A$5:$A$504,A54)=0,"BELUM ADA",INDEX('TRANSAKSI PENJUALAN'!$B$5:$B$504,MATCH(A54,'TRANSAKSI PENJUALAN'!$A$5:$A$504,0))))</f>
        <v/>
      </c>
      <c r="Q54" s="18" t="str">
        <f aca="false">IF(A54="","",IF(COUNTIFS('TRANSAKSI PENJUALAN'!$A$5:$A$504,A54)=0,"BELUM ADA",INDEX('TRANSAKSI PENJUALAN'!$M$5:$M$504,MATCH(A54,'TRANSAKSI PENJUALAN'!$A$5:$A$504,0))))</f>
        <v/>
      </c>
      <c r="R54" s="24" t="str">
        <f aca="false">IF(A54="","",COUNTIF($A$5:A54,A54))</f>
        <v/>
      </c>
      <c r="S54" s="24" t="str">
        <f aca="false">IF(A54="","",A54&amp;"|"&amp;R54)</f>
        <v/>
      </c>
    </row>
    <row r="55" customFormat="false" ht="27" hidden="false" customHeight="true" outlineLevel="0" collapsed="false">
      <c r="A55" s="14"/>
      <c r="B55" s="14"/>
      <c r="C55" s="18" t="str">
        <f aca="false">IF(B55="","",IF(COUNTIFS('MASTER MENU'!$A$5:$A$504,B55)=0,"BELUM ADA",INDEX('MASTER MENU'!$B$5:$B$504,MATCH(B55,'MASTER MENU'!$A$5:$A$504,0))))</f>
        <v/>
      </c>
      <c r="D55" s="18" t="str">
        <f aca="false">IF(B55="","",IF(COUNTIFS('MASTER MENU'!$A$5:$A$504,B55)=0,"BELUM ADA",INDEX('MASTER MENU'!$E$5:$E$504,MATCH(B55,'MASTER MENU'!$A$5:$A$504,0))))</f>
        <v/>
      </c>
      <c r="E55" s="14"/>
      <c r="F55" s="19" t="str">
        <f aca="false">IF(B55="","",IF(COUNTIFS('MASTER MENU'!$A$5:$A$504,B55)=0,"BELUM ADA",INDEX('MASTER MENU'!$F$5:$F$504,MATCH(B55,'MASTER MENU'!$A$5:$A$504,0))))</f>
        <v/>
      </c>
      <c r="G55" s="19" t="str">
        <f aca="false">IF(A55="","",IF(OR(NOT(ISNUMBER(E55)),NOT(ISNUMBER(F55))),"BELUM LENGKAP",ROUND(E55*F55,0)))</f>
        <v/>
      </c>
      <c r="H55" s="15"/>
      <c r="I55" s="15"/>
      <c r="J55" s="19" t="str">
        <f aca="false">IF(A55="","",IF(NOT(ISNUMBER(G55)),"BELUM LENGKAP",G55-H55-I55))</f>
        <v/>
      </c>
      <c r="K55" s="15"/>
      <c r="L55" s="19" t="str">
        <f aca="false">IF(A55="","",IF(NOT(ISNUMBER(K55)),"ISI SNAPSHOT HPP",ROUND(E55*K55,0)))</f>
        <v/>
      </c>
      <c r="M55" s="19" t="str">
        <f aca="false">IF(A55="","",IF(NOT(ISNUMBER(L55)),"BELUM LENGKAP",J55-L55))</f>
        <v/>
      </c>
      <c r="N55" s="19" t="str">
        <f aca="false">IF(B55="","",IF(COUNTIFS('RESEP DAN HPP'!$A$5:$A$504,B55,'RESEP DAN HPP'!$N$5:$N$504,"LENGKAP")=0,"BELUM LENGKAP",INDEX('RESEP DAN HPP'!$J$5:$J$504,MATCH(B55,'RESEP DAN HPP'!$A$5:$A$504,0))))</f>
        <v/>
      </c>
      <c r="O55" s="14"/>
      <c r="P55" s="27" t="str">
        <f aca="false">IF(A55="","",IF(COUNTIFS('TRANSAKSI PENJUALAN'!$A$5:$A$504,A55)=0,"BELUM ADA",INDEX('TRANSAKSI PENJUALAN'!$B$5:$B$504,MATCH(A55,'TRANSAKSI PENJUALAN'!$A$5:$A$504,0))))</f>
        <v/>
      </c>
      <c r="Q55" s="18" t="str">
        <f aca="false">IF(A55="","",IF(COUNTIFS('TRANSAKSI PENJUALAN'!$A$5:$A$504,A55)=0,"BELUM ADA",INDEX('TRANSAKSI PENJUALAN'!$M$5:$M$504,MATCH(A55,'TRANSAKSI PENJUALAN'!$A$5:$A$504,0))))</f>
        <v/>
      </c>
      <c r="R55" s="24" t="str">
        <f aca="false">IF(A55="","",COUNTIF($A$5:A55,A55))</f>
        <v/>
      </c>
      <c r="S55" s="24" t="str">
        <f aca="false">IF(A55="","",A55&amp;"|"&amp;R55)</f>
        <v/>
      </c>
    </row>
    <row r="56" customFormat="false" ht="27" hidden="false" customHeight="true" outlineLevel="0" collapsed="false">
      <c r="A56" s="14"/>
      <c r="B56" s="14"/>
      <c r="C56" s="18" t="str">
        <f aca="false">IF(B56="","",IF(COUNTIFS('MASTER MENU'!$A$5:$A$504,B56)=0,"BELUM ADA",INDEX('MASTER MENU'!$B$5:$B$504,MATCH(B56,'MASTER MENU'!$A$5:$A$504,0))))</f>
        <v/>
      </c>
      <c r="D56" s="18" t="str">
        <f aca="false">IF(B56="","",IF(COUNTIFS('MASTER MENU'!$A$5:$A$504,B56)=0,"BELUM ADA",INDEX('MASTER MENU'!$E$5:$E$504,MATCH(B56,'MASTER MENU'!$A$5:$A$504,0))))</f>
        <v/>
      </c>
      <c r="E56" s="14"/>
      <c r="F56" s="19" t="str">
        <f aca="false">IF(B56="","",IF(COUNTIFS('MASTER MENU'!$A$5:$A$504,B56)=0,"BELUM ADA",INDEX('MASTER MENU'!$F$5:$F$504,MATCH(B56,'MASTER MENU'!$A$5:$A$504,0))))</f>
        <v/>
      </c>
      <c r="G56" s="19" t="str">
        <f aca="false">IF(A56="","",IF(OR(NOT(ISNUMBER(E56)),NOT(ISNUMBER(F56))),"BELUM LENGKAP",ROUND(E56*F56,0)))</f>
        <v/>
      </c>
      <c r="H56" s="15"/>
      <c r="I56" s="15"/>
      <c r="J56" s="19" t="str">
        <f aca="false">IF(A56="","",IF(NOT(ISNUMBER(G56)),"BELUM LENGKAP",G56-H56-I56))</f>
        <v/>
      </c>
      <c r="K56" s="15"/>
      <c r="L56" s="19" t="str">
        <f aca="false">IF(A56="","",IF(NOT(ISNUMBER(K56)),"ISI SNAPSHOT HPP",ROUND(E56*K56,0)))</f>
        <v/>
      </c>
      <c r="M56" s="19" t="str">
        <f aca="false">IF(A56="","",IF(NOT(ISNUMBER(L56)),"BELUM LENGKAP",J56-L56))</f>
        <v/>
      </c>
      <c r="N56" s="19" t="str">
        <f aca="false">IF(B56="","",IF(COUNTIFS('RESEP DAN HPP'!$A$5:$A$504,B56,'RESEP DAN HPP'!$N$5:$N$504,"LENGKAP")=0,"BELUM LENGKAP",INDEX('RESEP DAN HPP'!$J$5:$J$504,MATCH(B56,'RESEP DAN HPP'!$A$5:$A$504,0))))</f>
        <v/>
      </c>
      <c r="O56" s="14"/>
      <c r="P56" s="27" t="str">
        <f aca="false">IF(A56="","",IF(COUNTIFS('TRANSAKSI PENJUALAN'!$A$5:$A$504,A56)=0,"BELUM ADA",INDEX('TRANSAKSI PENJUALAN'!$B$5:$B$504,MATCH(A56,'TRANSAKSI PENJUALAN'!$A$5:$A$504,0))))</f>
        <v/>
      </c>
      <c r="Q56" s="18" t="str">
        <f aca="false">IF(A56="","",IF(COUNTIFS('TRANSAKSI PENJUALAN'!$A$5:$A$504,A56)=0,"BELUM ADA",INDEX('TRANSAKSI PENJUALAN'!$M$5:$M$504,MATCH(A56,'TRANSAKSI PENJUALAN'!$A$5:$A$504,0))))</f>
        <v/>
      </c>
      <c r="R56" s="24" t="str">
        <f aca="false">IF(A56="","",COUNTIF($A$5:A56,A56))</f>
        <v/>
      </c>
      <c r="S56" s="24" t="str">
        <f aca="false">IF(A56="","",A56&amp;"|"&amp;R56)</f>
        <v/>
      </c>
    </row>
    <row r="57" customFormat="false" ht="27" hidden="false" customHeight="true" outlineLevel="0" collapsed="false">
      <c r="A57" s="14"/>
      <c r="B57" s="14"/>
      <c r="C57" s="18" t="str">
        <f aca="false">IF(B57="","",IF(COUNTIFS('MASTER MENU'!$A$5:$A$504,B57)=0,"BELUM ADA",INDEX('MASTER MENU'!$B$5:$B$504,MATCH(B57,'MASTER MENU'!$A$5:$A$504,0))))</f>
        <v/>
      </c>
      <c r="D57" s="18" t="str">
        <f aca="false">IF(B57="","",IF(COUNTIFS('MASTER MENU'!$A$5:$A$504,B57)=0,"BELUM ADA",INDEX('MASTER MENU'!$E$5:$E$504,MATCH(B57,'MASTER MENU'!$A$5:$A$504,0))))</f>
        <v/>
      </c>
      <c r="E57" s="14"/>
      <c r="F57" s="19" t="str">
        <f aca="false">IF(B57="","",IF(COUNTIFS('MASTER MENU'!$A$5:$A$504,B57)=0,"BELUM ADA",INDEX('MASTER MENU'!$F$5:$F$504,MATCH(B57,'MASTER MENU'!$A$5:$A$504,0))))</f>
        <v/>
      </c>
      <c r="G57" s="19" t="str">
        <f aca="false">IF(A57="","",IF(OR(NOT(ISNUMBER(E57)),NOT(ISNUMBER(F57))),"BELUM LENGKAP",ROUND(E57*F57,0)))</f>
        <v/>
      </c>
      <c r="H57" s="15"/>
      <c r="I57" s="15"/>
      <c r="J57" s="19" t="str">
        <f aca="false">IF(A57="","",IF(NOT(ISNUMBER(G57)),"BELUM LENGKAP",G57-H57-I57))</f>
        <v/>
      </c>
      <c r="K57" s="15"/>
      <c r="L57" s="19" t="str">
        <f aca="false">IF(A57="","",IF(NOT(ISNUMBER(K57)),"ISI SNAPSHOT HPP",ROUND(E57*K57,0)))</f>
        <v/>
      </c>
      <c r="M57" s="19" t="str">
        <f aca="false">IF(A57="","",IF(NOT(ISNUMBER(L57)),"BELUM LENGKAP",J57-L57))</f>
        <v/>
      </c>
      <c r="N57" s="19" t="str">
        <f aca="false">IF(B57="","",IF(COUNTIFS('RESEP DAN HPP'!$A$5:$A$504,B57,'RESEP DAN HPP'!$N$5:$N$504,"LENGKAP")=0,"BELUM LENGKAP",INDEX('RESEP DAN HPP'!$J$5:$J$504,MATCH(B57,'RESEP DAN HPP'!$A$5:$A$504,0))))</f>
        <v/>
      </c>
      <c r="O57" s="14"/>
      <c r="P57" s="27" t="str">
        <f aca="false">IF(A57="","",IF(COUNTIFS('TRANSAKSI PENJUALAN'!$A$5:$A$504,A57)=0,"BELUM ADA",INDEX('TRANSAKSI PENJUALAN'!$B$5:$B$504,MATCH(A57,'TRANSAKSI PENJUALAN'!$A$5:$A$504,0))))</f>
        <v/>
      </c>
      <c r="Q57" s="18" t="str">
        <f aca="false">IF(A57="","",IF(COUNTIFS('TRANSAKSI PENJUALAN'!$A$5:$A$504,A57)=0,"BELUM ADA",INDEX('TRANSAKSI PENJUALAN'!$M$5:$M$504,MATCH(A57,'TRANSAKSI PENJUALAN'!$A$5:$A$504,0))))</f>
        <v/>
      </c>
      <c r="R57" s="24" t="str">
        <f aca="false">IF(A57="","",COUNTIF($A$5:A57,A57))</f>
        <v/>
      </c>
      <c r="S57" s="24" t="str">
        <f aca="false">IF(A57="","",A57&amp;"|"&amp;R57)</f>
        <v/>
      </c>
    </row>
    <row r="58" customFormat="false" ht="27" hidden="false" customHeight="true" outlineLevel="0" collapsed="false">
      <c r="A58" s="14"/>
      <c r="B58" s="14"/>
      <c r="C58" s="18" t="str">
        <f aca="false">IF(B58="","",IF(COUNTIFS('MASTER MENU'!$A$5:$A$504,B58)=0,"BELUM ADA",INDEX('MASTER MENU'!$B$5:$B$504,MATCH(B58,'MASTER MENU'!$A$5:$A$504,0))))</f>
        <v/>
      </c>
      <c r="D58" s="18" t="str">
        <f aca="false">IF(B58="","",IF(COUNTIFS('MASTER MENU'!$A$5:$A$504,B58)=0,"BELUM ADA",INDEX('MASTER MENU'!$E$5:$E$504,MATCH(B58,'MASTER MENU'!$A$5:$A$504,0))))</f>
        <v/>
      </c>
      <c r="E58" s="14"/>
      <c r="F58" s="19" t="str">
        <f aca="false">IF(B58="","",IF(COUNTIFS('MASTER MENU'!$A$5:$A$504,B58)=0,"BELUM ADA",INDEX('MASTER MENU'!$F$5:$F$504,MATCH(B58,'MASTER MENU'!$A$5:$A$504,0))))</f>
        <v/>
      </c>
      <c r="G58" s="19" t="str">
        <f aca="false">IF(A58="","",IF(OR(NOT(ISNUMBER(E58)),NOT(ISNUMBER(F58))),"BELUM LENGKAP",ROUND(E58*F58,0)))</f>
        <v/>
      </c>
      <c r="H58" s="15"/>
      <c r="I58" s="15"/>
      <c r="J58" s="19" t="str">
        <f aca="false">IF(A58="","",IF(NOT(ISNUMBER(G58)),"BELUM LENGKAP",G58-H58-I58))</f>
        <v/>
      </c>
      <c r="K58" s="15"/>
      <c r="L58" s="19" t="str">
        <f aca="false">IF(A58="","",IF(NOT(ISNUMBER(K58)),"ISI SNAPSHOT HPP",ROUND(E58*K58,0)))</f>
        <v/>
      </c>
      <c r="M58" s="19" t="str">
        <f aca="false">IF(A58="","",IF(NOT(ISNUMBER(L58)),"BELUM LENGKAP",J58-L58))</f>
        <v/>
      </c>
      <c r="N58" s="19" t="str">
        <f aca="false">IF(B58="","",IF(COUNTIFS('RESEP DAN HPP'!$A$5:$A$504,B58,'RESEP DAN HPP'!$N$5:$N$504,"LENGKAP")=0,"BELUM LENGKAP",INDEX('RESEP DAN HPP'!$J$5:$J$504,MATCH(B58,'RESEP DAN HPP'!$A$5:$A$504,0))))</f>
        <v/>
      </c>
      <c r="O58" s="14"/>
      <c r="P58" s="27" t="str">
        <f aca="false">IF(A58="","",IF(COUNTIFS('TRANSAKSI PENJUALAN'!$A$5:$A$504,A58)=0,"BELUM ADA",INDEX('TRANSAKSI PENJUALAN'!$B$5:$B$504,MATCH(A58,'TRANSAKSI PENJUALAN'!$A$5:$A$504,0))))</f>
        <v/>
      </c>
      <c r="Q58" s="18" t="str">
        <f aca="false">IF(A58="","",IF(COUNTIFS('TRANSAKSI PENJUALAN'!$A$5:$A$504,A58)=0,"BELUM ADA",INDEX('TRANSAKSI PENJUALAN'!$M$5:$M$504,MATCH(A58,'TRANSAKSI PENJUALAN'!$A$5:$A$504,0))))</f>
        <v/>
      </c>
      <c r="R58" s="24" t="str">
        <f aca="false">IF(A58="","",COUNTIF($A$5:A58,A58))</f>
        <v/>
      </c>
      <c r="S58" s="24" t="str">
        <f aca="false">IF(A58="","",A58&amp;"|"&amp;R58)</f>
        <v/>
      </c>
    </row>
    <row r="59" customFormat="false" ht="27" hidden="false" customHeight="true" outlineLevel="0" collapsed="false">
      <c r="A59" s="14"/>
      <c r="B59" s="14"/>
      <c r="C59" s="18" t="str">
        <f aca="false">IF(B59="","",IF(COUNTIFS('MASTER MENU'!$A$5:$A$504,B59)=0,"BELUM ADA",INDEX('MASTER MENU'!$B$5:$B$504,MATCH(B59,'MASTER MENU'!$A$5:$A$504,0))))</f>
        <v/>
      </c>
      <c r="D59" s="18" t="str">
        <f aca="false">IF(B59="","",IF(COUNTIFS('MASTER MENU'!$A$5:$A$504,B59)=0,"BELUM ADA",INDEX('MASTER MENU'!$E$5:$E$504,MATCH(B59,'MASTER MENU'!$A$5:$A$504,0))))</f>
        <v/>
      </c>
      <c r="E59" s="14"/>
      <c r="F59" s="19" t="str">
        <f aca="false">IF(B59="","",IF(COUNTIFS('MASTER MENU'!$A$5:$A$504,B59)=0,"BELUM ADA",INDEX('MASTER MENU'!$F$5:$F$504,MATCH(B59,'MASTER MENU'!$A$5:$A$504,0))))</f>
        <v/>
      </c>
      <c r="G59" s="19" t="str">
        <f aca="false">IF(A59="","",IF(OR(NOT(ISNUMBER(E59)),NOT(ISNUMBER(F59))),"BELUM LENGKAP",ROUND(E59*F59,0)))</f>
        <v/>
      </c>
      <c r="H59" s="15"/>
      <c r="I59" s="15"/>
      <c r="J59" s="19" t="str">
        <f aca="false">IF(A59="","",IF(NOT(ISNUMBER(G59)),"BELUM LENGKAP",G59-H59-I59))</f>
        <v/>
      </c>
      <c r="K59" s="15"/>
      <c r="L59" s="19" t="str">
        <f aca="false">IF(A59="","",IF(NOT(ISNUMBER(K59)),"ISI SNAPSHOT HPP",ROUND(E59*K59,0)))</f>
        <v/>
      </c>
      <c r="M59" s="19" t="str">
        <f aca="false">IF(A59="","",IF(NOT(ISNUMBER(L59)),"BELUM LENGKAP",J59-L59))</f>
        <v/>
      </c>
      <c r="N59" s="19" t="str">
        <f aca="false">IF(B59="","",IF(COUNTIFS('RESEP DAN HPP'!$A$5:$A$504,B59,'RESEP DAN HPP'!$N$5:$N$504,"LENGKAP")=0,"BELUM LENGKAP",INDEX('RESEP DAN HPP'!$J$5:$J$504,MATCH(B59,'RESEP DAN HPP'!$A$5:$A$504,0))))</f>
        <v/>
      </c>
      <c r="O59" s="14"/>
      <c r="P59" s="27" t="str">
        <f aca="false">IF(A59="","",IF(COUNTIFS('TRANSAKSI PENJUALAN'!$A$5:$A$504,A59)=0,"BELUM ADA",INDEX('TRANSAKSI PENJUALAN'!$B$5:$B$504,MATCH(A59,'TRANSAKSI PENJUALAN'!$A$5:$A$504,0))))</f>
        <v/>
      </c>
      <c r="Q59" s="18" t="str">
        <f aca="false">IF(A59="","",IF(COUNTIFS('TRANSAKSI PENJUALAN'!$A$5:$A$504,A59)=0,"BELUM ADA",INDEX('TRANSAKSI PENJUALAN'!$M$5:$M$504,MATCH(A59,'TRANSAKSI PENJUALAN'!$A$5:$A$504,0))))</f>
        <v/>
      </c>
      <c r="R59" s="24" t="str">
        <f aca="false">IF(A59="","",COUNTIF($A$5:A59,A59))</f>
        <v/>
      </c>
      <c r="S59" s="24" t="str">
        <f aca="false">IF(A59="","",A59&amp;"|"&amp;R59)</f>
        <v/>
      </c>
    </row>
    <row r="60" customFormat="false" ht="27" hidden="false" customHeight="true" outlineLevel="0" collapsed="false">
      <c r="A60" s="14"/>
      <c r="B60" s="14"/>
      <c r="C60" s="18" t="str">
        <f aca="false">IF(B60="","",IF(COUNTIFS('MASTER MENU'!$A$5:$A$504,B60)=0,"BELUM ADA",INDEX('MASTER MENU'!$B$5:$B$504,MATCH(B60,'MASTER MENU'!$A$5:$A$504,0))))</f>
        <v/>
      </c>
      <c r="D60" s="18" t="str">
        <f aca="false">IF(B60="","",IF(COUNTIFS('MASTER MENU'!$A$5:$A$504,B60)=0,"BELUM ADA",INDEX('MASTER MENU'!$E$5:$E$504,MATCH(B60,'MASTER MENU'!$A$5:$A$504,0))))</f>
        <v/>
      </c>
      <c r="E60" s="14"/>
      <c r="F60" s="19" t="str">
        <f aca="false">IF(B60="","",IF(COUNTIFS('MASTER MENU'!$A$5:$A$504,B60)=0,"BELUM ADA",INDEX('MASTER MENU'!$F$5:$F$504,MATCH(B60,'MASTER MENU'!$A$5:$A$504,0))))</f>
        <v/>
      </c>
      <c r="G60" s="19" t="str">
        <f aca="false">IF(A60="","",IF(OR(NOT(ISNUMBER(E60)),NOT(ISNUMBER(F60))),"BELUM LENGKAP",ROUND(E60*F60,0)))</f>
        <v/>
      </c>
      <c r="H60" s="15"/>
      <c r="I60" s="15"/>
      <c r="J60" s="19" t="str">
        <f aca="false">IF(A60="","",IF(NOT(ISNUMBER(G60)),"BELUM LENGKAP",G60-H60-I60))</f>
        <v/>
      </c>
      <c r="K60" s="15"/>
      <c r="L60" s="19" t="str">
        <f aca="false">IF(A60="","",IF(NOT(ISNUMBER(K60)),"ISI SNAPSHOT HPP",ROUND(E60*K60,0)))</f>
        <v/>
      </c>
      <c r="M60" s="19" t="str">
        <f aca="false">IF(A60="","",IF(NOT(ISNUMBER(L60)),"BELUM LENGKAP",J60-L60))</f>
        <v/>
      </c>
      <c r="N60" s="19" t="str">
        <f aca="false">IF(B60="","",IF(COUNTIFS('RESEP DAN HPP'!$A$5:$A$504,B60,'RESEP DAN HPP'!$N$5:$N$504,"LENGKAP")=0,"BELUM LENGKAP",INDEX('RESEP DAN HPP'!$J$5:$J$504,MATCH(B60,'RESEP DAN HPP'!$A$5:$A$504,0))))</f>
        <v/>
      </c>
      <c r="O60" s="14"/>
      <c r="P60" s="27" t="str">
        <f aca="false">IF(A60="","",IF(COUNTIFS('TRANSAKSI PENJUALAN'!$A$5:$A$504,A60)=0,"BELUM ADA",INDEX('TRANSAKSI PENJUALAN'!$B$5:$B$504,MATCH(A60,'TRANSAKSI PENJUALAN'!$A$5:$A$504,0))))</f>
        <v/>
      </c>
      <c r="Q60" s="18" t="str">
        <f aca="false">IF(A60="","",IF(COUNTIFS('TRANSAKSI PENJUALAN'!$A$5:$A$504,A60)=0,"BELUM ADA",INDEX('TRANSAKSI PENJUALAN'!$M$5:$M$504,MATCH(A60,'TRANSAKSI PENJUALAN'!$A$5:$A$504,0))))</f>
        <v/>
      </c>
      <c r="R60" s="24" t="str">
        <f aca="false">IF(A60="","",COUNTIF($A$5:A60,A60))</f>
        <v/>
      </c>
      <c r="S60" s="24" t="str">
        <f aca="false">IF(A60="","",A60&amp;"|"&amp;R60)</f>
        <v/>
      </c>
    </row>
    <row r="61" customFormat="false" ht="27" hidden="false" customHeight="true" outlineLevel="0" collapsed="false">
      <c r="A61" s="14"/>
      <c r="B61" s="14"/>
      <c r="C61" s="18" t="str">
        <f aca="false">IF(B61="","",IF(COUNTIFS('MASTER MENU'!$A$5:$A$504,B61)=0,"BELUM ADA",INDEX('MASTER MENU'!$B$5:$B$504,MATCH(B61,'MASTER MENU'!$A$5:$A$504,0))))</f>
        <v/>
      </c>
      <c r="D61" s="18" t="str">
        <f aca="false">IF(B61="","",IF(COUNTIFS('MASTER MENU'!$A$5:$A$504,B61)=0,"BELUM ADA",INDEX('MASTER MENU'!$E$5:$E$504,MATCH(B61,'MASTER MENU'!$A$5:$A$504,0))))</f>
        <v/>
      </c>
      <c r="E61" s="14"/>
      <c r="F61" s="19" t="str">
        <f aca="false">IF(B61="","",IF(COUNTIFS('MASTER MENU'!$A$5:$A$504,B61)=0,"BELUM ADA",INDEX('MASTER MENU'!$F$5:$F$504,MATCH(B61,'MASTER MENU'!$A$5:$A$504,0))))</f>
        <v/>
      </c>
      <c r="G61" s="19" t="str">
        <f aca="false">IF(A61="","",IF(OR(NOT(ISNUMBER(E61)),NOT(ISNUMBER(F61))),"BELUM LENGKAP",ROUND(E61*F61,0)))</f>
        <v/>
      </c>
      <c r="H61" s="15"/>
      <c r="I61" s="15"/>
      <c r="J61" s="19" t="str">
        <f aca="false">IF(A61="","",IF(NOT(ISNUMBER(G61)),"BELUM LENGKAP",G61-H61-I61))</f>
        <v/>
      </c>
      <c r="K61" s="15"/>
      <c r="L61" s="19" t="str">
        <f aca="false">IF(A61="","",IF(NOT(ISNUMBER(K61)),"ISI SNAPSHOT HPP",ROUND(E61*K61,0)))</f>
        <v/>
      </c>
      <c r="M61" s="19" t="str">
        <f aca="false">IF(A61="","",IF(NOT(ISNUMBER(L61)),"BELUM LENGKAP",J61-L61))</f>
        <v/>
      </c>
      <c r="N61" s="19" t="str">
        <f aca="false">IF(B61="","",IF(COUNTIFS('RESEP DAN HPP'!$A$5:$A$504,B61,'RESEP DAN HPP'!$N$5:$N$504,"LENGKAP")=0,"BELUM LENGKAP",INDEX('RESEP DAN HPP'!$J$5:$J$504,MATCH(B61,'RESEP DAN HPP'!$A$5:$A$504,0))))</f>
        <v/>
      </c>
      <c r="O61" s="14"/>
      <c r="P61" s="27" t="str">
        <f aca="false">IF(A61="","",IF(COUNTIFS('TRANSAKSI PENJUALAN'!$A$5:$A$504,A61)=0,"BELUM ADA",INDEX('TRANSAKSI PENJUALAN'!$B$5:$B$504,MATCH(A61,'TRANSAKSI PENJUALAN'!$A$5:$A$504,0))))</f>
        <v/>
      </c>
      <c r="Q61" s="18" t="str">
        <f aca="false">IF(A61="","",IF(COUNTIFS('TRANSAKSI PENJUALAN'!$A$5:$A$504,A61)=0,"BELUM ADA",INDEX('TRANSAKSI PENJUALAN'!$M$5:$M$504,MATCH(A61,'TRANSAKSI PENJUALAN'!$A$5:$A$504,0))))</f>
        <v/>
      </c>
      <c r="R61" s="24" t="str">
        <f aca="false">IF(A61="","",COUNTIF($A$5:A61,A61))</f>
        <v/>
      </c>
      <c r="S61" s="24" t="str">
        <f aca="false">IF(A61="","",A61&amp;"|"&amp;R61)</f>
        <v/>
      </c>
    </row>
    <row r="62" customFormat="false" ht="27" hidden="false" customHeight="true" outlineLevel="0" collapsed="false">
      <c r="A62" s="14"/>
      <c r="B62" s="14"/>
      <c r="C62" s="18" t="str">
        <f aca="false">IF(B62="","",IF(COUNTIFS('MASTER MENU'!$A$5:$A$504,B62)=0,"BELUM ADA",INDEX('MASTER MENU'!$B$5:$B$504,MATCH(B62,'MASTER MENU'!$A$5:$A$504,0))))</f>
        <v/>
      </c>
      <c r="D62" s="18" t="str">
        <f aca="false">IF(B62="","",IF(COUNTIFS('MASTER MENU'!$A$5:$A$504,B62)=0,"BELUM ADA",INDEX('MASTER MENU'!$E$5:$E$504,MATCH(B62,'MASTER MENU'!$A$5:$A$504,0))))</f>
        <v/>
      </c>
      <c r="E62" s="14"/>
      <c r="F62" s="19" t="str">
        <f aca="false">IF(B62="","",IF(COUNTIFS('MASTER MENU'!$A$5:$A$504,B62)=0,"BELUM ADA",INDEX('MASTER MENU'!$F$5:$F$504,MATCH(B62,'MASTER MENU'!$A$5:$A$504,0))))</f>
        <v/>
      </c>
      <c r="G62" s="19" t="str">
        <f aca="false">IF(A62="","",IF(OR(NOT(ISNUMBER(E62)),NOT(ISNUMBER(F62))),"BELUM LENGKAP",ROUND(E62*F62,0)))</f>
        <v/>
      </c>
      <c r="H62" s="15"/>
      <c r="I62" s="15"/>
      <c r="J62" s="19" t="str">
        <f aca="false">IF(A62="","",IF(NOT(ISNUMBER(G62)),"BELUM LENGKAP",G62-H62-I62))</f>
        <v/>
      </c>
      <c r="K62" s="15"/>
      <c r="L62" s="19" t="str">
        <f aca="false">IF(A62="","",IF(NOT(ISNUMBER(K62)),"ISI SNAPSHOT HPP",ROUND(E62*K62,0)))</f>
        <v/>
      </c>
      <c r="M62" s="19" t="str">
        <f aca="false">IF(A62="","",IF(NOT(ISNUMBER(L62)),"BELUM LENGKAP",J62-L62))</f>
        <v/>
      </c>
      <c r="N62" s="19" t="str">
        <f aca="false">IF(B62="","",IF(COUNTIFS('RESEP DAN HPP'!$A$5:$A$504,B62,'RESEP DAN HPP'!$N$5:$N$504,"LENGKAP")=0,"BELUM LENGKAP",INDEX('RESEP DAN HPP'!$J$5:$J$504,MATCH(B62,'RESEP DAN HPP'!$A$5:$A$504,0))))</f>
        <v/>
      </c>
      <c r="O62" s="14"/>
      <c r="P62" s="27" t="str">
        <f aca="false">IF(A62="","",IF(COUNTIFS('TRANSAKSI PENJUALAN'!$A$5:$A$504,A62)=0,"BELUM ADA",INDEX('TRANSAKSI PENJUALAN'!$B$5:$B$504,MATCH(A62,'TRANSAKSI PENJUALAN'!$A$5:$A$504,0))))</f>
        <v/>
      </c>
      <c r="Q62" s="18" t="str">
        <f aca="false">IF(A62="","",IF(COUNTIFS('TRANSAKSI PENJUALAN'!$A$5:$A$504,A62)=0,"BELUM ADA",INDEX('TRANSAKSI PENJUALAN'!$M$5:$M$504,MATCH(A62,'TRANSAKSI PENJUALAN'!$A$5:$A$504,0))))</f>
        <v/>
      </c>
      <c r="R62" s="24" t="str">
        <f aca="false">IF(A62="","",COUNTIF($A$5:A62,A62))</f>
        <v/>
      </c>
      <c r="S62" s="24" t="str">
        <f aca="false">IF(A62="","",A62&amp;"|"&amp;R62)</f>
        <v/>
      </c>
    </row>
    <row r="63" customFormat="false" ht="27" hidden="false" customHeight="true" outlineLevel="0" collapsed="false">
      <c r="A63" s="14"/>
      <c r="B63" s="14"/>
      <c r="C63" s="18" t="str">
        <f aca="false">IF(B63="","",IF(COUNTIFS('MASTER MENU'!$A$5:$A$504,B63)=0,"BELUM ADA",INDEX('MASTER MENU'!$B$5:$B$504,MATCH(B63,'MASTER MENU'!$A$5:$A$504,0))))</f>
        <v/>
      </c>
      <c r="D63" s="18" t="str">
        <f aca="false">IF(B63="","",IF(COUNTIFS('MASTER MENU'!$A$5:$A$504,B63)=0,"BELUM ADA",INDEX('MASTER MENU'!$E$5:$E$504,MATCH(B63,'MASTER MENU'!$A$5:$A$504,0))))</f>
        <v/>
      </c>
      <c r="E63" s="14"/>
      <c r="F63" s="19" t="str">
        <f aca="false">IF(B63="","",IF(COUNTIFS('MASTER MENU'!$A$5:$A$504,B63)=0,"BELUM ADA",INDEX('MASTER MENU'!$F$5:$F$504,MATCH(B63,'MASTER MENU'!$A$5:$A$504,0))))</f>
        <v/>
      </c>
      <c r="G63" s="19" t="str">
        <f aca="false">IF(A63="","",IF(OR(NOT(ISNUMBER(E63)),NOT(ISNUMBER(F63))),"BELUM LENGKAP",ROUND(E63*F63,0)))</f>
        <v/>
      </c>
      <c r="H63" s="15"/>
      <c r="I63" s="15"/>
      <c r="J63" s="19" t="str">
        <f aca="false">IF(A63="","",IF(NOT(ISNUMBER(G63)),"BELUM LENGKAP",G63-H63-I63))</f>
        <v/>
      </c>
      <c r="K63" s="15"/>
      <c r="L63" s="19" t="str">
        <f aca="false">IF(A63="","",IF(NOT(ISNUMBER(K63)),"ISI SNAPSHOT HPP",ROUND(E63*K63,0)))</f>
        <v/>
      </c>
      <c r="M63" s="19" t="str">
        <f aca="false">IF(A63="","",IF(NOT(ISNUMBER(L63)),"BELUM LENGKAP",J63-L63))</f>
        <v/>
      </c>
      <c r="N63" s="19" t="str">
        <f aca="false">IF(B63="","",IF(COUNTIFS('RESEP DAN HPP'!$A$5:$A$504,B63,'RESEP DAN HPP'!$N$5:$N$504,"LENGKAP")=0,"BELUM LENGKAP",INDEX('RESEP DAN HPP'!$J$5:$J$504,MATCH(B63,'RESEP DAN HPP'!$A$5:$A$504,0))))</f>
        <v/>
      </c>
      <c r="O63" s="14"/>
      <c r="P63" s="27" t="str">
        <f aca="false">IF(A63="","",IF(COUNTIFS('TRANSAKSI PENJUALAN'!$A$5:$A$504,A63)=0,"BELUM ADA",INDEX('TRANSAKSI PENJUALAN'!$B$5:$B$504,MATCH(A63,'TRANSAKSI PENJUALAN'!$A$5:$A$504,0))))</f>
        <v/>
      </c>
      <c r="Q63" s="18" t="str">
        <f aca="false">IF(A63="","",IF(COUNTIFS('TRANSAKSI PENJUALAN'!$A$5:$A$504,A63)=0,"BELUM ADA",INDEX('TRANSAKSI PENJUALAN'!$M$5:$M$504,MATCH(A63,'TRANSAKSI PENJUALAN'!$A$5:$A$504,0))))</f>
        <v/>
      </c>
      <c r="R63" s="24" t="str">
        <f aca="false">IF(A63="","",COUNTIF($A$5:A63,A63))</f>
        <v/>
      </c>
      <c r="S63" s="24" t="str">
        <f aca="false">IF(A63="","",A63&amp;"|"&amp;R63)</f>
        <v/>
      </c>
    </row>
    <row r="64" customFormat="false" ht="27" hidden="false" customHeight="true" outlineLevel="0" collapsed="false">
      <c r="A64" s="14"/>
      <c r="B64" s="14"/>
      <c r="C64" s="18" t="str">
        <f aca="false">IF(B64="","",IF(COUNTIFS('MASTER MENU'!$A$5:$A$504,B64)=0,"BELUM ADA",INDEX('MASTER MENU'!$B$5:$B$504,MATCH(B64,'MASTER MENU'!$A$5:$A$504,0))))</f>
        <v/>
      </c>
      <c r="D64" s="18" t="str">
        <f aca="false">IF(B64="","",IF(COUNTIFS('MASTER MENU'!$A$5:$A$504,B64)=0,"BELUM ADA",INDEX('MASTER MENU'!$E$5:$E$504,MATCH(B64,'MASTER MENU'!$A$5:$A$504,0))))</f>
        <v/>
      </c>
      <c r="E64" s="14"/>
      <c r="F64" s="19" t="str">
        <f aca="false">IF(B64="","",IF(COUNTIFS('MASTER MENU'!$A$5:$A$504,B64)=0,"BELUM ADA",INDEX('MASTER MENU'!$F$5:$F$504,MATCH(B64,'MASTER MENU'!$A$5:$A$504,0))))</f>
        <v/>
      </c>
      <c r="G64" s="19" t="str">
        <f aca="false">IF(A64="","",IF(OR(NOT(ISNUMBER(E64)),NOT(ISNUMBER(F64))),"BELUM LENGKAP",ROUND(E64*F64,0)))</f>
        <v/>
      </c>
      <c r="H64" s="15"/>
      <c r="I64" s="15"/>
      <c r="J64" s="19" t="str">
        <f aca="false">IF(A64="","",IF(NOT(ISNUMBER(G64)),"BELUM LENGKAP",G64-H64-I64))</f>
        <v/>
      </c>
      <c r="K64" s="15"/>
      <c r="L64" s="19" t="str">
        <f aca="false">IF(A64="","",IF(NOT(ISNUMBER(K64)),"ISI SNAPSHOT HPP",ROUND(E64*K64,0)))</f>
        <v/>
      </c>
      <c r="M64" s="19" t="str">
        <f aca="false">IF(A64="","",IF(NOT(ISNUMBER(L64)),"BELUM LENGKAP",J64-L64))</f>
        <v/>
      </c>
      <c r="N64" s="19" t="str">
        <f aca="false">IF(B64="","",IF(COUNTIFS('RESEP DAN HPP'!$A$5:$A$504,B64,'RESEP DAN HPP'!$N$5:$N$504,"LENGKAP")=0,"BELUM LENGKAP",INDEX('RESEP DAN HPP'!$J$5:$J$504,MATCH(B64,'RESEP DAN HPP'!$A$5:$A$504,0))))</f>
        <v/>
      </c>
      <c r="O64" s="14"/>
      <c r="P64" s="27" t="str">
        <f aca="false">IF(A64="","",IF(COUNTIFS('TRANSAKSI PENJUALAN'!$A$5:$A$504,A64)=0,"BELUM ADA",INDEX('TRANSAKSI PENJUALAN'!$B$5:$B$504,MATCH(A64,'TRANSAKSI PENJUALAN'!$A$5:$A$504,0))))</f>
        <v/>
      </c>
      <c r="Q64" s="18" t="str">
        <f aca="false">IF(A64="","",IF(COUNTIFS('TRANSAKSI PENJUALAN'!$A$5:$A$504,A64)=0,"BELUM ADA",INDEX('TRANSAKSI PENJUALAN'!$M$5:$M$504,MATCH(A64,'TRANSAKSI PENJUALAN'!$A$5:$A$504,0))))</f>
        <v/>
      </c>
      <c r="R64" s="24" t="str">
        <f aca="false">IF(A64="","",COUNTIF($A$5:A64,A64))</f>
        <v/>
      </c>
      <c r="S64" s="24" t="str">
        <f aca="false">IF(A64="","",A64&amp;"|"&amp;R64)</f>
        <v/>
      </c>
    </row>
    <row r="65" customFormat="false" ht="15" hidden="false" customHeight="false" outlineLevel="0" collapsed="false">
      <c r="C65" s="0" t="str">
        <f aca="false">IF(B65="","",IF(COUNTIFS('MASTER MENU'!$A$5:$A$504,B65)=0,"BELUM ADA",INDEX('MASTER MENU'!$B$5:$B$504,MATCH(B65,'MASTER MENU'!$A$5:$A$504,0))))</f>
        <v/>
      </c>
      <c r="D65" s="0" t="str">
        <f aca="false">IF(B65="","",IF(COUNTIFS('MASTER MENU'!$A$5:$A$504,B65)=0,"BELUM ADA",INDEX('MASTER MENU'!$E$5:$E$504,MATCH(B65,'MASTER MENU'!$A$5:$A$504,0))))</f>
        <v/>
      </c>
      <c r="F65" s="0" t="str">
        <f aca="false">IF(B65="","",IF(COUNTIFS('MASTER MENU'!$A$5:$A$504,B65)=0,"BELUM ADA",INDEX('MASTER MENU'!$F$5:$F$504,MATCH(B65,'MASTER MENU'!$A$5:$A$504,0))))</f>
        <v/>
      </c>
      <c r="G65" s="0" t="str">
        <f aca="false">IF(A65="","",IF(OR(NOT(ISNUMBER(E65)),NOT(ISNUMBER(F65))),"BELUM LENGKAP",ROUND(E65*F65,0)))</f>
        <v/>
      </c>
      <c r="J65" s="0" t="str">
        <f aca="false">IF(A65="","",IF(NOT(ISNUMBER(G65)),"BELUM LENGKAP",G65-H65-I65))</f>
        <v/>
      </c>
      <c r="L65" s="0" t="str">
        <f aca="false">IF(A65="","",IF(NOT(ISNUMBER(K65)),"ISI SNAPSHOT HPP",ROUND(E65*K65,0)))</f>
        <v/>
      </c>
      <c r="M65" s="0" t="str">
        <f aca="false">IF(A65="","",IF(NOT(ISNUMBER(L65)),"BELUM LENGKAP",J65-L65))</f>
        <v/>
      </c>
      <c r="N65" s="0" t="str">
        <f aca="false">IF(B65="","",IF(COUNTIFS('RESEP DAN HPP'!$A$5:$A$504,B65,'RESEP DAN HPP'!$N$5:$N$504,"LENGKAP")=0,"BELUM LENGKAP",INDEX('RESEP DAN HPP'!$J$5:$J$504,MATCH(B65,'RESEP DAN HPP'!$A$5:$A$504,0))))</f>
        <v/>
      </c>
      <c r="P65" s="0" t="str">
        <f aca="false">IF(A65="","",IF(COUNTIFS('TRANSAKSI PENJUALAN'!$A$5:$A$504,A65)=0,"BELUM ADA",INDEX('TRANSAKSI PENJUALAN'!$B$5:$B$504,MATCH(A65,'TRANSAKSI PENJUALAN'!$A$5:$A$504,0))))</f>
        <v/>
      </c>
      <c r="Q65" s="0" t="str">
        <f aca="false">IF(A65="","",IF(COUNTIFS('TRANSAKSI PENJUALAN'!$A$5:$A$504,A65)=0,"BELUM ADA",INDEX('TRANSAKSI PENJUALAN'!$M$5:$M$504,MATCH(A65,'TRANSAKSI PENJUALAN'!$A$5:$A$504,0))))</f>
        <v/>
      </c>
      <c r="R65" s="24" t="str">
        <f aca="false">IF(A65="","",COUNTIF($A$5:A65,A65))</f>
        <v/>
      </c>
      <c r="S65" s="24" t="str">
        <f aca="false">IF(A65="","",A65&amp;"|"&amp;R65)</f>
        <v/>
      </c>
    </row>
    <row r="66" customFormat="false" ht="15" hidden="false" customHeight="false" outlineLevel="0" collapsed="false">
      <c r="C66" s="0" t="str">
        <f aca="false">IF(B66="","",IF(COUNTIFS('MASTER MENU'!$A$5:$A$504,B66)=0,"BELUM ADA",INDEX('MASTER MENU'!$B$5:$B$504,MATCH(B66,'MASTER MENU'!$A$5:$A$504,0))))</f>
        <v/>
      </c>
      <c r="D66" s="0" t="str">
        <f aca="false">IF(B66="","",IF(COUNTIFS('MASTER MENU'!$A$5:$A$504,B66)=0,"BELUM ADA",INDEX('MASTER MENU'!$E$5:$E$504,MATCH(B66,'MASTER MENU'!$A$5:$A$504,0))))</f>
        <v/>
      </c>
      <c r="F66" s="0" t="str">
        <f aca="false">IF(B66="","",IF(COUNTIFS('MASTER MENU'!$A$5:$A$504,B66)=0,"BELUM ADA",INDEX('MASTER MENU'!$F$5:$F$504,MATCH(B66,'MASTER MENU'!$A$5:$A$504,0))))</f>
        <v/>
      </c>
      <c r="G66" s="0" t="str">
        <f aca="false">IF(A66="","",IF(OR(NOT(ISNUMBER(E66)),NOT(ISNUMBER(F66))),"BELUM LENGKAP",ROUND(E66*F66,0)))</f>
        <v/>
      </c>
      <c r="J66" s="0" t="str">
        <f aca="false">IF(A66="","",IF(NOT(ISNUMBER(G66)),"BELUM LENGKAP",G66-H66-I66))</f>
        <v/>
      </c>
      <c r="L66" s="0" t="str">
        <f aca="false">IF(A66="","",IF(NOT(ISNUMBER(K66)),"ISI SNAPSHOT HPP",ROUND(E66*K66,0)))</f>
        <v/>
      </c>
      <c r="M66" s="0" t="str">
        <f aca="false">IF(A66="","",IF(NOT(ISNUMBER(L66)),"BELUM LENGKAP",J66-L66))</f>
        <v/>
      </c>
      <c r="N66" s="0" t="str">
        <f aca="false">IF(B66="","",IF(COUNTIFS('RESEP DAN HPP'!$A$5:$A$504,B66,'RESEP DAN HPP'!$N$5:$N$504,"LENGKAP")=0,"BELUM LENGKAP",INDEX('RESEP DAN HPP'!$J$5:$J$504,MATCH(B66,'RESEP DAN HPP'!$A$5:$A$504,0))))</f>
        <v/>
      </c>
      <c r="P66" s="0" t="str">
        <f aca="false">IF(A66="","",IF(COUNTIFS('TRANSAKSI PENJUALAN'!$A$5:$A$504,A66)=0,"BELUM ADA",INDEX('TRANSAKSI PENJUALAN'!$B$5:$B$504,MATCH(A66,'TRANSAKSI PENJUALAN'!$A$5:$A$504,0))))</f>
        <v/>
      </c>
      <c r="Q66" s="0" t="str">
        <f aca="false">IF(A66="","",IF(COUNTIFS('TRANSAKSI PENJUALAN'!$A$5:$A$504,A66)=0,"BELUM ADA",INDEX('TRANSAKSI PENJUALAN'!$M$5:$M$504,MATCH(A66,'TRANSAKSI PENJUALAN'!$A$5:$A$504,0))))</f>
        <v/>
      </c>
      <c r="R66" s="24" t="str">
        <f aca="false">IF(A66="","",COUNTIF($A$5:A66,A66))</f>
        <v/>
      </c>
      <c r="S66" s="24" t="str">
        <f aca="false">IF(A66="","",A66&amp;"|"&amp;R66)</f>
        <v/>
      </c>
    </row>
    <row r="67" customFormat="false" ht="15" hidden="false" customHeight="false" outlineLevel="0" collapsed="false">
      <c r="C67" s="0" t="str">
        <f aca="false">IF(B67="","",IF(COUNTIFS('MASTER MENU'!$A$5:$A$504,B67)=0,"BELUM ADA",INDEX('MASTER MENU'!$B$5:$B$504,MATCH(B67,'MASTER MENU'!$A$5:$A$504,0))))</f>
        <v/>
      </c>
      <c r="D67" s="0" t="str">
        <f aca="false">IF(B67="","",IF(COUNTIFS('MASTER MENU'!$A$5:$A$504,B67)=0,"BELUM ADA",INDEX('MASTER MENU'!$E$5:$E$504,MATCH(B67,'MASTER MENU'!$A$5:$A$504,0))))</f>
        <v/>
      </c>
      <c r="F67" s="0" t="str">
        <f aca="false">IF(B67="","",IF(COUNTIFS('MASTER MENU'!$A$5:$A$504,B67)=0,"BELUM ADA",INDEX('MASTER MENU'!$F$5:$F$504,MATCH(B67,'MASTER MENU'!$A$5:$A$504,0))))</f>
        <v/>
      </c>
      <c r="G67" s="0" t="str">
        <f aca="false">IF(A67="","",IF(OR(NOT(ISNUMBER(E67)),NOT(ISNUMBER(F67))),"BELUM LENGKAP",ROUND(E67*F67,0)))</f>
        <v/>
      </c>
      <c r="J67" s="0" t="str">
        <f aca="false">IF(A67="","",IF(NOT(ISNUMBER(G67)),"BELUM LENGKAP",G67-H67-I67))</f>
        <v/>
      </c>
      <c r="L67" s="0" t="str">
        <f aca="false">IF(A67="","",IF(NOT(ISNUMBER(K67)),"ISI SNAPSHOT HPP",ROUND(E67*K67,0)))</f>
        <v/>
      </c>
      <c r="M67" s="0" t="str">
        <f aca="false">IF(A67="","",IF(NOT(ISNUMBER(L67)),"BELUM LENGKAP",J67-L67))</f>
        <v/>
      </c>
      <c r="N67" s="0" t="str">
        <f aca="false">IF(B67="","",IF(COUNTIFS('RESEP DAN HPP'!$A$5:$A$504,B67,'RESEP DAN HPP'!$N$5:$N$504,"LENGKAP")=0,"BELUM LENGKAP",INDEX('RESEP DAN HPP'!$J$5:$J$504,MATCH(B67,'RESEP DAN HPP'!$A$5:$A$504,0))))</f>
        <v/>
      </c>
      <c r="P67" s="0" t="str">
        <f aca="false">IF(A67="","",IF(COUNTIFS('TRANSAKSI PENJUALAN'!$A$5:$A$504,A67)=0,"BELUM ADA",INDEX('TRANSAKSI PENJUALAN'!$B$5:$B$504,MATCH(A67,'TRANSAKSI PENJUALAN'!$A$5:$A$504,0))))</f>
        <v/>
      </c>
      <c r="Q67" s="0" t="str">
        <f aca="false">IF(A67="","",IF(COUNTIFS('TRANSAKSI PENJUALAN'!$A$5:$A$504,A67)=0,"BELUM ADA",INDEX('TRANSAKSI PENJUALAN'!$M$5:$M$504,MATCH(A67,'TRANSAKSI PENJUALAN'!$A$5:$A$504,0))))</f>
        <v/>
      </c>
      <c r="R67" s="24" t="str">
        <f aca="false">IF(A67="","",COUNTIF($A$5:A67,A67))</f>
        <v/>
      </c>
      <c r="S67" s="24" t="str">
        <f aca="false">IF(A67="","",A67&amp;"|"&amp;R67)</f>
        <v/>
      </c>
    </row>
    <row r="68" customFormat="false" ht="15" hidden="false" customHeight="false" outlineLevel="0" collapsed="false">
      <c r="C68" s="0" t="str">
        <f aca="false">IF(B68="","",IF(COUNTIFS('MASTER MENU'!$A$5:$A$504,B68)=0,"BELUM ADA",INDEX('MASTER MENU'!$B$5:$B$504,MATCH(B68,'MASTER MENU'!$A$5:$A$504,0))))</f>
        <v/>
      </c>
      <c r="D68" s="0" t="str">
        <f aca="false">IF(B68="","",IF(COUNTIFS('MASTER MENU'!$A$5:$A$504,B68)=0,"BELUM ADA",INDEX('MASTER MENU'!$E$5:$E$504,MATCH(B68,'MASTER MENU'!$A$5:$A$504,0))))</f>
        <v/>
      </c>
      <c r="F68" s="0" t="str">
        <f aca="false">IF(B68="","",IF(COUNTIFS('MASTER MENU'!$A$5:$A$504,B68)=0,"BELUM ADA",INDEX('MASTER MENU'!$F$5:$F$504,MATCH(B68,'MASTER MENU'!$A$5:$A$504,0))))</f>
        <v/>
      </c>
      <c r="G68" s="0" t="str">
        <f aca="false">IF(A68="","",IF(OR(NOT(ISNUMBER(E68)),NOT(ISNUMBER(F68))),"BELUM LENGKAP",ROUND(E68*F68,0)))</f>
        <v/>
      </c>
      <c r="J68" s="0" t="str">
        <f aca="false">IF(A68="","",IF(NOT(ISNUMBER(G68)),"BELUM LENGKAP",G68-H68-I68))</f>
        <v/>
      </c>
      <c r="L68" s="0" t="str">
        <f aca="false">IF(A68="","",IF(NOT(ISNUMBER(K68)),"ISI SNAPSHOT HPP",ROUND(E68*K68,0)))</f>
        <v/>
      </c>
      <c r="M68" s="0" t="str">
        <f aca="false">IF(A68="","",IF(NOT(ISNUMBER(L68)),"BELUM LENGKAP",J68-L68))</f>
        <v/>
      </c>
      <c r="N68" s="0" t="str">
        <f aca="false">IF(B68="","",IF(COUNTIFS('RESEP DAN HPP'!$A$5:$A$504,B68,'RESEP DAN HPP'!$N$5:$N$504,"LENGKAP")=0,"BELUM LENGKAP",INDEX('RESEP DAN HPP'!$J$5:$J$504,MATCH(B68,'RESEP DAN HPP'!$A$5:$A$504,0))))</f>
        <v/>
      </c>
      <c r="P68" s="0" t="str">
        <f aca="false">IF(A68="","",IF(COUNTIFS('TRANSAKSI PENJUALAN'!$A$5:$A$504,A68)=0,"BELUM ADA",INDEX('TRANSAKSI PENJUALAN'!$B$5:$B$504,MATCH(A68,'TRANSAKSI PENJUALAN'!$A$5:$A$504,0))))</f>
        <v/>
      </c>
      <c r="Q68" s="0" t="str">
        <f aca="false">IF(A68="","",IF(COUNTIFS('TRANSAKSI PENJUALAN'!$A$5:$A$504,A68)=0,"BELUM ADA",INDEX('TRANSAKSI PENJUALAN'!$M$5:$M$504,MATCH(A68,'TRANSAKSI PENJUALAN'!$A$5:$A$504,0))))</f>
        <v/>
      </c>
      <c r="R68" s="24" t="str">
        <f aca="false">IF(A68="","",COUNTIF($A$5:A68,A68))</f>
        <v/>
      </c>
      <c r="S68" s="24" t="str">
        <f aca="false">IF(A68="","",A68&amp;"|"&amp;R68)</f>
        <v/>
      </c>
    </row>
    <row r="69" customFormat="false" ht="15" hidden="false" customHeight="false" outlineLevel="0" collapsed="false">
      <c r="C69" s="0" t="str">
        <f aca="false">IF(B69="","",IF(COUNTIFS('MASTER MENU'!$A$5:$A$504,B69)=0,"BELUM ADA",INDEX('MASTER MENU'!$B$5:$B$504,MATCH(B69,'MASTER MENU'!$A$5:$A$504,0))))</f>
        <v/>
      </c>
      <c r="D69" s="0" t="str">
        <f aca="false">IF(B69="","",IF(COUNTIFS('MASTER MENU'!$A$5:$A$504,B69)=0,"BELUM ADA",INDEX('MASTER MENU'!$E$5:$E$504,MATCH(B69,'MASTER MENU'!$A$5:$A$504,0))))</f>
        <v/>
      </c>
      <c r="F69" s="0" t="str">
        <f aca="false">IF(B69="","",IF(COUNTIFS('MASTER MENU'!$A$5:$A$504,B69)=0,"BELUM ADA",INDEX('MASTER MENU'!$F$5:$F$504,MATCH(B69,'MASTER MENU'!$A$5:$A$504,0))))</f>
        <v/>
      </c>
      <c r="G69" s="0" t="str">
        <f aca="false">IF(A69="","",IF(OR(NOT(ISNUMBER(E69)),NOT(ISNUMBER(F69))),"BELUM LENGKAP",ROUND(E69*F69,0)))</f>
        <v/>
      </c>
      <c r="J69" s="0" t="str">
        <f aca="false">IF(A69="","",IF(NOT(ISNUMBER(G69)),"BELUM LENGKAP",G69-H69-I69))</f>
        <v/>
      </c>
      <c r="L69" s="0" t="str">
        <f aca="false">IF(A69="","",IF(NOT(ISNUMBER(K69)),"ISI SNAPSHOT HPP",ROUND(E69*K69,0)))</f>
        <v/>
      </c>
      <c r="M69" s="0" t="str">
        <f aca="false">IF(A69="","",IF(NOT(ISNUMBER(L69)),"BELUM LENGKAP",J69-L69))</f>
        <v/>
      </c>
      <c r="N69" s="0" t="str">
        <f aca="false">IF(B69="","",IF(COUNTIFS('RESEP DAN HPP'!$A$5:$A$504,B69,'RESEP DAN HPP'!$N$5:$N$504,"LENGKAP")=0,"BELUM LENGKAP",INDEX('RESEP DAN HPP'!$J$5:$J$504,MATCH(B69,'RESEP DAN HPP'!$A$5:$A$504,0))))</f>
        <v/>
      </c>
      <c r="P69" s="0" t="str">
        <f aca="false">IF(A69="","",IF(COUNTIFS('TRANSAKSI PENJUALAN'!$A$5:$A$504,A69)=0,"BELUM ADA",INDEX('TRANSAKSI PENJUALAN'!$B$5:$B$504,MATCH(A69,'TRANSAKSI PENJUALAN'!$A$5:$A$504,0))))</f>
        <v/>
      </c>
      <c r="Q69" s="0" t="str">
        <f aca="false">IF(A69="","",IF(COUNTIFS('TRANSAKSI PENJUALAN'!$A$5:$A$504,A69)=0,"BELUM ADA",INDEX('TRANSAKSI PENJUALAN'!$M$5:$M$504,MATCH(A69,'TRANSAKSI PENJUALAN'!$A$5:$A$504,0))))</f>
        <v/>
      </c>
      <c r="R69" s="24" t="str">
        <f aca="false">IF(A69="","",COUNTIF($A$5:A69,A69))</f>
        <v/>
      </c>
      <c r="S69" s="24" t="str">
        <f aca="false">IF(A69="","",A69&amp;"|"&amp;R69)</f>
        <v/>
      </c>
    </row>
    <row r="70" customFormat="false" ht="15" hidden="false" customHeight="false" outlineLevel="0" collapsed="false">
      <c r="C70" s="0" t="str">
        <f aca="false">IF(B70="","",IF(COUNTIFS('MASTER MENU'!$A$5:$A$504,B70)=0,"BELUM ADA",INDEX('MASTER MENU'!$B$5:$B$504,MATCH(B70,'MASTER MENU'!$A$5:$A$504,0))))</f>
        <v/>
      </c>
      <c r="D70" s="0" t="str">
        <f aca="false">IF(B70="","",IF(COUNTIFS('MASTER MENU'!$A$5:$A$504,B70)=0,"BELUM ADA",INDEX('MASTER MENU'!$E$5:$E$504,MATCH(B70,'MASTER MENU'!$A$5:$A$504,0))))</f>
        <v/>
      </c>
      <c r="F70" s="0" t="str">
        <f aca="false">IF(B70="","",IF(COUNTIFS('MASTER MENU'!$A$5:$A$504,B70)=0,"BELUM ADA",INDEX('MASTER MENU'!$F$5:$F$504,MATCH(B70,'MASTER MENU'!$A$5:$A$504,0))))</f>
        <v/>
      </c>
      <c r="G70" s="0" t="str">
        <f aca="false">IF(A70="","",IF(OR(NOT(ISNUMBER(E70)),NOT(ISNUMBER(F70))),"BELUM LENGKAP",ROUND(E70*F70,0)))</f>
        <v/>
      </c>
      <c r="J70" s="0" t="str">
        <f aca="false">IF(A70="","",IF(NOT(ISNUMBER(G70)),"BELUM LENGKAP",G70-H70-I70))</f>
        <v/>
      </c>
      <c r="L70" s="0" t="str">
        <f aca="false">IF(A70="","",IF(NOT(ISNUMBER(K70)),"ISI SNAPSHOT HPP",ROUND(E70*K70,0)))</f>
        <v/>
      </c>
      <c r="M70" s="0" t="str">
        <f aca="false">IF(A70="","",IF(NOT(ISNUMBER(L70)),"BELUM LENGKAP",J70-L70))</f>
        <v/>
      </c>
      <c r="N70" s="0" t="str">
        <f aca="false">IF(B70="","",IF(COUNTIFS('RESEP DAN HPP'!$A$5:$A$504,B70,'RESEP DAN HPP'!$N$5:$N$504,"LENGKAP")=0,"BELUM LENGKAP",INDEX('RESEP DAN HPP'!$J$5:$J$504,MATCH(B70,'RESEP DAN HPP'!$A$5:$A$504,0))))</f>
        <v/>
      </c>
      <c r="P70" s="0" t="str">
        <f aca="false">IF(A70="","",IF(COUNTIFS('TRANSAKSI PENJUALAN'!$A$5:$A$504,A70)=0,"BELUM ADA",INDEX('TRANSAKSI PENJUALAN'!$B$5:$B$504,MATCH(A70,'TRANSAKSI PENJUALAN'!$A$5:$A$504,0))))</f>
        <v/>
      </c>
      <c r="Q70" s="0" t="str">
        <f aca="false">IF(A70="","",IF(COUNTIFS('TRANSAKSI PENJUALAN'!$A$5:$A$504,A70)=0,"BELUM ADA",INDEX('TRANSAKSI PENJUALAN'!$M$5:$M$504,MATCH(A70,'TRANSAKSI PENJUALAN'!$A$5:$A$504,0))))</f>
        <v/>
      </c>
      <c r="R70" s="24" t="str">
        <f aca="false">IF(A70="","",COUNTIF($A$5:A70,A70))</f>
        <v/>
      </c>
      <c r="S70" s="24" t="str">
        <f aca="false">IF(A70="","",A70&amp;"|"&amp;R70)</f>
        <v/>
      </c>
    </row>
    <row r="71" customFormat="false" ht="15" hidden="false" customHeight="false" outlineLevel="0" collapsed="false">
      <c r="C71" s="0" t="str">
        <f aca="false">IF(B71="","",IF(COUNTIFS('MASTER MENU'!$A$5:$A$504,B71)=0,"BELUM ADA",INDEX('MASTER MENU'!$B$5:$B$504,MATCH(B71,'MASTER MENU'!$A$5:$A$504,0))))</f>
        <v/>
      </c>
      <c r="D71" s="0" t="str">
        <f aca="false">IF(B71="","",IF(COUNTIFS('MASTER MENU'!$A$5:$A$504,B71)=0,"BELUM ADA",INDEX('MASTER MENU'!$E$5:$E$504,MATCH(B71,'MASTER MENU'!$A$5:$A$504,0))))</f>
        <v/>
      </c>
      <c r="F71" s="0" t="str">
        <f aca="false">IF(B71="","",IF(COUNTIFS('MASTER MENU'!$A$5:$A$504,B71)=0,"BELUM ADA",INDEX('MASTER MENU'!$F$5:$F$504,MATCH(B71,'MASTER MENU'!$A$5:$A$504,0))))</f>
        <v/>
      </c>
      <c r="G71" s="0" t="str">
        <f aca="false">IF(A71="","",IF(OR(NOT(ISNUMBER(E71)),NOT(ISNUMBER(F71))),"BELUM LENGKAP",ROUND(E71*F71,0)))</f>
        <v/>
      </c>
      <c r="J71" s="0" t="str">
        <f aca="false">IF(A71="","",IF(NOT(ISNUMBER(G71)),"BELUM LENGKAP",G71-H71-I71))</f>
        <v/>
      </c>
      <c r="L71" s="0" t="str">
        <f aca="false">IF(A71="","",IF(NOT(ISNUMBER(K71)),"ISI SNAPSHOT HPP",ROUND(E71*K71,0)))</f>
        <v/>
      </c>
      <c r="M71" s="0" t="str">
        <f aca="false">IF(A71="","",IF(NOT(ISNUMBER(L71)),"BELUM LENGKAP",J71-L71))</f>
        <v/>
      </c>
      <c r="N71" s="0" t="str">
        <f aca="false">IF(B71="","",IF(COUNTIFS('RESEP DAN HPP'!$A$5:$A$504,B71,'RESEP DAN HPP'!$N$5:$N$504,"LENGKAP")=0,"BELUM LENGKAP",INDEX('RESEP DAN HPP'!$J$5:$J$504,MATCH(B71,'RESEP DAN HPP'!$A$5:$A$504,0))))</f>
        <v/>
      </c>
      <c r="P71" s="0" t="str">
        <f aca="false">IF(A71="","",IF(COUNTIFS('TRANSAKSI PENJUALAN'!$A$5:$A$504,A71)=0,"BELUM ADA",INDEX('TRANSAKSI PENJUALAN'!$B$5:$B$504,MATCH(A71,'TRANSAKSI PENJUALAN'!$A$5:$A$504,0))))</f>
        <v/>
      </c>
      <c r="Q71" s="0" t="str">
        <f aca="false">IF(A71="","",IF(COUNTIFS('TRANSAKSI PENJUALAN'!$A$5:$A$504,A71)=0,"BELUM ADA",INDEX('TRANSAKSI PENJUALAN'!$M$5:$M$504,MATCH(A71,'TRANSAKSI PENJUALAN'!$A$5:$A$504,0))))</f>
        <v/>
      </c>
      <c r="R71" s="24" t="str">
        <f aca="false">IF(A71="","",COUNTIF($A$5:A71,A71))</f>
        <v/>
      </c>
      <c r="S71" s="24" t="str">
        <f aca="false">IF(A71="","",A71&amp;"|"&amp;R71)</f>
        <v/>
      </c>
    </row>
    <row r="72" customFormat="false" ht="15" hidden="false" customHeight="false" outlineLevel="0" collapsed="false">
      <c r="C72" s="0" t="str">
        <f aca="false">IF(B72="","",IF(COUNTIFS('MASTER MENU'!$A$5:$A$504,B72)=0,"BELUM ADA",INDEX('MASTER MENU'!$B$5:$B$504,MATCH(B72,'MASTER MENU'!$A$5:$A$504,0))))</f>
        <v/>
      </c>
      <c r="D72" s="0" t="str">
        <f aca="false">IF(B72="","",IF(COUNTIFS('MASTER MENU'!$A$5:$A$504,B72)=0,"BELUM ADA",INDEX('MASTER MENU'!$E$5:$E$504,MATCH(B72,'MASTER MENU'!$A$5:$A$504,0))))</f>
        <v/>
      </c>
      <c r="F72" s="0" t="str">
        <f aca="false">IF(B72="","",IF(COUNTIFS('MASTER MENU'!$A$5:$A$504,B72)=0,"BELUM ADA",INDEX('MASTER MENU'!$F$5:$F$504,MATCH(B72,'MASTER MENU'!$A$5:$A$504,0))))</f>
        <v/>
      </c>
      <c r="G72" s="0" t="str">
        <f aca="false">IF(A72="","",IF(OR(NOT(ISNUMBER(E72)),NOT(ISNUMBER(F72))),"BELUM LENGKAP",ROUND(E72*F72,0)))</f>
        <v/>
      </c>
      <c r="J72" s="0" t="str">
        <f aca="false">IF(A72="","",IF(NOT(ISNUMBER(G72)),"BELUM LENGKAP",G72-H72-I72))</f>
        <v/>
      </c>
      <c r="L72" s="0" t="str">
        <f aca="false">IF(A72="","",IF(NOT(ISNUMBER(K72)),"ISI SNAPSHOT HPP",ROUND(E72*K72,0)))</f>
        <v/>
      </c>
      <c r="M72" s="0" t="str">
        <f aca="false">IF(A72="","",IF(NOT(ISNUMBER(L72)),"BELUM LENGKAP",J72-L72))</f>
        <v/>
      </c>
      <c r="N72" s="0" t="str">
        <f aca="false">IF(B72="","",IF(COUNTIFS('RESEP DAN HPP'!$A$5:$A$504,B72,'RESEP DAN HPP'!$N$5:$N$504,"LENGKAP")=0,"BELUM LENGKAP",INDEX('RESEP DAN HPP'!$J$5:$J$504,MATCH(B72,'RESEP DAN HPP'!$A$5:$A$504,0))))</f>
        <v/>
      </c>
      <c r="P72" s="0" t="str">
        <f aca="false">IF(A72="","",IF(COUNTIFS('TRANSAKSI PENJUALAN'!$A$5:$A$504,A72)=0,"BELUM ADA",INDEX('TRANSAKSI PENJUALAN'!$B$5:$B$504,MATCH(A72,'TRANSAKSI PENJUALAN'!$A$5:$A$504,0))))</f>
        <v/>
      </c>
      <c r="Q72" s="0" t="str">
        <f aca="false">IF(A72="","",IF(COUNTIFS('TRANSAKSI PENJUALAN'!$A$5:$A$504,A72)=0,"BELUM ADA",INDEX('TRANSAKSI PENJUALAN'!$M$5:$M$504,MATCH(A72,'TRANSAKSI PENJUALAN'!$A$5:$A$504,0))))</f>
        <v/>
      </c>
      <c r="R72" s="24" t="str">
        <f aca="false">IF(A72="","",COUNTIF($A$5:A72,A72))</f>
        <v/>
      </c>
      <c r="S72" s="24" t="str">
        <f aca="false">IF(A72="","",A72&amp;"|"&amp;R72)</f>
        <v/>
      </c>
    </row>
    <row r="73" customFormat="false" ht="15" hidden="false" customHeight="false" outlineLevel="0" collapsed="false">
      <c r="C73" s="0" t="str">
        <f aca="false">IF(B73="","",IF(COUNTIFS('MASTER MENU'!$A$5:$A$504,B73)=0,"BELUM ADA",INDEX('MASTER MENU'!$B$5:$B$504,MATCH(B73,'MASTER MENU'!$A$5:$A$504,0))))</f>
        <v/>
      </c>
      <c r="D73" s="0" t="str">
        <f aca="false">IF(B73="","",IF(COUNTIFS('MASTER MENU'!$A$5:$A$504,B73)=0,"BELUM ADA",INDEX('MASTER MENU'!$E$5:$E$504,MATCH(B73,'MASTER MENU'!$A$5:$A$504,0))))</f>
        <v/>
      </c>
      <c r="F73" s="0" t="str">
        <f aca="false">IF(B73="","",IF(COUNTIFS('MASTER MENU'!$A$5:$A$504,B73)=0,"BELUM ADA",INDEX('MASTER MENU'!$F$5:$F$504,MATCH(B73,'MASTER MENU'!$A$5:$A$504,0))))</f>
        <v/>
      </c>
      <c r="G73" s="0" t="str">
        <f aca="false">IF(A73="","",IF(OR(NOT(ISNUMBER(E73)),NOT(ISNUMBER(F73))),"BELUM LENGKAP",ROUND(E73*F73,0)))</f>
        <v/>
      </c>
      <c r="J73" s="0" t="str">
        <f aca="false">IF(A73="","",IF(NOT(ISNUMBER(G73)),"BELUM LENGKAP",G73-H73-I73))</f>
        <v/>
      </c>
      <c r="L73" s="0" t="str">
        <f aca="false">IF(A73="","",IF(NOT(ISNUMBER(K73)),"ISI SNAPSHOT HPP",ROUND(E73*K73,0)))</f>
        <v/>
      </c>
      <c r="M73" s="0" t="str">
        <f aca="false">IF(A73="","",IF(NOT(ISNUMBER(L73)),"BELUM LENGKAP",J73-L73))</f>
        <v/>
      </c>
      <c r="N73" s="0" t="str">
        <f aca="false">IF(B73="","",IF(COUNTIFS('RESEP DAN HPP'!$A$5:$A$504,B73,'RESEP DAN HPP'!$N$5:$N$504,"LENGKAP")=0,"BELUM LENGKAP",INDEX('RESEP DAN HPP'!$J$5:$J$504,MATCH(B73,'RESEP DAN HPP'!$A$5:$A$504,0))))</f>
        <v/>
      </c>
      <c r="P73" s="0" t="str">
        <f aca="false">IF(A73="","",IF(COUNTIFS('TRANSAKSI PENJUALAN'!$A$5:$A$504,A73)=0,"BELUM ADA",INDEX('TRANSAKSI PENJUALAN'!$B$5:$B$504,MATCH(A73,'TRANSAKSI PENJUALAN'!$A$5:$A$504,0))))</f>
        <v/>
      </c>
      <c r="Q73" s="0" t="str">
        <f aca="false">IF(A73="","",IF(COUNTIFS('TRANSAKSI PENJUALAN'!$A$5:$A$504,A73)=0,"BELUM ADA",INDEX('TRANSAKSI PENJUALAN'!$M$5:$M$504,MATCH(A73,'TRANSAKSI PENJUALAN'!$A$5:$A$504,0))))</f>
        <v/>
      </c>
      <c r="R73" s="24" t="str">
        <f aca="false">IF(A73="","",COUNTIF($A$5:A73,A73))</f>
        <v/>
      </c>
      <c r="S73" s="24" t="str">
        <f aca="false">IF(A73="","",A73&amp;"|"&amp;R73)</f>
        <v/>
      </c>
    </row>
    <row r="74" customFormat="false" ht="15" hidden="false" customHeight="false" outlineLevel="0" collapsed="false">
      <c r="C74" s="0" t="str">
        <f aca="false">IF(B74="","",IF(COUNTIFS('MASTER MENU'!$A$5:$A$504,B74)=0,"BELUM ADA",INDEX('MASTER MENU'!$B$5:$B$504,MATCH(B74,'MASTER MENU'!$A$5:$A$504,0))))</f>
        <v/>
      </c>
      <c r="D74" s="0" t="str">
        <f aca="false">IF(B74="","",IF(COUNTIFS('MASTER MENU'!$A$5:$A$504,B74)=0,"BELUM ADA",INDEX('MASTER MENU'!$E$5:$E$504,MATCH(B74,'MASTER MENU'!$A$5:$A$504,0))))</f>
        <v/>
      </c>
      <c r="F74" s="0" t="str">
        <f aca="false">IF(B74="","",IF(COUNTIFS('MASTER MENU'!$A$5:$A$504,B74)=0,"BELUM ADA",INDEX('MASTER MENU'!$F$5:$F$504,MATCH(B74,'MASTER MENU'!$A$5:$A$504,0))))</f>
        <v/>
      </c>
      <c r="G74" s="0" t="str">
        <f aca="false">IF(A74="","",IF(OR(NOT(ISNUMBER(E74)),NOT(ISNUMBER(F74))),"BELUM LENGKAP",ROUND(E74*F74,0)))</f>
        <v/>
      </c>
      <c r="J74" s="0" t="str">
        <f aca="false">IF(A74="","",IF(NOT(ISNUMBER(G74)),"BELUM LENGKAP",G74-H74-I74))</f>
        <v/>
      </c>
      <c r="L74" s="0" t="str">
        <f aca="false">IF(A74="","",IF(NOT(ISNUMBER(K74)),"ISI SNAPSHOT HPP",ROUND(E74*K74,0)))</f>
        <v/>
      </c>
      <c r="M74" s="0" t="str">
        <f aca="false">IF(A74="","",IF(NOT(ISNUMBER(L74)),"BELUM LENGKAP",J74-L74))</f>
        <v/>
      </c>
      <c r="N74" s="0" t="str">
        <f aca="false">IF(B74="","",IF(COUNTIFS('RESEP DAN HPP'!$A$5:$A$504,B74,'RESEP DAN HPP'!$N$5:$N$504,"LENGKAP")=0,"BELUM LENGKAP",INDEX('RESEP DAN HPP'!$J$5:$J$504,MATCH(B74,'RESEP DAN HPP'!$A$5:$A$504,0))))</f>
        <v/>
      </c>
      <c r="P74" s="0" t="str">
        <f aca="false">IF(A74="","",IF(COUNTIFS('TRANSAKSI PENJUALAN'!$A$5:$A$504,A74)=0,"BELUM ADA",INDEX('TRANSAKSI PENJUALAN'!$B$5:$B$504,MATCH(A74,'TRANSAKSI PENJUALAN'!$A$5:$A$504,0))))</f>
        <v/>
      </c>
      <c r="Q74" s="0" t="str">
        <f aca="false">IF(A74="","",IF(COUNTIFS('TRANSAKSI PENJUALAN'!$A$5:$A$504,A74)=0,"BELUM ADA",INDEX('TRANSAKSI PENJUALAN'!$M$5:$M$504,MATCH(A74,'TRANSAKSI PENJUALAN'!$A$5:$A$504,0))))</f>
        <v/>
      </c>
      <c r="R74" s="24" t="str">
        <f aca="false">IF(A74="","",COUNTIF($A$5:A74,A74))</f>
        <v/>
      </c>
      <c r="S74" s="24" t="str">
        <f aca="false">IF(A74="","",A74&amp;"|"&amp;R74)</f>
        <v/>
      </c>
    </row>
    <row r="75" customFormat="false" ht="15" hidden="false" customHeight="false" outlineLevel="0" collapsed="false">
      <c r="C75" s="0" t="str">
        <f aca="false">IF(B75="","",IF(COUNTIFS('MASTER MENU'!$A$5:$A$504,B75)=0,"BELUM ADA",INDEX('MASTER MENU'!$B$5:$B$504,MATCH(B75,'MASTER MENU'!$A$5:$A$504,0))))</f>
        <v/>
      </c>
      <c r="D75" s="0" t="str">
        <f aca="false">IF(B75="","",IF(COUNTIFS('MASTER MENU'!$A$5:$A$504,B75)=0,"BELUM ADA",INDEX('MASTER MENU'!$E$5:$E$504,MATCH(B75,'MASTER MENU'!$A$5:$A$504,0))))</f>
        <v/>
      </c>
      <c r="F75" s="0" t="str">
        <f aca="false">IF(B75="","",IF(COUNTIFS('MASTER MENU'!$A$5:$A$504,B75)=0,"BELUM ADA",INDEX('MASTER MENU'!$F$5:$F$504,MATCH(B75,'MASTER MENU'!$A$5:$A$504,0))))</f>
        <v/>
      </c>
      <c r="G75" s="0" t="str">
        <f aca="false">IF(A75="","",IF(OR(NOT(ISNUMBER(E75)),NOT(ISNUMBER(F75))),"BELUM LENGKAP",ROUND(E75*F75,0)))</f>
        <v/>
      </c>
      <c r="J75" s="0" t="str">
        <f aca="false">IF(A75="","",IF(NOT(ISNUMBER(G75)),"BELUM LENGKAP",G75-H75-I75))</f>
        <v/>
      </c>
      <c r="L75" s="0" t="str">
        <f aca="false">IF(A75="","",IF(NOT(ISNUMBER(K75)),"ISI SNAPSHOT HPP",ROUND(E75*K75,0)))</f>
        <v/>
      </c>
      <c r="M75" s="0" t="str">
        <f aca="false">IF(A75="","",IF(NOT(ISNUMBER(L75)),"BELUM LENGKAP",J75-L75))</f>
        <v/>
      </c>
      <c r="N75" s="0" t="str">
        <f aca="false">IF(B75="","",IF(COUNTIFS('RESEP DAN HPP'!$A$5:$A$504,B75,'RESEP DAN HPP'!$N$5:$N$504,"LENGKAP")=0,"BELUM LENGKAP",INDEX('RESEP DAN HPP'!$J$5:$J$504,MATCH(B75,'RESEP DAN HPP'!$A$5:$A$504,0))))</f>
        <v/>
      </c>
      <c r="P75" s="0" t="str">
        <f aca="false">IF(A75="","",IF(COUNTIFS('TRANSAKSI PENJUALAN'!$A$5:$A$504,A75)=0,"BELUM ADA",INDEX('TRANSAKSI PENJUALAN'!$B$5:$B$504,MATCH(A75,'TRANSAKSI PENJUALAN'!$A$5:$A$504,0))))</f>
        <v/>
      </c>
      <c r="Q75" s="0" t="str">
        <f aca="false">IF(A75="","",IF(COUNTIFS('TRANSAKSI PENJUALAN'!$A$5:$A$504,A75)=0,"BELUM ADA",INDEX('TRANSAKSI PENJUALAN'!$M$5:$M$504,MATCH(A75,'TRANSAKSI PENJUALAN'!$A$5:$A$504,0))))</f>
        <v/>
      </c>
      <c r="R75" s="24" t="str">
        <f aca="false">IF(A75="","",COUNTIF($A$5:A75,A75))</f>
        <v/>
      </c>
      <c r="S75" s="24" t="str">
        <f aca="false">IF(A75="","",A75&amp;"|"&amp;R75)</f>
        <v/>
      </c>
    </row>
    <row r="76" customFormat="false" ht="15" hidden="false" customHeight="false" outlineLevel="0" collapsed="false">
      <c r="C76" s="0" t="str">
        <f aca="false">IF(B76="","",IF(COUNTIFS('MASTER MENU'!$A$5:$A$504,B76)=0,"BELUM ADA",INDEX('MASTER MENU'!$B$5:$B$504,MATCH(B76,'MASTER MENU'!$A$5:$A$504,0))))</f>
        <v/>
      </c>
      <c r="D76" s="0" t="str">
        <f aca="false">IF(B76="","",IF(COUNTIFS('MASTER MENU'!$A$5:$A$504,B76)=0,"BELUM ADA",INDEX('MASTER MENU'!$E$5:$E$504,MATCH(B76,'MASTER MENU'!$A$5:$A$504,0))))</f>
        <v/>
      </c>
      <c r="F76" s="0" t="str">
        <f aca="false">IF(B76="","",IF(COUNTIFS('MASTER MENU'!$A$5:$A$504,B76)=0,"BELUM ADA",INDEX('MASTER MENU'!$F$5:$F$504,MATCH(B76,'MASTER MENU'!$A$5:$A$504,0))))</f>
        <v/>
      </c>
      <c r="G76" s="0" t="str">
        <f aca="false">IF(A76="","",IF(OR(NOT(ISNUMBER(E76)),NOT(ISNUMBER(F76))),"BELUM LENGKAP",ROUND(E76*F76,0)))</f>
        <v/>
      </c>
      <c r="J76" s="0" t="str">
        <f aca="false">IF(A76="","",IF(NOT(ISNUMBER(G76)),"BELUM LENGKAP",G76-H76-I76))</f>
        <v/>
      </c>
      <c r="L76" s="0" t="str">
        <f aca="false">IF(A76="","",IF(NOT(ISNUMBER(K76)),"ISI SNAPSHOT HPP",ROUND(E76*K76,0)))</f>
        <v/>
      </c>
      <c r="M76" s="0" t="str">
        <f aca="false">IF(A76="","",IF(NOT(ISNUMBER(L76)),"BELUM LENGKAP",J76-L76))</f>
        <v/>
      </c>
      <c r="N76" s="0" t="str">
        <f aca="false">IF(B76="","",IF(COUNTIFS('RESEP DAN HPP'!$A$5:$A$504,B76,'RESEP DAN HPP'!$N$5:$N$504,"LENGKAP")=0,"BELUM LENGKAP",INDEX('RESEP DAN HPP'!$J$5:$J$504,MATCH(B76,'RESEP DAN HPP'!$A$5:$A$504,0))))</f>
        <v/>
      </c>
      <c r="P76" s="0" t="str">
        <f aca="false">IF(A76="","",IF(COUNTIFS('TRANSAKSI PENJUALAN'!$A$5:$A$504,A76)=0,"BELUM ADA",INDEX('TRANSAKSI PENJUALAN'!$B$5:$B$504,MATCH(A76,'TRANSAKSI PENJUALAN'!$A$5:$A$504,0))))</f>
        <v/>
      </c>
      <c r="Q76" s="0" t="str">
        <f aca="false">IF(A76="","",IF(COUNTIFS('TRANSAKSI PENJUALAN'!$A$5:$A$504,A76)=0,"BELUM ADA",INDEX('TRANSAKSI PENJUALAN'!$M$5:$M$504,MATCH(A76,'TRANSAKSI PENJUALAN'!$A$5:$A$504,0))))</f>
        <v/>
      </c>
      <c r="R76" s="24" t="str">
        <f aca="false">IF(A76="","",COUNTIF($A$5:A76,A76))</f>
        <v/>
      </c>
      <c r="S76" s="24" t="str">
        <f aca="false">IF(A76="","",A76&amp;"|"&amp;R76)</f>
        <v/>
      </c>
    </row>
    <row r="77" customFormat="false" ht="15" hidden="false" customHeight="false" outlineLevel="0" collapsed="false">
      <c r="C77" s="0" t="str">
        <f aca="false">IF(B77="","",IF(COUNTIFS('MASTER MENU'!$A$5:$A$504,B77)=0,"BELUM ADA",INDEX('MASTER MENU'!$B$5:$B$504,MATCH(B77,'MASTER MENU'!$A$5:$A$504,0))))</f>
        <v/>
      </c>
      <c r="D77" s="0" t="str">
        <f aca="false">IF(B77="","",IF(COUNTIFS('MASTER MENU'!$A$5:$A$504,B77)=0,"BELUM ADA",INDEX('MASTER MENU'!$E$5:$E$504,MATCH(B77,'MASTER MENU'!$A$5:$A$504,0))))</f>
        <v/>
      </c>
      <c r="F77" s="0" t="str">
        <f aca="false">IF(B77="","",IF(COUNTIFS('MASTER MENU'!$A$5:$A$504,B77)=0,"BELUM ADA",INDEX('MASTER MENU'!$F$5:$F$504,MATCH(B77,'MASTER MENU'!$A$5:$A$504,0))))</f>
        <v/>
      </c>
      <c r="G77" s="0" t="str">
        <f aca="false">IF(A77="","",IF(OR(NOT(ISNUMBER(E77)),NOT(ISNUMBER(F77))),"BELUM LENGKAP",ROUND(E77*F77,0)))</f>
        <v/>
      </c>
      <c r="J77" s="0" t="str">
        <f aca="false">IF(A77="","",IF(NOT(ISNUMBER(G77)),"BELUM LENGKAP",G77-H77-I77))</f>
        <v/>
      </c>
      <c r="L77" s="0" t="str">
        <f aca="false">IF(A77="","",IF(NOT(ISNUMBER(K77)),"ISI SNAPSHOT HPP",ROUND(E77*K77,0)))</f>
        <v/>
      </c>
      <c r="M77" s="0" t="str">
        <f aca="false">IF(A77="","",IF(NOT(ISNUMBER(L77)),"BELUM LENGKAP",J77-L77))</f>
        <v/>
      </c>
      <c r="N77" s="0" t="str">
        <f aca="false">IF(B77="","",IF(COUNTIFS('RESEP DAN HPP'!$A$5:$A$504,B77,'RESEP DAN HPP'!$N$5:$N$504,"LENGKAP")=0,"BELUM LENGKAP",INDEX('RESEP DAN HPP'!$J$5:$J$504,MATCH(B77,'RESEP DAN HPP'!$A$5:$A$504,0))))</f>
        <v/>
      </c>
      <c r="P77" s="0" t="str">
        <f aca="false">IF(A77="","",IF(COUNTIFS('TRANSAKSI PENJUALAN'!$A$5:$A$504,A77)=0,"BELUM ADA",INDEX('TRANSAKSI PENJUALAN'!$B$5:$B$504,MATCH(A77,'TRANSAKSI PENJUALAN'!$A$5:$A$504,0))))</f>
        <v/>
      </c>
      <c r="Q77" s="0" t="str">
        <f aca="false">IF(A77="","",IF(COUNTIFS('TRANSAKSI PENJUALAN'!$A$5:$A$504,A77)=0,"BELUM ADA",INDEX('TRANSAKSI PENJUALAN'!$M$5:$M$504,MATCH(A77,'TRANSAKSI PENJUALAN'!$A$5:$A$504,0))))</f>
        <v/>
      </c>
      <c r="R77" s="24" t="str">
        <f aca="false">IF(A77="","",COUNTIF($A$5:A77,A77))</f>
        <v/>
      </c>
      <c r="S77" s="24" t="str">
        <f aca="false">IF(A77="","",A77&amp;"|"&amp;R77)</f>
        <v/>
      </c>
    </row>
    <row r="78" customFormat="false" ht="15" hidden="false" customHeight="false" outlineLevel="0" collapsed="false">
      <c r="C78" s="0" t="str">
        <f aca="false">IF(B78="","",IF(COUNTIFS('MASTER MENU'!$A$5:$A$504,B78)=0,"BELUM ADA",INDEX('MASTER MENU'!$B$5:$B$504,MATCH(B78,'MASTER MENU'!$A$5:$A$504,0))))</f>
        <v/>
      </c>
      <c r="D78" s="0" t="str">
        <f aca="false">IF(B78="","",IF(COUNTIFS('MASTER MENU'!$A$5:$A$504,B78)=0,"BELUM ADA",INDEX('MASTER MENU'!$E$5:$E$504,MATCH(B78,'MASTER MENU'!$A$5:$A$504,0))))</f>
        <v/>
      </c>
      <c r="F78" s="0" t="str">
        <f aca="false">IF(B78="","",IF(COUNTIFS('MASTER MENU'!$A$5:$A$504,B78)=0,"BELUM ADA",INDEX('MASTER MENU'!$F$5:$F$504,MATCH(B78,'MASTER MENU'!$A$5:$A$504,0))))</f>
        <v/>
      </c>
      <c r="G78" s="0" t="str">
        <f aca="false">IF(A78="","",IF(OR(NOT(ISNUMBER(E78)),NOT(ISNUMBER(F78))),"BELUM LENGKAP",ROUND(E78*F78,0)))</f>
        <v/>
      </c>
      <c r="J78" s="0" t="str">
        <f aca="false">IF(A78="","",IF(NOT(ISNUMBER(G78)),"BELUM LENGKAP",G78-H78-I78))</f>
        <v/>
      </c>
      <c r="L78" s="0" t="str">
        <f aca="false">IF(A78="","",IF(NOT(ISNUMBER(K78)),"ISI SNAPSHOT HPP",ROUND(E78*K78,0)))</f>
        <v/>
      </c>
      <c r="M78" s="0" t="str">
        <f aca="false">IF(A78="","",IF(NOT(ISNUMBER(L78)),"BELUM LENGKAP",J78-L78))</f>
        <v/>
      </c>
      <c r="N78" s="0" t="str">
        <f aca="false">IF(B78="","",IF(COUNTIFS('RESEP DAN HPP'!$A$5:$A$504,B78,'RESEP DAN HPP'!$N$5:$N$504,"LENGKAP")=0,"BELUM LENGKAP",INDEX('RESEP DAN HPP'!$J$5:$J$504,MATCH(B78,'RESEP DAN HPP'!$A$5:$A$504,0))))</f>
        <v/>
      </c>
      <c r="P78" s="0" t="str">
        <f aca="false">IF(A78="","",IF(COUNTIFS('TRANSAKSI PENJUALAN'!$A$5:$A$504,A78)=0,"BELUM ADA",INDEX('TRANSAKSI PENJUALAN'!$B$5:$B$504,MATCH(A78,'TRANSAKSI PENJUALAN'!$A$5:$A$504,0))))</f>
        <v/>
      </c>
      <c r="Q78" s="0" t="str">
        <f aca="false">IF(A78="","",IF(COUNTIFS('TRANSAKSI PENJUALAN'!$A$5:$A$504,A78)=0,"BELUM ADA",INDEX('TRANSAKSI PENJUALAN'!$M$5:$M$504,MATCH(A78,'TRANSAKSI PENJUALAN'!$A$5:$A$504,0))))</f>
        <v/>
      </c>
      <c r="R78" s="24" t="str">
        <f aca="false">IF(A78="","",COUNTIF($A$5:A78,A78))</f>
        <v/>
      </c>
      <c r="S78" s="24" t="str">
        <f aca="false">IF(A78="","",A78&amp;"|"&amp;R78)</f>
        <v/>
      </c>
    </row>
    <row r="79" customFormat="false" ht="15" hidden="false" customHeight="false" outlineLevel="0" collapsed="false">
      <c r="C79" s="0" t="str">
        <f aca="false">IF(B79="","",IF(COUNTIFS('MASTER MENU'!$A$5:$A$504,B79)=0,"BELUM ADA",INDEX('MASTER MENU'!$B$5:$B$504,MATCH(B79,'MASTER MENU'!$A$5:$A$504,0))))</f>
        <v/>
      </c>
      <c r="D79" s="0" t="str">
        <f aca="false">IF(B79="","",IF(COUNTIFS('MASTER MENU'!$A$5:$A$504,B79)=0,"BELUM ADA",INDEX('MASTER MENU'!$E$5:$E$504,MATCH(B79,'MASTER MENU'!$A$5:$A$504,0))))</f>
        <v/>
      </c>
      <c r="F79" s="0" t="str">
        <f aca="false">IF(B79="","",IF(COUNTIFS('MASTER MENU'!$A$5:$A$504,B79)=0,"BELUM ADA",INDEX('MASTER MENU'!$F$5:$F$504,MATCH(B79,'MASTER MENU'!$A$5:$A$504,0))))</f>
        <v/>
      </c>
      <c r="G79" s="0" t="str">
        <f aca="false">IF(A79="","",IF(OR(NOT(ISNUMBER(E79)),NOT(ISNUMBER(F79))),"BELUM LENGKAP",ROUND(E79*F79,0)))</f>
        <v/>
      </c>
      <c r="J79" s="0" t="str">
        <f aca="false">IF(A79="","",IF(NOT(ISNUMBER(G79)),"BELUM LENGKAP",G79-H79-I79))</f>
        <v/>
      </c>
      <c r="L79" s="0" t="str">
        <f aca="false">IF(A79="","",IF(NOT(ISNUMBER(K79)),"ISI SNAPSHOT HPP",ROUND(E79*K79,0)))</f>
        <v/>
      </c>
      <c r="M79" s="0" t="str">
        <f aca="false">IF(A79="","",IF(NOT(ISNUMBER(L79)),"BELUM LENGKAP",J79-L79))</f>
        <v/>
      </c>
      <c r="N79" s="0" t="str">
        <f aca="false">IF(B79="","",IF(COUNTIFS('RESEP DAN HPP'!$A$5:$A$504,B79,'RESEP DAN HPP'!$N$5:$N$504,"LENGKAP")=0,"BELUM LENGKAP",INDEX('RESEP DAN HPP'!$J$5:$J$504,MATCH(B79,'RESEP DAN HPP'!$A$5:$A$504,0))))</f>
        <v/>
      </c>
      <c r="P79" s="0" t="str">
        <f aca="false">IF(A79="","",IF(COUNTIFS('TRANSAKSI PENJUALAN'!$A$5:$A$504,A79)=0,"BELUM ADA",INDEX('TRANSAKSI PENJUALAN'!$B$5:$B$504,MATCH(A79,'TRANSAKSI PENJUALAN'!$A$5:$A$504,0))))</f>
        <v/>
      </c>
      <c r="Q79" s="0" t="str">
        <f aca="false">IF(A79="","",IF(COUNTIFS('TRANSAKSI PENJUALAN'!$A$5:$A$504,A79)=0,"BELUM ADA",INDEX('TRANSAKSI PENJUALAN'!$M$5:$M$504,MATCH(A79,'TRANSAKSI PENJUALAN'!$A$5:$A$504,0))))</f>
        <v/>
      </c>
      <c r="R79" s="24" t="str">
        <f aca="false">IF(A79="","",COUNTIF($A$5:A79,A79))</f>
        <v/>
      </c>
      <c r="S79" s="24" t="str">
        <f aca="false">IF(A79="","",A79&amp;"|"&amp;R79)</f>
        <v/>
      </c>
    </row>
    <row r="80" customFormat="false" ht="15" hidden="false" customHeight="false" outlineLevel="0" collapsed="false">
      <c r="C80" s="0" t="str">
        <f aca="false">IF(B80="","",IF(COUNTIFS('MASTER MENU'!$A$5:$A$504,B80)=0,"BELUM ADA",INDEX('MASTER MENU'!$B$5:$B$504,MATCH(B80,'MASTER MENU'!$A$5:$A$504,0))))</f>
        <v/>
      </c>
      <c r="D80" s="0" t="str">
        <f aca="false">IF(B80="","",IF(COUNTIFS('MASTER MENU'!$A$5:$A$504,B80)=0,"BELUM ADA",INDEX('MASTER MENU'!$E$5:$E$504,MATCH(B80,'MASTER MENU'!$A$5:$A$504,0))))</f>
        <v/>
      </c>
      <c r="F80" s="0" t="str">
        <f aca="false">IF(B80="","",IF(COUNTIFS('MASTER MENU'!$A$5:$A$504,B80)=0,"BELUM ADA",INDEX('MASTER MENU'!$F$5:$F$504,MATCH(B80,'MASTER MENU'!$A$5:$A$504,0))))</f>
        <v/>
      </c>
      <c r="G80" s="0" t="str">
        <f aca="false">IF(A80="","",IF(OR(NOT(ISNUMBER(E80)),NOT(ISNUMBER(F80))),"BELUM LENGKAP",ROUND(E80*F80,0)))</f>
        <v/>
      </c>
      <c r="J80" s="0" t="str">
        <f aca="false">IF(A80="","",IF(NOT(ISNUMBER(G80)),"BELUM LENGKAP",G80-H80-I80))</f>
        <v/>
      </c>
      <c r="L80" s="0" t="str">
        <f aca="false">IF(A80="","",IF(NOT(ISNUMBER(K80)),"ISI SNAPSHOT HPP",ROUND(E80*K80,0)))</f>
        <v/>
      </c>
      <c r="M80" s="0" t="str">
        <f aca="false">IF(A80="","",IF(NOT(ISNUMBER(L80)),"BELUM LENGKAP",J80-L80))</f>
        <v/>
      </c>
      <c r="N80" s="0" t="str">
        <f aca="false">IF(B80="","",IF(COUNTIFS('RESEP DAN HPP'!$A$5:$A$504,B80,'RESEP DAN HPP'!$N$5:$N$504,"LENGKAP")=0,"BELUM LENGKAP",INDEX('RESEP DAN HPP'!$J$5:$J$504,MATCH(B80,'RESEP DAN HPP'!$A$5:$A$504,0))))</f>
        <v/>
      </c>
      <c r="P80" s="0" t="str">
        <f aca="false">IF(A80="","",IF(COUNTIFS('TRANSAKSI PENJUALAN'!$A$5:$A$504,A80)=0,"BELUM ADA",INDEX('TRANSAKSI PENJUALAN'!$B$5:$B$504,MATCH(A80,'TRANSAKSI PENJUALAN'!$A$5:$A$504,0))))</f>
        <v/>
      </c>
      <c r="Q80" s="0" t="str">
        <f aca="false">IF(A80="","",IF(COUNTIFS('TRANSAKSI PENJUALAN'!$A$5:$A$504,A80)=0,"BELUM ADA",INDEX('TRANSAKSI PENJUALAN'!$M$5:$M$504,MATCH(A80,'TRANSAKSI PENJUALAN'!$A$5:$A$504,0))))</f>
        <v/>
      </c>
      <c r="R80" s="24" t="str">
        <f aca="false">IF(A80="","",COUNTIF($A$5:A80,A80))</f>
        <v/>
      </c>
      <c r="S80" s="24" t="str">
        <f aca="false">IF(A80="","",A80&amp;"|"&amp;R80)</f>
        <v/>
      </c>
    </row>
    <row r="81" customFormat="false" ht="15" hidden="false" customHeight="false" outlineLevel="0" collapsed="false">
      <c r="C81" s="0" t="str">
        <f aca="false">IF(B81="","",IF(COUNTIFS('MASTER MENU'!$A$5:$A$504,B81)=0,"BELUM ADA",INDEX('MASTER MENU'!$B$5:$B$504,MATCH(B81,'MASTER MENU'!$A$5:$A$504,0))))</f>
        <v/>
      </c>
      <c r="D81" s="0" t="str">
        <f aca="false">IF(B81="","",IF(COUNTIFS('MASTER MENU'!$A$5:$A$504,B81)=0,"BELUM ADA",INDEX('MASTER MENU'!$E$5:$E$504,MATCH(B81,'MASTER MENU'!$A$5:$A$504,0))))</f>
        <v/>
      </c>
      <c r="F81" s="0" t="str">
        <f aca="false">IF(B81="","",IF(COUNTIFS('MASTER MENU'!$A$5:$A$504,B81)=0,"BELUM ADA",INDEX('MASTER MENU'!$F$5:$F$504,MATCH(B81,'MASTER MENU'!$A$5:$A$504,0))))</f>
        <v/>
      </c>
      <c r="G81" s="0" t="str">
        <f aca="false">IF(A81="","",IF(OR(NOT(ISNUMBER(E81)),NOT(ISNUMBER(F81))),"BELUM LENGKAP",ROUND(E81*F81,0)))</f>
        <v/>
      </c>
      <c r="J81" s="0" t="str">
        <f aca="false">IF(A81="","",IF(NOT(ISNUMBER(G81)),"BELUM LENGKAP",G81-H81-I81))</f>
        <v/>
      </c>
      <c r="L81" s="0" t="str">
        <f aca="false">IF(A81="","",IF(NOT(ISNUMBER(K81)),"ISI SNAPSHOT HPP",ROUND(E81*K81,0)))</f>
        <v/>
      </c>
      <c r="M81" s="0" t="str">
        <f aca="false">IF(A81="","",IF(NOT(ISNUMBER(L81)),"BELUM LENGKAP",J81-L81))</f>
        <v/>
      </c>
      <c r="N81" s="0" t="str">
        <f aca="false">IF(B81="","",IF(COUNTIFS('RESEP DAN HPP'!$A$5:$A$504,B81,'RESEP DAN HPP'!$N$5:$N$504,"LENGKAP")=0,"BELUM LENGKAP",INDEX('RESEP DAN HPP'!$J$5:$J$504,MATCH(B81,'RESEP DAN HPP'!$A$5:$A$504,0))))</f>
        <v/>
      </c>
      <c r="P81" s="0" t="str">
        <f aca="false">IF(A81="","",IF(COUNTIFS('TRANSAKSI PENJUALAN'!$A$5:$A$504,A81)=0,"BELUM ADA",INDEX('TRANSAKSI PENJUALAN'!$B$5:$B$504,MATCH(A81,'TRANSAKSI PENJUALAN'!$A$5:$A$504,0))))</f>
        <v/>
      </c>
      <c r="Q81" s="0" t="str">
        <f aca="false">IF(A81="","",IF(COUNTIFS('TRANSAKSI PENJUALAN'!$A$5:$A$504,A81)=0,"BELUM ADA",INDEX('TRANSAKSI PENJUALAN'!$M$5:$M$504,MATCH(A81,'TRANSAKSI PENJUALAN'!$A$5:$A$504,0))))</f>
        <v/>
      </c>
      <c r="R81" s="24" t="str">
        <f aca="false">IF(A81="","",COUNTIF($A$5:A81,A81))</f>
        <v/>
      </c>
      <c r="S81" s="24" t="str">
        <f aca="false">IF(A81="","",A81&amp;"|"&amp;R81)</f>
        <v/>
      </c>
    </row>
    <row r="82" customFormat="false" ht="15" hidden="false" customHeight="false" outlineLevel="0" collapsed="false">
      <c r="C82" s="0" t="str">
        <f aca="false">IF(B82="","",IF(COUNTIFS('MASTER MENU'!$A$5:$A$504,B82)=0,"BELUM ADA",INDEX('MASTER MENU'!$B$5:$B$504,MATCH(B82,'MASTER MENU'!$A$5:$A$504,0))))</f>
        <v/>
      </c>
      <c r="D82" s="0" t="str">
        <f aca="false">IF(B82="","",IF(COUNTIFS('MASTER MENU'!$A$5:$A$504,B82)=0,"BELUM ADA",INDEX('MASTER MENU'!$E$5:$E$504,MATCH(B82,'MASTER MENU'!$A$5:$A$504,0))))</f>
        <v/>
      </c>
      <c r="F82" s="0" t="str">
        <f aca="false">IF(B82="","",IF(COUNTIFS('MASTER MENU'!$A$5:$A$504,B82)=0,"BELUM ADA",INDEX('MASTER MENU'!$F$5:$F$504,MATCH(B82,'MASTER MENU'!$A$5:$A$504,0))))</f>
        <v/>
      </c>
      <c r="G82" s="0" t="str">
        <f aca="false">IF(A82="","",IF(OR(NOT(ISNUMBER(E82)),NOT(ISNUMBER(F82))),"BELUM LENGKAP",ROUND(E82*F82,0)))</f>
        <v/>
      </c>
      <c r="J82" s="0" t="str">
        <f aca="false">IF(A82="","",IF(NOT(ISNUMBER(G82)),"BELUM LENGKAP",G82-H82-I82))</f>
        <v/>
      </c>
      <c r="L82" s="0" t="str">
        <f aca="false">IF(A82="","",IF(NOT(ISNUMBER(K82)),"ISI SNAPSHOT HPP",ROUND(E82*K82,0)))</f>
        <v/>
      </c>
      <c r="M82" s="0" t="str">
        <f aca="false">IF(A82="","",IF(NOT(ISNUMBER(L82)),"BELUM LENGKAP",J82-L82))</f>
        <v/>
      </c>
      <c r="N82" s="0" t="str">
        <f aca="false">IF(B82="","",IF(COUNTIFS('RESEP DAN HPP'!$A$5:$A$504,B82,'RESEP DAN HPP'!$N$5:$N$504,"LENGKAP")=0,"BELUM LENGKAP",INDEX('RESEP DAN HPP'!$J$5:$J$504,MATCH(B82,'RESEP DAN HPP'!$A$5:$A$504,0))))</f>
        <v/>
      </c>
      <c r="P82" s="0" t="str">
        <f aca="false">IF(A82="","",IF(COUNTIFS('TRANSAKSI PENJUALAN'!$A$5:$A$504,A82)=0,"BELUM ADA",INDEX('TRANSAKSI PENJUALAN'!$B$5:$B$504,MATCH(A82,'TRANSAKSI PENJUALAN'!$A$5:$A$504,0))))</f>
        <v/>
      </c>
      <c r="Q82" s="0" t="str">
        <f aca="false">IF(A82="","",IF(COUNTIFS('TRANSAKSI PENJUALAN'!$A$5:$A$504,A82)=0,"BELUM ADA",INDEX('TRANSAKSI PENJUALAN'!$M$5:$M$504,MATCH(A82,'TRANSAKSI PENJUALAN'!$A$5:$A$504,0))))</f>
        <v/>
      </c>
      <c r="R82" s="24" t="str">
        <f aca="false">IF(A82="","",COUNTIF($A$5:A82,A82))</f>
        <v/>
      </c>
      <c r="S82" s="24" t="str">
        <f aca="false">IF(A82="","",A82&amp;"|"&amp;R82)</f>
        <v/>
      </c>
    </row>
    <row r="83" customFormat="false" ht="15" hidden="false" customHeight="false" outlineLevel="0" collapsed="false">
      <c r="C83" s="0" t="str">
        <f aca="false">IF(B83="","",IF(COUNTIFS('MASTER MENU'!$A$5:$A$504,B83)=0,"BELUM ADA",INDEX('MASTER MENU'!$B$5:$B$504,MATCH(B83,'MASTER MENU'!$A$5:$A$504,0))))</f>
        <v/>
      </c>
      <c r="D83" s="0" t="str">
        <f aca="false">IF(B83="","",IF(COUNTIFS('MASTER MENU'!$A$5:$A$504,B83)=0,"BELUM ADA",INDEX('MASTER MENU'!$E$5:$E$504,MATCH(B83,'MASTER MENU'!$A$5:$A$504,0))))</f>
        <v/>
      </c>
      <c r="F83" s="0" t="str">
        <f aca="false">IF(B83="","",IF(COUNTIFS('MASTER MENU'!$A$5:$A$504,B83)=0,"BELUM ADA",INDEX('MASTER MENU'!$F$5:$F$504,MATCH(B83,'MASTER MENU'!$A$5:$A$504,0))))</f>
        <v/>
      </c>
      <c r="G83" s="0" t="str">
        <f aca="false">IF(A83="","",IF(OR(NOT(ISNUMBER(E83)),NOT(ISNUMBER(F83))),"BELUM LENGKAP",ROUND(E83*F83,0)))</f>
        <v/>
      </c>
      <c r="J83" s="0" t="str">
        <f aca="false">IF(A83="","",IF(NOT(ISNUMBER(G83)),"BELUM LENGKAP",G83-H83-I83))</f>
        <v/>
      </c>
      <c r="L83" s="0" t="str">
        <f aca="false">IF(A83="","",IF(NOT(ISNUMBER(K83)),"ISI SNAPSHOT HPP",ROUND(E83*K83,0)))</f>
        <v/>
      </c>
      <c r="M83" s="0" t="str">
        <f aca="false">IF(A83="","",IF(NOT(ISNUMBER(L83)),"BELUM LENGKAP",J83-L83))</f>
        <v/>
      </c>
      <c r="N83" s="0" t="str">
        <f aca="false">IF(B83="","",IF(COUNTIFS('RESEP DAN HPP'!$A$5:$A$504,B83,'RESEP DAN HPP'!$N$5:$N$504,"LENGKAP")=0,"BELUM LENGKAP",INDEX('RESEP DAN HPP'!$J$5:$J$504,MATCH(B83,'RESEP DAN HPP'!$A$5:$A$504,0))))</f>
        <v/>
      </c>
      <c r="P83" s="0" t="str">
        <f aca="false">IF(A83="","",IF(COUNTIFS('TRANSAKSI PENJUALAN'!$A$5:$A$504,A83)=0,"BELUM ADA",INDEX('TRANSAKSI PENJUALAN'!$B$5:$B$504,MATCH(A83,'TRANSAKSI PENJUALAN'!$A$5:$A$504,0))))</f>
        <v/>
      </c>
      <c r="Q83" s="0" t="str">
        <f aca="false">IF(A83="","",IF(COUNTIFS('TRANSAKSI PENJUALAN'!$A$5:$A$504,A83)=0,"BELUM ADA",INDEX('TRANSAKSI PENJUALAN'!$M$5:$M$504,MATCH(A83,'TRANSAKSI PENJUALAN'!$A$5:$A$504,0))))</f>
        <v/>
      </c>
      <c r="R83" s="24" t="str">
        <f aca="false">IF(A83="","",COUNTIF($A$5:A83,A83))</f>
        <v/>
      </c>
      <c r="S83" s="24" t="str">
        <f aca="false">IF(A83="","",A83&amp;"|"&amp;R83)</f>
        <v/>
      </c>
    </row>
    <row r="84" customFormat="false" ht="15" hidden="false" customHeight="false" outlineLevel="0" collapsed="false">
      <c r="C84" s="0" t="str">
        <f aca="false">IF(B84="","",IF(COUNTIFS('MASTER MENU'!$A$5:$A$504,B84)=0,"BELUM ADA",INDEX('MASTER MENU'!$B$5:$B$504,MATCH(B84,'MASTER MENU'!$A$5:$A$504,0))))</f>
        <v/>
      </c>
      <c r="D84" s="0" t="str">
        <f aca="false">IF(B84="","",IF(COUNTIFS('MASTER MENU'!$A$5:$A$504,B84)=0,"BELUM ADA",INDEX('MASTER MENU'!$E$5:$E$504,MATCH(B84,'MASTER MENU'!$A$5:$A$504,0))))</f>
        <v/>
      </c>
      <c r="F84" s="0" t="str">
        <f aca="false">IF(B84="","",IF(COUNTIFS('MASTER MENU'!$A$5:$A$504,B84)=0,"BELUM ADA",INDEX('MASTER MENU'!$F$5:$F$504,MATCH(B84,'MASTER MENU'!$A$5:$A$504,0))))</f>
        <v/>
      </c>
      <c r="G84" s="0" t="str">
        <f aca="false">IF(A84="","",IF(OR(NOT(ISNUMBER(E84)),NOT(ISNUMBER(F84))),"BELUM LENGKAP",ROUND(E84*F84,0)))</f>
        <v/>
      </c>
      <c r="J84" s="0" t="str">
        <f aca="false">IF(A84="","",IF(NOT(ISNUMBER(G84)),"BELUM LENGKAP",G84-H84-I84))</f>
        <v/>
      </c>
      <c r="L84" s="0" t="str">
        <f aca="false">IF(A84="","",IF(NOT(ISNUMBER(K84)),"ISI SNAPSHOT HPP",ROUND(E84*K84,0)))</f>
        <v/>
      </c>
      <c r="M84" s="0" t="str">
        <f aca="false">IF(A84="","",IF(NOT(ISNUMBER(L84)),"BELUM LENGKAP",J84-L84))</f>
        <v/>
      </c>
      <c r="N84" s="0" t="str">
        <f aca="false">IF(B84="","",IF(COUNTIFS('RESEP DAN HPP'!$A$5:$A$504,B84,'RESEP DAN HPP'!$N$5:$N$504,"LENGKAP")=0,"BELUM LENGKAP",INDEX('RESEP DAN HPP'!$J$5:$J$504,MATCH(B84,'RESEP DAN HPP'!$A$5:$A$504,0))))</f>
        <v/>
      </c>
      <c r="P84" s="0" t="str">
        <f aca="false">IF(A84="","",IF(COUNTIFS('TRANSAKSI PENJUALAN'!$A$5:$A$504,A84)=0,"BELUM ADA",INDEX('TRANSAKSI PENJUALAN'!$B$5:$B$504,MATCH(A84,'TRANSAKSI PENJUALAN'!$A$5:$A$504,0))))</f>
        <v/>
      </c>
      <c r="Q84" s="0" t="str">
        <f aca="false">IF(A84="","",IF(COUNTIFS('TRANSAKSI PENJUALAN'!$A$5:$A$504,A84)=0,"BELUM ADA",INDEX('TRANSAKSI PENJUALAN'!$M$5:$M$504,MATCH(A84,'TRANSAKSI PENJUALAN'!$A$5:$A$504,0))))</f>
        <v/>
      </c>
      <c r="R84" s="24" t="str">
        <f aca="false">IF(A84="","",COUNTIF($A$5:A84,A84))</f>
        <v/>
      </c>
      <c r="S84" s="24" t="str">
        <f aca="false">IF(A84="","",A84&amp;"|"&amp;R84)</f>
        <v/>
      </c>
    </row>
    <row r="85" customFormat="false" ht="15" hidden="false" customHeight="false" outlineLevel="0" collapsed="false">
      <c r="C85" s="0" t="str">
        <f aca="false">IF(B85="","",IF(COUNTIFS('MASTER MENU'!$A$5:$A$504,B85)=0,"BELUM ADA",INDEX('MASTER MENU'!$B$5:$B$504,MATCH(B85,'MASTER MENU'!$A$5:$A$504,0))))</f>
        <v/>
      </c>
      <c r="D85" s="0" t="str">
        <f aca="false">IF(B85="","",IF(COUNTIFS('MASTER MENU'!$A$5:$A$504,B85)=0,"BELUM ADA",INDEX('MASTER MENU'!$E$5:$E$504,MATCH(B85,'MASTER MENU'!$A$5:$A$504,0))))</f>
        <v/>
      </c>
      <c r="F85" s="0" t="str">
        <f aca="false">IF(B85="","",IF(COUNTIFS('MASTER MENU'!$A$5:$A$504,B85)=0,"BELUM ADA",INDEX('MASTER MENU'!$F$5:$F$504,MATCH(B85,'MASTER MENU'!$A$5:$A$504,0))))</f>
        <v/>
      </c>
      <c r="G85" s="0" t="str">
        <f aca="false">IF(A85="","",IF(OR(NOT(ISNUMBER(E85)),NOT(ISNUMBER(F85))),"BELUM LENGKAP",ROUND(E85*F85,0)))</f>
        <v/>
      </c>
      <c r="J85" s="0" t="str">
        <f aca="false">IF(A85="","",IF(NOT(ISNUMBER(G85)),"BELUM LENGKAP",G85-H85-I85))</f>
        <v/>
      </c>
      <c r="L85" s="0" t="str">
        <f aca="false">IF(A85="","",IF(NOT(ISNUMBER(K85)),"ISI SNAPSHOT HPP",ROUND(E85*K85,0)))</f>
        <v/>
      </c>
      <c r="M85" s="0" t="str">
        <f aca="false">IF(A85="","",IF(NOT(ISNUMBER(L85)),"BELUM LENGKAP",J85-L85))</f>
        <v/>
      </c>
      <c r="N85" s="0" t="str">
        <f aca="false">IF(B85="","",IF(COUNTIFS('RESEP DAN HPP'!$A$5:$A$504,B85,'RESEP DAN HPP'!$N$5:$N$504,"LENGKAP")=0,"BELUM LENGKAP",INDEX('RESEP DAN HPP'!$J$5:$J$504,MATCH(B85,'RESEP DAN HPP'!$A$5:$A$504,0))))</f>
        <v/>
      </c>
      <c r="P85" s="0" t="str">
        <f aca="false">IF(A85="","",IF(COUNTIFS('TRANSAKSI PENJUALAN'!$A$5:$A$504,A85)=0,"BELUM ADA",INDEX('TRANSAKSI PENJUALAN'!$B$5:$B$504,MATCH(A85,'TRANSAKSI PENJUALAN'!$A$5:$A$504,0))))</f>
        <v/>
      </c>
      <c r="Q85" s="0" t="str">
        <f aca="false">IF(A85="","",IF(COUNTIFS('TRANSAKSI PENJUALAN'!$A$5:$A$504,A85)=0,"BELUM ADA",INDEX('TRANSAKSI PENJUALAN'!$M$5:$M$504,MATCH(A85,'TRANSAKSI PENJUALAN'!$A$5:$A$504,0))))</f>
        <v/>
      </c>
      <c r="R85" s="24" t="str">
        <f aca="false">IF(A85="","",COUNTIF($A$5:A85,A85))</f>
        <v/>
      </c>
      <c r="S85" s="24" t="str">
        <f aca="false">IF(A85="","",A85&amp;"|"&amp;R85)</f>
        <v/>
      </c>
    </row>
    <row r="86" customFormat="false" ht="15" hidden="false" customHeight="false" outlineLevel="0" collapsed="false">
      <c r="C86" s="0" t="str">
        <f aca="false">IF(B86="","",IF(COUNTIFS('MASTER MENU'!$A$5:$A$504,B86)=0,"BELUM ADA",INDEX('MASTER MENU'!$B$5:$B$504,MATCH(B86,'MASTER MENU'!$A$5:$A$504,0))))</f>
        <v/>
      </c>
      <c r="D86" s="0" t="str">
        <f aca="false">IF(B86="","",IF(COUNTIFS('MASTER MENU'!$A$5:$A$504,B86)=0,"BELUM ADA",INDEX('MASTER MENU'!$E$5:$E$504,MATCH(B86,'MASTER MENU'!$A$5:$A$504,0))))</f>
        <v/>
      </c>
      <c r="F86" s="0" t="str">
        <f aca="false">IF(B86="","",IF(COUNTIFS('MASTER MENU'!$A$5:$A$504,B86)=0,"BELUM ADA",INDEX('MASTER MENU'!$F$5:$F$504,MATCH(B86,'MASTER MENU'!$A$5:$A$504,0))))</f>
        <v/>
      </c>
      <c r="G86" s="0" t="str">
        <f aca="false">IF(A86="","",IF(OR(NOT(ISNUMBER(E86)),NOT(ISNUMBER(F86))),"BELUM LENGKAP",ROUND(E86*F86,0)))</f>
        <v/>
      </c>
      <c r="J86" s="0" t="str">
        <f aca="false">IF(A86="","",IF(NOT(ISNUMBER(G86)),"BELUM LENGKAP",G86-H86-I86))</f>
        <v/>
      </c>
      <c r="L86" s="0" t="str">
        <f aca="false">IF(A86="","",IF(NOT(ISNUMBER(K86)),"ISI SNAPSHOT HPP",ROUND(E86*K86,0)))</f>
        <v/>
      </c>
      <c r="M86" s="0" t="str">
        <f aca="false">IF(A86="","",IF(NOT(ISNUMBER(L86)),"BELUM LENGKAP",J86-L86))</f>
        <v/>
      </c>
      <c r="N86" s="0" t="str">
        <f aca="false">IF(B86="","",IF(COUNTIFS('RESEP DAN HPP'!$A$5:$A$504,B86,'RESEP DAN HPP'!$N$5:$N$504,"LENGKAP")=0,"BELUM LENGKAP",INDEX('RESEP DAN HPP'!$J$5:$J$504,MATCH(B86,'RESEP DAN HPP'!$A$5:$A$504,0))))</f>
        <v/>
      </c>
      <c r="P86" s="0" t="str">
        <f aca="false">IF(A86="","",IF(COUNTIFS('TRANSAKSI PENJUALAN'!$A$5:$A$504,A86)=0,"BELUM ADA",INDEX('TRANSAKSI PENJUALAN'!$B$5:$B$504,MATCH(A86,'TRANSAKSI PENJUALAN'!$A$5:$A$504,0))))</f>
        <v/>
      </c>
      <c r="Q86" s="0" t="str">
        <f aca="false">IF(A86="","",IF(COUNTIFS('TRANSAKSI PENJUALAN'!$A$5:$A$504,A86)=0,"BELUM ADA",INDEX('TRANSAKSI PENJUALAN'!$M$5:$M$504,MATCH(A86,'TRANSAKSI PENJUALAN'!$A$5:$A$504,0))))</f>
        <v/>
      </c>
      <c r="R86" s="24" t="str">
        <f aca="false">IF(A86="","",COUNTIF($A$5:A86,A86))</f>
        <v/>
      </c>
      <c r="S86" s="24" t="str">
        <f aca="false">IF(A86="","",A86&amp;"|"&amp;R86)</f>
        <v/>
      </c>
    </row>
    <row r="87" customFormat="false" ht="15" hidden="false" customHeight="false" outlineLevel="0" collapsed="false">
      <c r="C87" s="0" t="str">
        <f aca="false">IF(B87="","",IF(COUNTIFS('MASTER MENU'!$A$5:$A$504,B87)=0,"BELUM ADA",INDEX('MASTER MENU'!$B$5:$B$504,MATCH(B87,'MASTER MENU'!$A$5:$A$504,0))))</f>
        <v/>
      </c>
      <c r="D87" s="0" t="str">
        <f aca="false">IF(B87="","",IF(COUNTIFS('MASTER MENU'!$A$5:$A$504,B87)=0,"BELUM ADA",INDEX('MASTER MENU'!$E$5:$E$504,MATCH(B87,'MASTER MENU'!$A$5:$A$504,0))))</f>
        <v/>
      </c>
      <c r="F87" s="0" t="str">
        <f aca="false">IF(B87="","",IF(COUNTIFS('MASTER MENU'!$A$5:$A$504,B87)=0,"BELUM ADA",INDEX('MASTER MENU'!$F$5:$F$504,MATCH(B87,'MASTER MENU'!$A$5:$A$504,0))))</f>
        <v/>
      </c>
      <c r="G87" s="0" t="str">
        <f aca="false">IF(A87="","",IF(OR(NOT(ISNUMBER(E87)),NOT(ISNUMBER(F87))),"BELUM LENGKAP",ROUND(E87*F87,0)))</f>
        <v/>
      </c>
      <c r="J87" s="0" t="str">
        <f aca="false">IF(A87="","",IF(NOT(ISNUMBER(G87)),"BELUM LENGKAP",G87-H87-I87))</f>
        <v/>
      </c>
      <c r="L87" s="0" t="str">
        <f aca="false">IF(A87="","",IF(NOT(ISNUMBER(K87)),"ISI SNAPSHOT HPP",ROUND(E87*K87,0)))</f>
        <v/>
      </c>
      <c r="M87" s="0" t="str">
        <f aca="false">IF(A87="","",IF(NOT(ISNUMBER(L87)),"BELUM LENGKAP",J87-L87))</f>
        <v/>
      </c>
      <c r="N87" s="0" t="str">
        <f aca="false">IF(B87="","",IF(COUNTIFS('RESEP DAN HPP'!$A$5:$A$504,B87,'RESEP DAN HPP'!$N$5:$N$504,"LENGKAP")=0,"BELUM LENGKAP",INDEX('RESEP DAN HPP'!$J$5:$J$504,MATCH(B87,'RESEP DAN HPP'!$A$5:$A$504,0))))</f>
        <v/>
      </c>
      <c r="P87" s="0" t="str">
        <f aca="false">IF(A87="","",IF(COUNTIFS('TRANSAKSI PENJUALAN'!$A$5:$A$504,A87)=0,"BELUM ADA",INDEX('TRANSAKSI PENJUALAN'!$B$5:$B$504,MATCH(A87,'TRANSAKSI PENJUALAN'!$A$5:$A$504,0))))</f>
        <v/>
      </c>
      <c r="Q87" s="0" t="str">
        <f aca="false">IF(A87="","",IF(COUNTIFS('TRANSAKSI PENJUALAN'!$A$5:$A$504,A87)=0,"BELUM ADA",INDEX('TRANSAKSI PENJUALAN'!$M$5:$M$504,MATCH(A87,'TRANSAKSI PENJUALAN'!$A$5:$A$504,0))))</f>
        <v/>
      </c>
      <c r="R87" s="24" t="str">
        <f aca="false">IF(A87="","",COUNTIF($A$5:A87,A87))</f>
        <v/>
      </c>
      <c r="S87" s="24" t="str">
        <f aca="false">IF(A87="","",A87&amp;"|"&amp;R87)</f>
        <v/>
      </c>
    </row>
    <row r="88" customFormat="false" ht="15" hidden="false" customHeight="false" outlineLevel="0" collapsed="false">
      <c r="C88" s="0" t="str">
        <f aca="false">IF(B88="","",IF(COUNTIFS('MASTER MENU'!$A$5:$A$504,B88)=0,"BELUM ADA",INDEX('MASTER MENU'!$B$5:$B$504,MATCH(B88,'MASTER MENU'!$A$5:$A$504,0))))</f>
        <v/>
      </c>
      <c r="D88" s="0" t="str">
        <f aca="false">IF(B88="","",IF(COUNTIFS('MASTER MENU'!$A$5:$A$504,B88)=0,"BELUM ADA",INDEX('MASTER MENU'!$E$5:$E$504,MATCH(B88,'MASTER MENU'!$A$5:$A$504,0))))</f>
        <v/>
      </c>
      <c r="F88" s="0" t="str">
        <f aca="false">IF(B88="","",IF(COUNTIFS('MASTER MENU'!$A$5:$A$504,B88)=0,"BELUM ADA",INDEX('MASTER MENU'!$F$5:$F$504,MATCH(B88,'MASTER MENU'!$A$5:$A$504,0))))</f>
        <v/>
      </c>
      <c r="G88" s="0" t="str">
        <f aca="false">IF(A88="","",IF(OR(NOT(ISNUMBER(E88)),NOT(ISNUMBER(F88))),"BELUM LENGKAP",ROUND(E88*F88,0)))</f>
        <v/>
      </c>
      <c r="J88" s="0" t="str">
        <f aca="false">IF(A88="","",IF(NOT(ISNUMBER(G88)),"BELUM LENGKAP",G88-H88-I88))</f>
        <v/>
      </c>
      <c r="L88" s="0" t="str">
        <f aca="false">IF(A88="","",IF(NOT(ISNUMBER(K88)),"ISI SNAPSHOT HPP",ROUND(E88*K88,0)))</f>
        <v/>
      </c>
      <c r="M88" s="0" t="str">
        <f aca="false">IF(A88="","",IF(NOT(ISNUMBER(L88)),"BELUM LENGKAP",J88-L88))</f>
        <v/>
      </c>
      <c r="N88" s="0" t="str">
        <f aca="false">IF(B88="","",IF(COUNTIFS('RESEP DAN HPP'!$A$5:$A$504,B88,'RESEP DAN HPP'!$N$5:$N$504,"LENGKAP")=0,"BELUM LENGKAP",INDEX('RESEP DAN HPP'!$J$5:$J$504,MATCH(B88,'RESEP DAN HPP'!$A$5:$A$504,0))))</f>
        <v/>
      </c>
      <c r="P88" s="0" t="str">
        <f aca="false">IF(A88="","",IF(COUNTIFS('TRANSAKSI PENJUALAN'!$A$5:$A$504,A88)=0,"BELUM ADA",INDEX('TRANSAKSI PENJUALAN'!$B$5:$B$504,MATCH(A88,'TRANSAKSI PENJUALAN'!$A$5:$A$504,0))))</f>
        <v/>
      </c>
      <c r="Q88" s="0" t="str">
        <f aca="false">IF(A88="","",IF(COUNTIFS('TRANSAKSI PENJUALAN'!$A$5:$A$504,A88)=0,"BELUM ADA",INDEX('TRANSAKSI PENJUALAN'!$M$5:$M$504,MATCH(A88,'TRANSAKSI PENJUALAN'!$A$5:$A$504,0))))</f>
        <v/>
      </c>
      <c r="R88" s="24" t="str">
        <f aca="false">IF(A88="","",COUNTIF($A$5:A88,A88))</f>
        <v/>
      </c>
      <c r="S88" s="24" t="str">
        <f aca="false">IF(A88="","",A88&amp;"|"&amp;R88)</f>
        <v/>
      </c>
    </row>
    <row r="89" customFormat="false" ht="15" hidden="false" customHeight="false" outlineLevel="0" collapsed="false">
      <c r="C89" s="0" t="str">
        <f aca="false">IF(B89="","",IF(COUNTIFS('MASTER MENU'!$A$5:$A$504,B89)=0,"BELUM ADA",INDEX('MASTER MENU'!$B$5:$B$504,MATCH(B89,'MASTER MENU'!$A$5:$A$504,0))))</f>
        <v/>
      </c>
      <c r="D89" s="0" t="str">
        <f aca="false">IF(B89="","",IF(COUNTIFS('MASTER MENU'!$A$5:$A$504,B89)=0,"BELUM ADA",INDEX('MASTER MENU'!$E$5:$E$504,MATCH(B89,'MASTER MENU'!$A$5:$A$504,0))))</f>
        <v/>
      </c>
      <c r="F89" s="0" t="str">
        <f aca="false">IF(B89="","",IF(COUNTIFS('MASTER MENU'!$A$5:$A$504,B89)=0,"BELUM ADA",INDEX('MASTER MENU'!$F$5:$F$504,MATCH(B89,'MASTER MENU'!$A$5:$A$504,0))))</f>
        <v/>
      </c>
      <c r="G89" s="0" t="str">
        <f aca="false">IF(A89="","",IF(OR(NOT(ISNUMBER(E89)),NOT(ISNUMBER(F89))),"BELUM LENGKAP",ROUND(E89*F89,0)))</f>
        <v/>
      </c>
      <c r="J89" s="0" t="str">
        <f aca="false">IF(A89="","",IF(NOT(ISNUMBER(G89)),"BELUM LENGKAP",G89-H89-I89))</f>
        <v/>
      </c>
      <c r="L89" s="0" t="str">
        <f aca="false">IF(A89="","",IF(NOT(ISNUMBER(K89)),"ISI SNAPSHOT HPP",ROUND(E89*K89,0)))</f>
        <v/>
      </c>
      <c r="M89" s="0" t="str">
        <f aca="false">IF(A89="","",IF(NOT(ISNUMBER(L89)),"BELUM LENGKAP",J89-L89))</f>
        <v/>
      </c>
      <c r="N89" s="0" t="str">
        <f aca="false">IF(B89="","",IF(COUNTIFS('RESEP DAN HPP'!$A$5:$A$504,B89,'RESEP DAN HPP'!$N$5:$N$504,"LENGKAP")=0,"BELUM LENGKAP",INDEX('RESEP DAN HPP'!$J$5:$J$504,MATCH(B89,'RESEP DAN HPP'!$A$5:$A$504,0))))</f>
        <v/>
      </c>
      <c r="P89" s="0" t="str">
        <f aca="false">IF(A89="","",IF(COUNTIFS('TRANSAKSI PENJUALAN'!$A$5:$A$504,A89)=0,"BELUM ADA",INDEX('TRANSAKSI PENJUALAN'!$B$5:$B$504,MATCH(A89,'TRANSAKSI PENJUALAN'!$A$5:$A$504,0))))</f>
        <v/>
      </c>
      <c r="Q89" s="0" t="str">
        <f aca="false">IF(A89="","",IF(COUNTIFS('TRANSAKSI PENJUALAN'!$A$5:$A$504,A89)=0,"BELUM ADA",INDEX('TRANSAKSI PENJUALAN'!$M$5:$M$504,MATCH(A89,'TRANSAKSI PENJUALAN'!$A$5:$A$504,0))))</f>
        <v/>
      </c>
      <c r="R89" s="24" t="str">
        <f aca="false">IF(A89="","",COUNTIF($A$5:A89,A89))</f>
        <v/>
      </c>
      <c r="S89" s="24" t="str">
        <f aca="false">IF(A89="","",A89&amp;"|"&amp;R89)</f>
        <v/>
      </c>
    </row>
    <row r="90" customFormat="false" ht="15" hidden="false" customHeight="false" outlineLevel="0" collapsed="false">
      <c r="C90" s="0" t="str">
        <f aca="false">IF(B90="","",IF(COUNTIFS('MASTER MENU'!$A$5:$A$504,B90)=0,"BELUM ADA",INDEX('MASTER MENU'!$B$5:$B$504,MATCH(B90,'MASTER MENU'!$A$5:$A$504,0))))</f>
        <v/>
      </c>
      <c r="D90" s="0" t="str">
        <f aca="false">IF(B90="","",IF(COUNTIFS('MASTER MENU'!$A$5:$A$504,B90)=0,"BELUM ADA",INDEX('MASTER MENU'!$E$5:$E$504,MATCH(B90,'MASTER MENU'!$A$5:$A$504,0))))</f>
        <v/>
      </c>
      <c r="F90" s="0" t="str">
        <f aca="false">IF(B90="","",IF(COUNTIFS('MASTER MENU'!$A$5:$A$504,B90)=0,"BELUM ADA",INDEX('MASTER MENU'!$F$5:$F$504,MATCH(B90,'MASTER MENU'!$A$5:$A$504,0))))</f>
        <v/>
      </c>
      <c r="G90" s="0" t="str">
        <f aca="false">IF(A90="","",IF(OR(NOT(ISNUMBER(E90)),NOT(ISNUMBER(F90))),"BELUM LENGKAP",ROUND(E90*F90,0)))</f>
        <v/>
      </c>
      <c r="J90" s="0" t="str">
        <f aca="false">IF(A90="","",IF(NOT(ISNUMBER(G90)),"BELUM LENGKAP",G90-H90-I90))</f>
        <v/>
      </c>
      <c r="L90" s="0" t="str">
        <f aca="false">IF(A90="","",IF(NOT(ISNUMBER(K90)),"ISI SNAPSHOT HPP",ROUND(E90*K90,0)))</f>
        <v/>
      </c>
      <c r="M90" s="0" t="str">
        <f aca="false">IF(A90="","",IF(NOT(ISNUMBER(L90)),"BELUM LENGKAP",J90-L90))</f>
        <v/>
      </c>
      <c r="N90" s="0" t="str">
        <f aca="false">IF(B90="","",IF(COUNTIFS('RESEP DAN HPP'!$A$5:$A$504,B90,'RESEP DAN HPP'!$N$5:$N$504,"LENGKAP")=0,"BELUM LENGKAP",INDEX('RESEP DAN HPP'!$J$5:$J$504,MATCH(B90,'RESEP DAN HPP'!$A$5:$A$504,0))))</f>
        <v/>
      </c>
      <c r="P90" s="0" t="str">
        <f aca="false">IF(A90="","",IF(COUNTIFS('TRANSAKSI PENJUALAN'!$A$5:$A$504,A90)=0,"BELUM ADA",INDEX('TRANSAKSI PENJUALAN'!$B$5:$B$504,MATCH(A90,'TRANSAKSI PENJUALAN'!$A$5:$A$504,0))))</f>
        <v/>
      </c>
      <c r="Q90" s="0" t="str">
        <f aca="false">IF(A90="","",IF(COUNTIFS('TRANSAKSI PENJUALAN'!$A$5:$A$504,A90)=0,"BELUM ADA",INDEX('TRANSAKSI PENJUALAN'!$M$5:$M$504,MATCH(A90,'TRANSAKSI PENJUALAN'!$A$5:$A$504,0))))</f>
        <v/>
      </c>
      <c r="R90" s="24" t="str">
        <f aca="false">IF(A90="","",COUNTIF($A$5:A90,A90))</f>
        <v/>
      </c>
      <c r="S90" s="24" t="str">
        <f aca="false">IF(A90="","",A90&amp;"|"&amp;R90)</f>
        <v/>
      </c>
    </row>
    <row r="91" customFormat="false" ht="15" hidden="false" customHeight="false" outlineLevel="0" collapsed="false">
      <c r="C91" s="0" t="str">
        <f aca="false">IF(B91="","",IF(COUNTIFS('MASTER MENU'!$A$5:$A$504,B91)=0,"BELUM ADA",INDEX('MASTER MENU'!$B$5:$B$504,MATCH(B91,'MASTER MENU'!$A$5:$A$504,0))))</f>
        <v/>
      </c>
      <c r="D91" s="0" t="str">
        <f aca="false">IF(B91="","",IF(COUNTIFS('MASTER MENU'!$A$5:$A$504,B91)=0,"BELUM ADA",INDEX('MASTER MENU'!$E$5:$E$504,MATCH(B91,'MASTER MENU'!$A$5:$A$504,0))))</f>
        <v/>
      </c>
      <c r="F91" s="0" t="str">
        <f aca="false">IF(B91="","",IF(COUNTIFS('MASTER MENU'!$A$5:$A$504,B91)=0,"BELUM ADA",INDEX('MASTER MENU'!$F$5:$F$504,MATCH(B91,'MASTER MENU'!$A$5:$A$504,0))))</f>
        <v/>
      </c>
      <c r="G91" s="0" t="str">
        <f aca="false">IF(A91="","",IF(OR(NOT(ISNUMBER(E91)),NOT(ISNUMBER(F91))),"BELUM LENGKAP",ROUND(E91*F91,0)))</f>
        <v/>
      </c>
      <c r="J91" s="0" t="str">
        <f aca="false">IF(A91="","",IF(NOT(ISNUMBER(G91)),"BELUM LENGKAP",G91-H91-I91))</f>
        <v/>
      </c>
      <c r="L91" s="0" t="str">
        <f aca="false">IF(A91="","",IF(NOT(ISNUMBER(K91)),"ISI SNAPSHOT HPP",ROUND(E91*K91,0)))</f>
        <v/>
      </c>
      <c r="M91" s="0" t="str">
        <f aca="false">IF(A91="","",IF(NOT(ISNUMBER(L91)),"BELUM LENGKAP",J91-L91))</f>
        <v/>
      </c>
      <c r="N91" s="0" t="str">
        <f aca="false">IF(B91="","",IF(COUNTIFS('RESEP DAN HPP'!$A$5:$A$504,B91,'RESEP DAN HPP'!$N$5:$N$504,"LENGKAP")=0,"BELUM LENGKAP",INDEX('RESEP DAN HPP'!$J$5:$J$504,MATCH(B91,'RESEP DAN HPP'!$A$5:$A$504,0))))</f>
        <v/>
      </c>
      <c r="P91" s="0" t="str">
        <f aca="false">IF(A91="","",IF(COUNTIFS('TRANSAKSI PENJUALAN'!$A$5:$A$504,A91)=0,"BELUM ADA",INDEX('TRANSAKSI PENJUALAN'!$B$5:$B$504,MATCH(A91,'TRANSAKSI PENJUALAN'!$A$5:$A$504,0))))</f>
        <v/>
      </c>
      <c r="Q91" s="0" t="str">
        <f aca="false">IF(A91="","",IF(COUNTIFS('TRANSAKSI PENJUALAN'!$A$5:$A$504,A91)=0,"BELUM ADA",INDEX('TRANSAKSI PENJUALAN'!$M$5:$M$504,MATCH(A91,'TRANSAKSI PENJUALAN'!$A$5:$A$504,0))))</f>
        <v/>
      </c>
      <c r="R91" s="24" t="str">
        <f aca="false">IF(A91="","",COUNTIF($A$5:A91,A91))</f>
        <v/>
      </c>
      <c r="S91" s="24" t="str">
        <f aca="false">IF(A91="","",A91&amp;"|"&amp;R91)</f>
        <v/>
      </c>
    </row>
    <row r="92" customFormat="false" ht="15" hidden="false" customHeight="false" outlineLevel="0" collapsed="false">
      <c r="C92" s="0" t="str">
        <f aca="false">IF(B92="","",IF(COUNTIFS('MASTER MENU'!$A$5:$A$504,B92)=0,"BELUM ADA",INDEX('MASTER MENU'!$B$5:$B$504,MATCH(B92,'MASTER MENU'!$A$5:$A$504,0))))</f>
        <v/>
      </c>
      <c r="D92" s="0" t="str">
        <f aca="false">IF(B92="","",IF(COUNTIFS('MASTER MENU'!$A$5:$A$504,B92)=0,"BELUM ADA",INDEX('MASTER MENU'!$E$5:$E$504,MATCH(B92,'MASTER MENU'!$A$5:$A$504,0))))</f>
        <v/>
      </c>
      <c r="F92" s="0" t="str">
        <f aca="false">IF(B92="","",IF(COUNTIFS('MASTER MENU'!$A$5:$A$504,B92)=0,"BELUM ADA",INDEX('MASTER MENU'!$F$5:$F$504,MATCH(B92,'MASTER MENU'!$A$5:$A$504,0))))</f>
        <v/>
      </c>
      <c r="G92" s="0" t="str">
        <f aca="false">IF(A92="","",IF(OR(NOT(ISNUMBER(E92)),NOT(ISNUMBER(F92))),"BELUM LENGKAP",ROUND(E92*F92,0)))</f>
        <v/>
      </c>
      <c r="J92" s="0" t="str">
        <f aca="false">IF(A92="","",IF(NOT(ISNUMBER(G92)),"BELUM LENGKAP",G92-H92-I92))</f>
        <v/>
      </c>
      <c r="L92" s="0" t="str">
        <f aca="false">IF(A92="","",IF(NOT(ISNUMBER(K92)),"ISI SNAPSHOT HPP",ROUND(E92*K92,0)))</f>
        <v/>
      </c>
      <c r="M92" s="0" t="str">
        <f aca="false">IF(A92="","",IF(NOT(ISNUMBER(L92)),"BELUM LENGKAP",J92-L92))</f>
        <v/>
      </c>
      <c r="N92" s="0" t="str">
        <f aca="false">IF(B92="","",IF(COUNTIFS('RESEP DAN HPP'!$A$5:$A$504,B92,'RESEP DAN HPP'!$N$5:$N$504,"LENGKAP")=0,"BELUM LENGKAP",INDEX('RESEP DAN HPP'!$J$5:$J$504,MATCH(B92,'RESEP DAN HPP'!$A$5:$A$504,0))))</f>
        <v/>
      </c>
      <c r="P92" s="0" t="str">
        <f aca="false">IF(A92="","",IF(COUNTIFS('TRANSAKSI PENJUALAN'!$A$5:$A$504,A92)=0,"BELUM ADA",INDEX('TRANSAKSI PENJUALAN'!$B$5:$B$504,MATCH(A92,'TRANSAKSI PENJUALAN'!$A$5:$A$504,0))))</f>
        <v/>
      </c>
      <c r="Q92" s="0" t="str">
        <f aca="false">IF(A92="","",IF(COUNTIFS('TRANSAKSI PENJUALAN'!$A$5:$A$504,A92)=0,"BELUM ADA",INDEX('TRANSAKSI PENJUALAN'!$M$5:$M$504,MATCH(A92,'TRANSAKSI PENJUALAN'!$A$5:$A$504,0))))</f>
        <v/>
      </c>
      <c r="R92" s="24" t="str">
        <f aca="false">IF(A92="","",COUNTIF($A$5:A92,A92))</f>
        <v/>
      </c>
      <c r="S92" s="24" t="str">
        <f aca="false">IF(A92="","",A92&amp;"|"&amp;R92)</f>
        <v/>
      </c>
    </row>
    <row r="93" customFormat="false" ht="15" hidden="false" customHeight="false" outlineLevel="0" collapsed="false">
      <c r="C93" s="0" t="str">
        <f aca="false">IF(B93="","",IF(COUNTIFS('MASTER MENU'!$A$5:$A$504,B93)=0,"BELUM ADA",INDEX('MASTER MENU'!$B$5:$B$504,MATCH(B93,'MASTER MENU'!$A$5:$A$504,0))))</f>
        <v/>
      </c>
      <c r="D93" s="0" t="str">
        <f aca="false">IF(B93="","",IF(COUNTIFS('MASTER MENU'!$A$5:$A$504,B93)=0,"BELUM ADA",INDEX('MASTER MENU'!$E$5:$E$504,MATCH(B93,'MASTER MENU'!$A$5:$A$504,0))))</f>
        <v/>
      </c>
      <c r="F93" s="0" t="str">
        <f aca="false">IF(B93="","",IF(COUNTIFS('MASTER MENU'!$A$5:$A$504,B93)=0,"BELUM ADA",INDEX('MASTER MENU'!$F$5:$F$504,MATCH(B93,'MASTER MENU'!$A$5:$A$504,0))))</f>
        <v/>
      </c>
      <c r="G93" s="0" t="str">
        <f aca="false">IF(A93="","",IF(OR(NOT(ISNUMBER(E93)),NOT(ISNUMBER(F93))),"BELUM LENGKAP",ROUND(E93*F93,0)))</f>
        <v/>
      </c>
      <c r="J93" s="0" t="str">
        <f aca="false">IF(A93="","",IF(NOT(ISNUMBER(G93)),"BELUM LENGKAP",G93-H93-I93))</f>
        <v/>
      </c>
      <c r="L93" s="0" t="str">
        <f aca="false">IF(A93="","",IF(NOT(ISNUMBER(K93)),"ISI SNAPSHOT HPP",ROUND(E93*K93,0)))</f>
        <v/>
      </c>
      <c r="M93" s="0" t="str">
        <f aca="false">IF(A93="","",IF(NOT(ISNUMBER(L93)),"BELUM LENGKAP",J93-L93))</f>
        <v/>
      </c>
      <c r="N93" s="0" t="str">
        <f aca="false">IF(B93="","",IF(COUNTIFS('RESEP DAN HPP'!$A$5:$A$504,B93,'RESEP DAN HPP'!$N$5:$N$504,"LENGKAP")=0,"BELUM LENGKAP",INDEX('RESEP DAN HPP'!$J$5:$J$504,MATCH(B93,'RESEP DAN HPP'!$A$5:$A$504,0))))</f>
        <v/>
      </c>
      <c r="P93" s="0" t="str">
        <f aca="false">IF(A93="","",IF(COUNTIFS('TRANSAKSI PENJUALAN'!$A$5:$A$504,A93)=0,"BELUM ADA",INDEX('TRANSAKSI PENJUALAN'!$B$5:$B$504,MATCH(A93,'TRANSAKSI PENJUALAN'!$A$5:$A$504,0))))</f>
        <v/>
      </c>
      <c r="Q93" s="0" t="str">
        <f aca="false">IF(A93="","",IF(COUNTIFS('TRANSAKSI PENJUALAN'!$A$5:$A$504,A93)=0,"BELUM ADA",INDEX('TRANSAKSI PENJUALAN'!$M$5:$M$504,MATCH(A93,'TRANSAKSI PENJUALAN'!$A$5:$A$504,0))))</f>
        <v/>
      </c>
      <c r="R93" s="24" t="str">
        <f aca="false">IF(A93="","",COUNTIF($A$5:A93,A93))</f>
        <v/>
      </c>
      <c r="S93" s="24" t="str">
        <f aca="false">IF(A93="","",A93&amp;"|"&amp;R93)</f>
        <v/>
      </c>
    </row>
    <row r="94" customFormat="false" ht="15" hidden="false" customHeight="false" outlineLevel="0" collapsed="false">
      <c r="C94" s="0" t="str">
        <f aca="false">IF(B94="","",IF(COUNTIFS('MASTER MENU'!$A$5:$A$504,B94)=0,"BELUM ADA",INDEX('MASTER MENU'!$B$5:$B$504,MATCH(B94,'MASTER MENU'!$A$5:$A$504,0))))</f>
        <v/>
      </c>
      <c r="D94" s="0" t="str">
        <f aca="false">IF(B94="","",IF(COUNTIFS('MASTER MENU'!$A$5:$A$504,B94)=0,"BELUM ADA",INDEX('MASTER MENU'!$E$5:$E$504,MATCH(B94,'MASTER MENU'!$A$5:$A$504,0))))</f>
        <v/>
      </c>
      <c r="F94" s="0" t="str">
        <f aca="false">IF(B94="","",IF(COUNTIFS('MASTER MENU'!$A$5:$A$504,B94)=0,"BELUM ADA",INDEX('MASTER MENU'!$F$5:$F$504,MATCH(B94,'MASTER MENU'!$A$5:$A$504,0))))</f>
        <v/>
      </c>
      <c r="G94" s="0" t="str">
        <f aca="false">IF(A94="","",IF(OR(NOT(ISNUMBER(E94)),NOT(ISNUMBER(F94))),"BELUM LENGKAP",ROUND(E94*F94,0)))</f>
        <v/>
      </c>
      <c r="J94" s="0" t="str">
        <f aca="false">IF(A94="","",IF(NOT(ISNUMBER(G94)),"BELUM LENGKAP",G94-H94-I94))</f>
        <v/>
      </c>
      <c r="L94" s="0" t="str">
        <f aca="false">IF(A94="","",IF(NOT(ISNUMBER(K94)),"ISI SNAPSHOT HPP",ROUND(E94*K94,0)))</f>
        <v/>
      </c>
      <c r="M94" s="0" t="str">
        <f aca="false">IF(A94="","",IF(NOT(ISNUMBER(L94)),"BELUM LENGKAP",J94-L94))</f>
        <v/>
      </c>
      <c r="N94" s="0" t="str">
        <f aca="false">IF(B94="","",IF(COUNTIFS('RESEP DAN HPP'!$A$5:$A$504,B94,'RESEP DAN HPP'!$N$5:$N$504,"LENGKAP")=0,"BELUM LENGKAP",INDEX('RESEP DAN HPP'!$J$5:$J$504,MATCH(B94,'RESEP DAN HPP'!$A$5:$A$504,0))))</f>
        <v/>
      </c>
      <c r="P94" s="0" t="str">
        <f aca="false">IF(A94="","",IF(COUNTIFS('TRANSAKSI PENJUALAN'!$A$5:$A$504,A94)=0,"BELUM ADA",INDEX('TRANSAKSI PENJUALAN'!$B$5:$B$504,MATCH(A94,'TRANSAKSI PENJUALAN'!$A$5:$A$504,0))))</f>
        <v/>
      </c>
      <c r="Q94" s="0" t="str">
        <f aca="false">IF(A94="","",IF(COUNTIFS('TRANSAKSI PENJUALAN'!$A$5:$A$504,A94)=0,"BELUM ADA",INDEX('TRANSAKSI PENJUALAN'!$M$5:$M$504,MATCH(A94,'TRANSAKSI PENJUALAN'!$A$5:$A$504,0))))</f>
        <v/>
      </c>
      <c r="R94" s="24" t="str">
        <f aca="false">IF(A94="","",COUNTIF($A$5:A94,A94))</f>
        <v/>
      </c>
      <c r="S94" s="24" t="str">
        <f aca="false">IF(A94="","",A94&amp;"|"&amp;R94)</f>
        <v/>
      </c>
    </row>
    <row r="95" customFormat="false" ht="15" hidden="false" customHeight="false" outlineLevel="0" collapsed="false">
      <c r="C95" s="0" t="str">
        <f aca="false">IF(B95="","",IF(COUNTIFS('MASTER MENU'!$A$5:$A$504,B95)=0,"BELUM ADA",INDEX('MASTER MENU'!$B$5:$B$504,MATCH(B95,'MASTER MENU'!$A$5:$A$504,0))))</f>
        <v/>
      </c>
      <c r="D95" s="0" t="str">
        <f aca="false">IF(B95="","",IF(COUNTIFS('MASTER MENU'!$A$5:$A$504,B95)=0,"BELUM ADA",INDEX('MASTER MENU'!$E$5:$E$504,MATCH(B95,'MASTER MENU'!$A$5:$A$504,0))))</f>
        <v/>
      </c>
      <c r="F95" s="0" t="str">
        <f aca="false">IF(B95="","",IF(COUNTIFS('MASTER MENU'!$A$5:$A$504,B95)=0,"BELUM ADA",INDEX('MASTER MENU'!$F$5:$F$504,MATCH(B95,'MASTER MENU'!$A$5:$A$504,0))))</f>
        <v/>
      </c>
      <c r="G95" s="0" t="str">
        <f aca="false">IF(A95="","",IF(OR(NOT(ISNUMBER(E95)),NOT(ISNUMBER(F95))),"BELUM LENGKAP",ROUND(E95*F95,0)))</f>
        <v/>
      </c>
      <c r="J95" s="0" t="str">
        <f aca="false">IF(A95="","",IF(NOT(ISNUMBER(G95)),"BELUM LENGKAP",G95-H95-I95))</f>
        <v/>
      </c>
      <c r="L95" s="0" t="str">
        <f aca="false">IF(A95="","",IF(NOT(ISNUMBER(K95)),"ISI SNAPSHOT HPP",ROUND(E95*K95,0)))</f>
        <v/>
      </c>
      <c r="M95" s="0" t="str">
        <f aca="false">IF(A95="","",IF(NOT(ISNUMBER(L95)),"BELUM LENGKAP",J95-L95))</f>
        <v/>
      </c>
      <c r="N95" s="0" t="str">
        <f aca="false">IF(B95="","",IF(COUNTIFS('RESEP DAN HPP'!$A$5:$A$504,B95,'RESEP DAN HPP'!$N$5:$N$504,"LENGKAP")=0,"BELUM LENGKAP",INDEX('RESEP DAN HPP'!$J$5:$J$504,MATCH(B95,'RESEP DAN HPP'!$A$5:$A$504,0))))</f>
        <v/>
      </c>
      <c r="P95" s="0" t="str">
        <f aca="false">IF(A95="","",IF(COUNTIFS('TRANSAKSI PENJUALAN'!$A$5:$A$504,A95)=0,"BELUM ADA",INDEX('TRANSAKSI PENJUALAN'!$B$5:$B$504,MATCH(A95,'TRANSAKSI PENJUALAN'!$A$5:$A$504,0))))</f>
        <v/>
      </c>
      <c r="Q95" s="0" t="str">
        <f aca="false">IF(A95="","",IF(COUNTIFS('TRANSAKSI PENJUALAN'!$A$5:$A$504,A95)=0,"BELUM ADA",INDEX('TRANSAKSI PENJUALAN'!$M$5:$M$504,MATCH(A95,'TRANSAKSI PENJUALAN'!$A$5:$A$504,0))))</f>
        <v/>
      </c>
      <c r="R95" s="24" t="str">
        <f aca="false">IF(A95="","",COUNTIF($A$5:A95,A95))</f>
        <v/>
      </c>
      <c r="S95" s="24" t="str">
        <f aca="false">IF(A95="","",A95&amp;"|"&amp;R95)</f>
        <v/>
      </c>
    </row>
    <row r="96" customFormat="false" ht="15" hidden="false" customHeight="false" outlineLevel="0" collapsed="false">
      <c r="C96" s="0" t="str">
        <f aca="false">IF(B96="","",IF(COUNTIFS('MASTER MENU'!$A$5:$A$504,B96)=0,"BELUM ADA",INDEX('MASTER MENU'!$B$5:$B$504,MATCH(B96,'MASTER MENU'!$A$5:$A$504,0))))</f>
        <v/>
      </c>
      <c r="D96" s="0" t="str">
        <f aca="false">IF(B96="","",IF(COUNTIFS('MASTER MENU'!$A$5:$A$504,B96)=0,"BELUM ADA",INDEX('MASTER MENU'!$E$5:$E$504,MATCH(B96,'MASTER MENU'!$A$5:$A$504,0))))</f>
        <v/>
      </c>
      <c r="F96" s="0" t="str">
        <f aca="false">IF(B96="","",IF(COUNTIFS('MASTER MENU'!$A$5:$A$504,B96)=0,"BELUM ADA",INDEX('MASTER MENU'!$F$5:$F$504,MATCH(B96,'MASTER MENU'!$A$5:$A$504,0))))</f>
        <v/>
      </c>
      <c r="G96" s="0" t="str">
        <f aca="false">IF(A96="","",IF(OR(NOT(ISNUMBER(E96)),NOT(ISNUMBER(F96))),"BELUM LENGKAP",ROUND(E96*F96,0)))</f>
        <v/>
      </c>
      <c r="J96" s="0" t="str">
        <f aca="false">IF(A96="","",IF(NOT(ISNUMBER(G96)),"BELUM LENGKAP",G96-H96-I96))</f>
        <v/>
      </c>
      <c r="L96" s="0" t="str">
        <f aca="false">IF(A96="","",IF(NOT(ISNUMBER(K96)),"ISI SNAPSHOT HPP",ROUND(E96*K96,0)))</f>
        <v/>
      </c>
      <c r="M96" s="0" t="str">
        <f aca="false">IF(A96="","",IF(NOT(ISNUMBER(L96)),"BELUM LENGKAP",J96-L96))</f>
        <v/>
      </c>
      <c r="N96" s="0" t="str">
        <f aca="false">IF(B96="","",IF(COUNTIFS('RESEP DAN HPP'!$A$5:$A$504,B96,'RESEP DAN HPP'!$N$5:$N$504,"LENGKAP")=0,"BELUM LENGKAP",INDEX('RESEP DAN HPP'!$J$5:$J$504,MATCH(B96,'RESEP DAN HPP'!$A$5:$A$504,0))))</f>
        <v/>
      </c>
      <c r="P96" s="0" t="str">
        <f aca="false">IF(A96="","",IF(COUNTIFS('TRANSAKSI PENJUALAN'!$A$5:$A$504,A96)=0,"BELUM ADA",INDEX('TRANSAKSI PENJUALAN'!$B$5:$B$504,MATCH(A96,'TRANSAKSI PENJUALAN'!$A$5:$A$504,0))))</f>
        <v/>
      </c>
      <c r="Q96" s="0" t="str">
        <f aca="false">IF(A96="","",IF(COUNTIFS('TRANSAKSI PENJUALAN'!$A$5:$A$504,A96)=0,"BELUM ADA",INDEX('TRANSAKSI PENJUALAN'!$M$5:$M$504,MATCH(A96,'TRANSAKSI PENJUALAN'!$A$5:$A$504,0))))</f>
        <v/>
      </c>
      <c r="R96" s="24" t="str">
        <f aca="false">IF(A96="","",COUNTIF($A$5:A96,A96))</f>
        <v/>
      </c>
      <c r="S96" s="24" t="str">
        <f aca="false">IF(A96="","",A96&amp;"|"&amp;R96)</f>
        <v/>
      </c>
    </row>
    <row r="97" customFormat="false" ht="15" hidden="false" customHeight="false" outlineLevel="0" collapsed="false">
      <c r="C97" s="0" t="str">
        <f aca="false">IF(B97="","",IF(COUNTIFS('MASTER MENU'!$A$5:$A$504,B97)=0,"BELUM ADA",INDEX('MASTER MENU'!$B$5:$B$504,MATCH(B97,'MASTER MENU'!$A$5:$A$504,0))))</f>
        <v/>
      </c>
      <c r="D97" s="0" t="str">
        <f aca="false">IF(B97="","",IF(COUNTIFS('MASTER MENU'!$A$5:$A$504,B97)=0,"BELUM ADA",INDEX('MASTER MENU'!$E$5:$E$504,MATCH(B97,'MASTER MENU'!$A$5:$A$504,0))))</f>
        <v/>
      </c>
      <c r="F97" s="0" t="str">
        <f aca="false">IF(B97="","",IF(COUNTIFS('MASTER MENU'!$A$5:$A$504,B97)=0,"BELUM ADA",INDEX('MASTER MENU'!$F$5:$F$504,MATCH(B97,'MASTER MENU'!$A$5:$A$504,0))))</f>
        <v/>
      </c>
      <c r="G97" s="0" t="str">
        <f aca="false">IF(A97="","",IF(OR(NOT(ISNUMBER(E97)),NOT(ISNUMBER(F97))),"BELUM LENGKAP",ROUND(E97*F97,0)))</f>
        <v/>
      </c>
      <c r="J97" s="0" t="str">
        <f aca="false">IF(A97="","",IF(NOT(ISNUMBER(G97)),"BELUM LENGKAP",G97-H97-I97))</f>
        <v/>
      </c>
      <c r="L97" s="0" t="str">
        <f aca="false">IF(A97="","",IF(NOT(ISNUMBER(K97)),"ISI SNAPSHOT HPP",ROUND(E97*K97,0)))</f>
        <v/>
      </c>
      <c r="M97" s="0" t="str">
        <f aca="false">IF(A97="","",IF(NOT(ISNUMBER(L97)),"BELUM LENGKAP",J97-L97))</f>
        <v/>
      </c>
      <c r="N97" s="0" t="str">
        <f aca="false">IF(B97="","",IF(COUNTIFS('RESEP DAN HPP'!$A$5:$A$504,B97,'RESEP DAN HPP'!$N$5:$N$504,"LENGKAP")=0,"BELUM LENGKAP",INDEX('RESEP DAN HPP'!$J$5:$J$504,MATCH(B97,'RESEP DAN HPP'!$A$5:$A$504,0))))</f>
        <v/>
      </c>
      <c r="P97" s="0" t="str">
        <f aca="false">IF(A97="","",IF(COUNTIFS('TRANSAKSI PENJUALAN'!$A$5:$A$504,A97)=0,"BELUM ADA",INDEX('TRANSAKSI PENJUALAN'!$B$5:$B$504,MATCH(A97,'TRANSAKSI PENJUALAN'!$A$5:$A$504,0))))</f>
        <v/>
      </c>
      <c r="Q97" s="0" t="str">
        <f aca="false">IF(A97="","",IF(COUNTIFS('TRANSAKSI PENJUALAN'!$A$5:$A$504,A97)=0,"BELUM ADA",INDEX('TRANSAKSI PENJUALAN'!$M$5:$M$504,MATCH(A97,'TRANSAKSI PENJUALAN'!$A$5:$A$504,0))))</f>
        <v/>
      </c>
      <c r="R97" s="24" t="str">
        <f aca="false">IF(A97="","",COUNTIF($A$5:A97,A97))</f>
        <v/>
      </c>
      <c r="S97" s="24" t="str">
        <f aca="false">IF(A97="","",A97&amp;"|"&amp;R97)</f>
        <v/>
      </c>
    </row>
    <row r="98" customFormat="false" ht="15" hidden="false" customHeight="false" outlineLevel="0" collapsed="false">
      <c r="C98" s="0" t="str">
        <f aca="false">IF(B98="","",IF(COUNTIFS('MASTER MENU'!$A$5:$A$504,B98)=0,"BELUM ADA",INDEX('MASTER MENU'!$B$5:$B$504,MATCH(B98,'MASTER MENU'!$A$5:$A$504,0))))</f>
        <v/>
      </c>
      <c r="D98" s="0" t="str">
        <f aca="false">IF(B98="","",IF(COUNTIFS('MASTER MENU'!$A$5:$A$504,B98)=0,"BELUM ADA",INDEX('MASTER MENU'!$E$5:$E$504,MATCH(B98,'MASTER MENU'!$A$5:$A$504,0))))</f>
        <v/>
      </c>
      <c r="F98" s="0" t="str">
        <f aca="false">IF(B98="","",IF(COUNTIFS('MASTER MENU'!$A$5:$A$504,B98)=0,"BELUM ADA",INDEX('MASTER MENU'!$F$5:$F$504,MATCH(B98,'MASTER MENU'!$A$5:$A$504,0))))</f>
        <v/>
      </c>
      <c r="G98" s="0" t="str">
        <f aca="false">IF(A98="","",IF(OR(NOT(ISNUMBER(E98)),NOT(ISNUMBER(F98))),"BELUM LENGKAP",ROUND(E98*F98,0)))</f>
        <v/>
      </c>
      <c r="J98" s="0" t="str">
        <f aca="false">IF(A98="","",IF(NOT(ISNUMBER(G98)),"BELUM LENGKAP",G98-H98-I98))</f>
        <v/>
      </c>
      <c r="L98" s="0" t="str">
        <f aca="false">IF(A98="","",IF(NOT(ISNUMBER(K98)),"ISI SNAPSHOT HPP",ROUND(E98*K98,0)))</f>
        <v/>
      </c>
      <c r="M98" s="0" t="str">
        <f aca="false">IF(A98="","",IF(NOT(ISNUMBER(L98)),"BELUM LENGKAP",J98-L98))</f>
        <v/>
      </c>
      <c r="N98" s="0" t="str">
        <f aca="false">IF(B98="","",IF(COUNTIFS('RESEP DAN HPP'!$A$5:$A$504,B98,'RESEP DAN HPP'!$N$5:$N$504,"LENGKAP")=0,"BELUM LENGKAP",INDEX('RESEP DAN HPP'!$J$5:$J$504,MATCH(B98,'RESEP DAN HPP'!$A$5:$A$504,0))))</f>
        <v/>
      </c>
      <c r="P98" s="0" t="str">
        <f aca="false">IF(A98="","",IF(COUNTIFS('TRANSAKSI PENJUALAN'!$A$5:$A$504,A98)=0,"BELUM ADA",INDEX('TRANSAKSI PENJUALAN'!$B$5:$B$504,MATCH(A98,'TRANSAKSI PENJUALAN'!$A$5:$A$504,0))))</f>
        <v/>
      </c>
      <c r="Q98" s="0" t="str">
        <f aca="false">IF(A98="","",IF(COUNTIFS('TRANSAKSI PENJUALAN'!$A$5:$A$504,A98)=0,"BELUM ADA",INDEX('TRANSAKSI PENJUALAN'!$M$5:$M$504,MATCH(A98,'TRANSAKSI PENJUALAN'!$A$5:$A$504,0))))</f>
        <v/>
      </c>
      <c r="R98" s="24" t="str">
        <f aca="false">IF(A98="","",COUNTIF($A$5:A98,A98))</f>
        <v/>
      </c>
      <c r="S98" s="24" t="str">
        <f aca="false">IF(A98="","",A98&amp;"|"&amp;R98)</f>
        <v/>
      </c>
    </row>
    <row r="99" customFormat="false" ht="15" hidden="false" customHeight="false" outlineLevel="0" collapsed="false">
      <c r="C99" s="0" t="str">
        <f aca="false">IF(B99="","",IF(COUNTIFS('MASTER MENU'!$A$5:$A$504,B99)=0,"BELUM ADA",INDEX('MASTER MENU'!$B$5:$B$504,MATCH(B99,'MASTER MENU'!$A$5:$A$504,0))))</f>
        <v/>
      </c>
      <c r="D99" s="0" t="str">
        <f aca="false">IF(B99="","",IF(COUNTIFS('MASTER MENU'!$A$5:$A$504,B99)=0,"BELUM ADA",INDEX('MASTER MENU'!$E$5:$E$504,MATCH(B99,'MASTER MENU'!$A$5:$A$504,0))))</f>
        <v/>
      </c>
      <c r="F99" s="0" t="str">
        <f aca="false">IF(B99="","",IF(COUNTIFS('MASTER MENU'!$A$5:$A$504,B99)=0,"BELUM ADA",INDEX('MASTER MENU'!$F$5:$F$504,MATCH(B99,'MASTER MENU'!$A$5:$A$504,0))))</f>
        <v/>
      </c>
      <c r="G99" s="0" t="str">
        <f aca="false">IF(A99="","",IF(OR(NOT(ISNUMBER(E99)),NOT(ISNUMBER(F99))),"BELUM LENGKAP",ROUND(E99*F99,0)))</f>
        <v/>
      </c>
      <c r="J99" s="0" t="str">
        <f aca="false">IF(A99="","",IF(NOT(ISNUMBER(G99)),"BELUM LENGKAP",G99-H99-I99))</f>
        <v/>
      </c>
      <c r="L99" s="0" t="str">
        <f aca="false">IF(A99="","",IF(NOT(ISNUMBER(K99)),"ISI SNAPSHOT HPP",ROUND(E99*K99,0)))</f>
        <v/>
      </c>
      <c r="M99" s="0" t="str">
        <f aca="false">IF(A99="","",IF(NOT(ISNUMBER(L99)),"BELUM LENGKAP",J99-L99))</f>
        <v/>
      </c>
      <c r="N99" s="0" t="str">
        <f aca="false">IF(B99="","",IF(COUNTIFS('RESEP DAN HPP'!$A$5:$A$504,B99,'RESEP DAN HPP'!$N$5:$N$504,"LENGKAP")=0,"BELUM LENGKAP",INDEX('RESEP DAN HPP'!$J$5:$J$504,MATCH(B99,'RESEP DAN HPP'!$A$5:$A$504,0))))</f>
        <v/>
      </c>
      <c r="P99" s="0" t="str">
        <f aca="false">IF(A99="","",IF(COUNTIFS('TRANSAKSI PENJUALAN'!$A$5:$A$504,A99)=0,"BELUM ADA",INDEX('TRANSAKSI PENJUALAN'!$B$5:$B$504,MATCH(A99,'TRANSAKSI PENJUALAN'!$A$5:$A$504,0))))</f>
        <v/>
      </c>
      <c r="Q99" s="0" t="str">
        <f aca="false">IF(A99="","",IF(COUNTIFS('TRANSAKSI PENJUALAN'!$A$5:$A$504,A99)=0,"BELUM ADA",INDEX('TRANSAKSI PENJUALAN'!$M$5:$M$504,MATCH(A99,'TRANSAKSI PENJUALAN'!$A$5:$A$504,0))))</f>
        <v/>
      </c>
      <c r="R99" s="24" t="str">
        <f aca="false">IF(A99="","",COUNTIF($A$5:A99,A99))</f>
        <v/>
      </c>
      <c r="S99" s="24" t="str">
        <f aca="false">IF(A99="","",A99&amp;"|"&amp;R99)</f>
        <v/>
      </c>
    </row>
    <row r="100" customFormat="false" ht="15" hidden="false" customHeight="false" outlineLevel="0" collapsed="false">
      <c r="C100" s="0" t="str">
        <f aca="false">IF(B100="","",IF(COUNTIFS('MASTER MENU'!$A$5:$A$504,B100)=0,"BELUM ADA",INDEX('MASTER MENU'!$B$5:$B$504,MATCH(B100,'MASTER MENU'!$A$5:$A$504,0))))</f>
        <v/>
      </c>
      <c r="D100" s="0" t="str">
        <f aca="false">IF(B100="","",IF(COUNTIFS('MASTER MENU'!$A$5:$A$504,B100)=0,"BELUM ADA",INDEX('MASTER MENU'!$E$5:$E$504,MATCH(B100,'MASTER MENU'!$A$5:$A$504,0))))</f>
        <v/>
      </c>
      <c r="F100" s="0" t="str">
        <f aca="false">IF(B100="","",IF(COUNTIFS('MASTER MENU'!$A$5:$A$504,B100)=0,"BELUM ADA",INDEX('MASTER MENU'!$F$5:$F$504,MATCH(B100,'MASTER MENU'!$A$5:$A$504,0))))</f>
        <v/>
      </c>
      <c r="G100" s="0" t="str">
        <f aca="false">IF(A100="","",IF(OR(NOT(ISNUMBER(E100)),NOT(ISNUMBER(F100))),"BELUM LENGKAP",ROUND(E100*F100,0)))</f>
        <v/>
      </c>
      <c r="J100" s="0" t="str">
        <f aca="false">IF(A100="","",IF(NOT(ISNUMBER(G100)),"BELUM LENGKAP",G100-H100-I100))</f>
        <v/>
      </c>
      <c r="L100" s="0" t="str">
        <f aca="false">IF(A100="","",IF(NOT(ISNUMBER(K100)),"ISI SNAPSHOT HPP",ROUND(E100*K100,0)))</f>
        <v/>
      </c>
      <c r="M100" s="0" t="str">
        <f aca="false">IF(A100="","",IF(NOT(ISNUMBER(L100)),"BELUM LENGKAP",J100-L100))</f>
        <v/>
      </c>
      <c r="N100" s="0" t="str">
        <f aca="false">IF(B100="","",IF(COUNTIFS('RESEP DAN HPP'!$A$5:$A$504,B100,'RESEP DAN HPP'!$N$5:$N$504,"LENGKAP")=0,"BELUM LENGKAP",INDEX('RESEP DAN HPP'!$J$5:$J$504,MATCH(B100,'RESEP DAN HPP'!$A$5:$A$504,0))))</f>
        <v/>
      </c>
      <c r="P100" s="0" t="str">
        <f aca="false">IF(A100="","",IF(COUNTIFS('TRANSAKSI PENJUALAN'!$A$5:$A$504,A100)=0,"BELUM ADA",INDEX('TRANSAKSI PENJUALAN'!$B$5:$B$504,MATCH(A100,'TRANSAKSI PENJUALAN'!$A$5:$A$504,0))))</f>
        <v/>
      </c>
      <c r="Q100" s="0" t="str">
        <f aca="false">IF(A100="","",IF(COUNTIFS('TRANSAKSI PENJUALAN'!$A$5:$A$504,A100)=0,"BELUM ADA",INDEX('TRANSAKSI PENJUALAN'!$M$5:$M$504,MATCH(A100,'TRANSAKSI PENJUALAN'!$A$5:$A$504,0))))</f>
        <v/>
      </c>
      <c r="R100" s="24" t="str">
        <f aca="false">IF(A100="","",COUNTIF($A$5:A100,A100))</f>
        <v/>
      </c>
      <c r="S100" s="24" t="str">
        <f aca="false">IF(A100="","",A100&amp;"|"&amp;R100)</f>
        <v/>
      </c>
    </row>
    <row r="101" customFormat="false" ht="15" hidden="false" customHeight="false" outlineLevel="0" collapsed="false">
      <c r="C101" s="0" t="str">
        <f aca="false">IF(B101="","",IF(COUNTIFS('MASTER MENU'!$A$5:$A$504,B101)=0,"BELUM ADA",INDEX('MASTER MENU'!$B$5:$B$504,MATCH(B101,'MASTER MENU'!$A$5:$A$504,0))))</f>
        <v/>
      </c>
      <c r="D101" s="0" t="str">
        <f aca="false">IF(B101="","",IF(COUNTIFS('MASTER MENU'!$A$5:$A$504,B101)=0,"BELUM ADA",INDEX('MASTER MENU'!$E$5:$E$504,MATCH(B101,'MASTER MENU'!$A$5:$A$504,0))))</f>
        <v/>
      </c>
      <c r="F101" s="0" t="str">
        <f aca="false">IF(B101="","",IF(COUNTIFS('MASTER MENU'!$A$5:$A$504,B101)=0,"BELUM ADA",INDEX('MASTER MENU'!$F$5:$F$504,MATCH(B101,'MASTER MENU'!$A$5:$A$504,0))))</f>
        <v/>
      </c>
      <c r="G101" s="0" t="str">
        <f aca="false">IF(A101="","",IF(OR(NOT(ISNUMBER(E101)),NOT(ISNUMBER(F101))),"BELUM LENGKAP",ROUND(E101*F101,0)))</f>
        <v/>
      </c>
      <c r="J101" s="0" t="str">
        <f aca="false">IF(A101="","",IF(NOT(ISNUMBER(G101)),"BELUM LENGKAP",G101-H101-I101))</f>
        <v/>
      </c>
      <c r="L101" s="0" t="str">
        <f aca="false">IF(A101="","",IF(NOT(ISNUMBER(K101)),"ISI SNAPSHOT HPP",ROUND(E101*K101,0)))</f>
        <v/>
      </c>
      <c r="M101" s="0" t="str">
        <f aca="false">IF(A101="","",IF(NOT(ISNUMBER(L101)),"BELUM LENGKAP",J101-L101))</f>
        <v/>
      </c>
      <c r="N101" s="0" t="str">
        <f aca="false">IF(B101="","",IF(COUNTIFS('RESEP DAN HPP'!$A$5:$A$504,B101,'RESEP DAN HPP'!$N$5:$N$504,"LENGKAP")=0,"BELUM LENGKAP",INDEX('RESEP DAN HPP'!$J$5:$J$504,MATCH(B101,'RESEP DAN HPP'!$A$5:$A$504,0))))</f>
        <v/>
      </c>
      <c r="P101" s="0" t="str">
        <f aca="false">IF(A101="","",IF(COUNTIFS('TRANSAKSI PENJUALAN'!$A$5:$A$504,A101)=0,"BELUM ADA",INDEX('TRANSAKSI PENJUALAN'!$B$5:$B$504,MATCH(A101,'TRANSAKSI PENJUALAN'!$A$5:$A$504,0))))</f>
        <v/>
      </c>
      <c r="Q101" s="0" t="str">
        <f aca="false">IF(A101="","",IF(COUNTIFS('TRANSAKSI PENJUALAN'!$A$5:$A$504,A101)=0,"BELUM ADA",INDEX('TRANSAKSI PENJUALAN'!$M$5:$M$504,MATCH(A101,'TRANSAKSI PENJUALAN'!$A$5:$A$504,0))))</f>
        <v/>
      </c>
      <c r="R101" s="24" t="str">
        <f aca="false">IF(A101="","",COUNTIF($A$5:A101,A101))</f>
        <v/>
      </c>
      <c r="S101" s="24" t="str">
        <f aca="false">IF(A101="","",A101&amp;"|"&amp;R101)</f>
        <v/>
      </c>
    </row>
    <row r="102" customFormat="false" ht="15" hidden="false" customHeight="false" outlineLevel="0" collapsed="false">
      <c r="C102" s="0" t="str">
        <f aca="false">IF(B102="","",IF(COUNTIFS('MASTER MENU'!$A$5:$A$504,B102)=0,"BELUM ADA",INDEX('MASTER MENU'!$B$5:$B$504,MATCH(B102,'MASTER MENU'!$A$5:$A$504,0))))</f>
        <v/>
      </c>
      <c r="D102" s="0" t="str">
        <f aca="false">IF(B102="","",IF(COUNTIFS('MASTER MENU'!$A$5:$A$504,B102)=0,"BELUM ADA",INDEX('MASTER MENU'!$E$5:$E$504,MATCH(B102,'MASTER MENU'!$A$5:$A$504,0))))</f>
        <v/>
      </c>
      <c r="F102" s="0" t="str">
        <f aca="false">IF(B102="","",IF(COUNTIFS('MASTER MENU'!$A$5:$A$504,B102)=0,"BELUM ADA",INDEX('MASTER MENU'!$F$5:$F$504,MATCH(B102,'MASTER MENU'!$A$5:$A$504,0))))</f>
        <v/>
      </c>
      <c r="G102" s="0" t="str">
        <f aca="false">IF(A102="","",IF(OR(NOT(ISNUMBER(E102)),NOT(ISNUMBER(F102))),"BELUM LENGKAP",ROUND(E102*F102,0)))</f>
        <v/>
      </c>
      <c r="J102" s="0" t="str">
        <f aca="false">IF(A102="","",IF(NOT(ISNUMBER(G102)),"BELUM LENGKAP",G102-H102-I102))</f>
        <v/>
      </c>
      <c r="L102" s="0" t="str">
        <f aca="false">IF(A102="","",IF(NOT(ISNUMBER(K102)),"ISI SNAPSHOT HPP",ROUND(E102*K102,0)))</f>
        <v/>
      </c>
      <c r="M102" s="0" t="str">
        <f aca="false">IF(A102="","",IF(NOT(ISNUMBER(L102)),"BELUM LENGKAP",J102-L102))</f>
        <v/>
      </c>
      <c r="N102" s="0" t="str">
        <f aca="false">IF(B102="","",IF(COUNTIFS('RESEP DAN HPP'!$A$5:$A$504,B102,'RESEP DAN HPP'!$N$5:$N$504,"LENGKAP")=0,"BELUM LENGKAP",INDEX('RESEP DAN HPP'!$J$5:$J$504,MATCH(B102,'RESEP DAN HPP'!$A$5:$A$504,0))))</f>
        <v/>
      </c>
      <c r="P102" s="0" t="str">
        <f aca="false">IF(A102="","",IF(COUNTIFS('TRANSAKSI PENJUALAN'!$A$5:$A$504,A102)=0,"BELUM ADA",INDEX('TRANSAKSI PENJUALAN'!$B$5:$B$504,MATCH(A102,'TRANSAKSI PENJUALAN'!$A$5:$A$504,0))))</f>
        <v/>
      </c>
      <c r="Q102" s="0" t="str">
        <f aca="false">IF(A102="","",IF(COUNTIFS('TRANSAKSI PENJUALAN'!$A$5:$A$504,A102)=0,"BELUM ADA",INDEX('TRANSAKSI PENJUALAN'!$M$5:$M$504,MATCH(A102,'TRANSAKSI PENJUALAN'!$A$5:$A$504,0))))</f>
        <v/>
      </c>
      <c r="R102" s="24" t="str">
        <f aca="false">IF(A102="","",COUNTIF($A$5:A102,A102))</f>
        <v/>
      </c>
      <c r="S102" s="24" t="str">
        <f aca="false">IF(A102="","",A102&amp;"|"&amp;R102)</f>
        <v/>
      </c>
    </row>
    <row r="103" customFormat="false" ht="15" hidden="false" customHeight="false" outlineLevel="0" collapsed="false">
      <c r="C103" s="0" t="str">
        <f aca="false">IF(B103="","",IF(COUNTIFS('MASTER MENU'!$A$5:$A$504,B103)=0,"BELUM ADA",INDEX('MASTER MENU'!$B$5:$B$504,MATCH(B103,'MASTER MENU'!$A$5:$A$504,0))))</f>
        <v/>
      </c>
      <c r="D103" s="0" t="str">
        <f aca="false">IF(B103="","",IF(COUNTIFS('MASTER MENU'!$A$5:$A$504,B103)=0,"BELUM ADA",INDEX('MASTER MENU'!$E$5:$E$504,MATCH(B103,'MASTER MENU'!$A$5:$A$504,0))))</f>
        <v/>
      </c>
      <c r="F103" s="0" t="str">
        <f aca="false">IF(B103="","",IF(COUNTIFS('MASTER MENU'!$A$5:$A$504,B103)=0,"BELUM ADA",INDEX('MASTER MENU'!$F$5:$F$504,MATCH(B103,'MASTER MENU'!$A$5:$A$504,0))))</f>
        <v/>
      </c>
      <c r="G103" s="0" t="str">
        <f aca="false">IF(A103="","",IF(OR(NOT(ISNUMBER(E103)),NOT(ISNUMBER(F103))),"BELUM LENGKAP",ROUND(E103*F103,0)))</f>
        <v/>
      </c>
      <c r="J103" s="0" t="str">
        <f aca="false">IF(A103="","",IF(NOT(ISNUMBER(G103)),"BELUM LENGKAP",G103-H103-I103))</f>
        <v/>
      </c>
      <c r="L103" s="0" t="str">
        <f aca="false">IF(A103="","",IF(NOT(ISNUMBER(K103)),"ISI SNAPSHOT HPP",ROUND(E103*K103,0)))</f>
        <v/>
      </c>
      <c r="M103" s="0" t="str">
        <f aca="false">IF(A103="","",IF(NOT(ISNUMBER(L103)),"BELUM LENGKAP",J103-L103))</f>
        <v/>
      </c>
      <c r="N103" s="0" t="str">
        <f aca="false">IF(B103="","",IF(COUNTIFS('RESEP DAN HPP'!$A$5:$A$504,B103,'RESEP DAN HPP'!$N$5:$N$504,"LENGKAP")=0,"BELUM LENGKAP",INDEX('RESEP DAN HPP'!$J$5:$J$504,MATCH(B103,'RESEP DAN HPP'!$A$5:$A$504,0))))</f>
        <v/>
      </c>
      <c r="P103" s="0" t="str">
        <f aca="false">IF(A103="","",IF(COUNTIFS('TRANSAKSI PENJUALAN'!$A$5:$A$504,A103)=0,"BELUM ADA",INDEX('TRANSAKSI PENJUALAN'!$B$5:$B$504,MATCH(A103,'TRANSAKSI PENJUALAN'!$A$5:$A$504,0))))</f>
        <v/>
      </c>
      <c r="Q103" s="0" t="str">
        <f aca="false">IF(A103="","",IF(COUNTIFS('TRANSAKSI PENJUALAN'!$A$5:$A$504,A103)=0,"BELUM ADA",INDEX('TRANSAKSI PENJUALAN'!$M$5:$M$504,MATCH(A103,'TRANSAKSI PENJUALAN'!$A$5:$A$504,0))))</f>
        <v/>
      </c>
      <c r="R103" s="24" t="str">
        <f aca="false">IF(A103="","",COUNTIF($A$5:A103,A103))</f>
        <v/>
      </c>
      <c r="S103" s="24" t="str">
        <f aca="false">IF(A103="","",A103&amp;"|"&amp;R103)</f>
        <v/>
      </c>
    </row>
    <row r="104" customFormat="false" ht="15" hidden="false" customHeight="false" outlineLevel="0" collapsed="false">
      <c r="C104" s="0" t="str">
        <f aca="false">IF(B104="","",IF(COUNTIFS('MASTER MENU'!$A$5:$A$504,B104)=0,"BELUM ADA",INDEX('MASTER MENU'!$B$5:$B$504,MATCH(B104,'MASTER MENU'!$A$5:$A$504,0))))</f>
        <v/>
      </c>
      <c r="D104" s="0" t="str">
        <f aca="false">IF(B104="","",IF(COUNTIFS('MASTER MENU'!$A$5:$A$504,B104)=0,"BELUM ADA",INDEX('MASTER MENU'!$E$5:$E$504,MATCH(B104,'MASTER MENU'!$A$5:$A$504,0))))</f>
        <v/>
      </c>
      <c r="F104" s="0" t="str">
        <f aca="false">IF(B104="","",IF(COUNTIFS('MASTER MENU'!$A$5:$A$504,B104)=0,"BELUM ADA",INDEX('MASTER MENU'!$F$5:$F$504,MATCH(B104,'MASTER MENU'!$A$5:$A$504,0))))</f>
        <v/>
      </c>
      <c r="G104" s="0" t="str">
        <f aca="false">IF(A104="","",IF(OR(NOT(ISNUMBER(E104)),NOT(ISNUMBER(F104))),"BELUM LENGKAP",ROUND(E104*F104,0)))</f>
        <v/>
      </c>
      <c r="J104" s="0" t="str">
        <f aca="false">IF(A104="","",IF(NOT(ISNUMBER(G104)),"BELUM LENGKAP",G104-H104-I104))</f>
        <v/>
      </c>
      <c r="L104" s="0" t="str">
        <f aca="false">IF(A104="","",IF(NOT(ISNUMBER(K104)),"ISI SNAPSHOT HPP",ROUND(E104*K104,0)))</f>
        <v/>
      </c>
      <c r="M104" s="0" t="str">
        <f aca="false">IF(A104="","",IF(NOT(ISNUMBER(L104)),"BELUM LENGKAP",J104-L104))</f>
        <v/>
      </c>
      <c r="N104" s="0" t="str">
        <f aca="false">IF(B104="","",IF(COUNTIFS('RESEP DAN HPP'!$A$5:$A$504,B104,'RESEP DAN HPP'!$N$5:$N$504,"LENGKAP")=0,"BELUM LENGKAP",INDEX('RESEP DAN HPP'!$J$5:$J$504,MATCH(B104,'RESEP DAN HPP'!$A$5:$A$504,0))))</f>
        <v/>
      </c>
      <c r="P104" s="0" t="str">
        <f aca="false">IF(A104="","",IF(COUNTIFS('TRANSAKSI PENJUALAN'!$A$5:$A$504,A104)=0,"BELUM ADA",INDEX('TRANSAKSI PENJUALAN'!$B$5:$B$504,MATCH(A104,'TRANSAKSI PENJUALAN'!$A$5:$A$504,0))))</f>
        <v/>
      </c>
      <c r="Q104" s="0" t="str">
        <f aca="false">IF(A104="","",IF(COUNTIFS('TRANSAKSI PENJUALAN'!$A$5:$A$504,A104)=0,"BELUM ADA",INDEX('TRANSAKSI PENJUALAN'!$M$5:$M$504,MATCH(A104,'TRANSAKSI PENJUALAN'!$A$5:$A$504,0))))</f>
        <v/>
      </c>
      <c r="R104" s="24" t="str">
        <f aca="false">IF(A104="","",COUNTIF($A$5:A104,A104))</f>
        <v/>
      </c>
      <c r="S104" s="24" t="str">
        <f aca="false">IF(A104="","",A104&amp;"|"&amp;R104)</f>
        <v/>
      </c>
    </row>
    <row r="105" customFormat="false" ht="15" hidden="false" customHeight="false" outlineLevel="0" collapsed="false">
      <c r="C105" s="0" t="str">
        <f aca="false">IF(B105="","",IF(COUNTIFS('MASTER MENU'!$A$5:$A$504,B105)=0,"BELUM ADA",INDEX('MASTER MENU'!$B$5:$B$504,MATCH(B105,'MASTER MENU'!$A$5:$A$504,0))))</f>
        <v/>
      </c>
      <c r="D105" s="0" t="str">
        <f aca="false">IF(B105="","",IF(COUNTIFS('MASTER MENU'!$A$5:$A$504,B105)=0,"BELUM ADA",INDEX('MASTER MENU'!$E$5:$E$504,MATCH(B105,'MASTER MENU'!$A$5:$A$504,0))))</f>
        <v/>
      </c>
      <c r="F105" s="0" t="str">
        <f aca="false">IF(B105="","",IF(COUNTIFS('MASTER MENU'!$A$5:$A$504,B105)=0,"BELUM ADA",INDEX('MASTER MENU'!$F$5:$F$504,MATCH(B105,'MASTER MENU'!$A$5:$A$504,0))))</f>
        <v/>
      </c>
      <c r="G105" s="0" t="str">
        <f aca="false">IF(A105="","",IF(OR(NOT(ISNUMBER(E105)),NOT(ISNUMBER(F105))),"BELUM LENGKAP",ROUND(E105*F105,0)))</f>
        <v/>
      </c>
      <c r="J105" s="0" t="str">
        <f aca="false">IF(A105="","",IF(NOT(ISNUMBER(G105)),"BELUM LENGKAP",G105-H105-I105))</f>
        <v/>
      </c>
      <c r="L105" s="0" t="str">
        <f aca="false">IF(A105="","",IF(NOT(ISNUMBER(K105)),"ISI SNAPSHOT HPP",ROUND(E105*K105,0)))</f>
        <v/>
      </c>
      <c r="M105" s="0" t="str">
        <f aca="false">IF(A105="","",IF(NOT(ISNUMBER(L105)),"BELUM LENGKAP",J105-L105))</f>
        <v/>
      </c>
      <c r="N105" s="0" t="str">
        <f aca="false">IF(B105="","",IF(COUNTIFS('RESEP DAN HPP'!$A$5:$A$504,B105,'RESEP DAN HPP'!$N$5:$N$504,"LENGKAP")=0,"BELUM LENGKAP",INDEX('RESEP DAN HPP'!$J$5:$J$504,MATCH(B105,'RESEP DAN HPP'!$A$5:$A$504,0))))</f>
        <v/>
      </c>
      <c r="P105" s="0" t="str">
        <f aca="false">IF(A105="","",IF(COUNTIFS('TRANSAKSI PENJUALAN'!$A$5:$A$504,A105)=0,"BELUM ADA",INDEX('TRANSAKSI PENJUALAN'!$B$5:$B$504,MATCH(A105,'TRANSAKSI PENJUALAN'!$A$5:$A$504,0))))</f>
        <v/>
      </c>
      <c r="Q105" s="0" t="str">
        <f aca="false">IF(A105="","",IF(COUNTIFS('TRANSAKSI PENJUALAN'!$A$5:$A$504,A105)=0,"BELUM ADA",INDEX('TRANSAKSI PENJUALAN'!$M$5:$M$504,MATCH(A105,'TRANSAKSI PENJUALAN'!$A$5:$A$504,0))))</f>
        <v/>
      </c>
      <c r="R105" s="24" t="str">
        <f aca="false">IF(A105="","",COUNTIF($A$5:A105,A105))</f>
        <v/>
      </c>
      <c r="S105" s="24" t="str">
        <f aca="false">IF(A105="","",A105&amp;"|"&amp;R105)</f>
        <v/>
      </c>
    </row>
    <row r="106" customFormat="false" ht="15" hidden="false" customHeight="false" outlineLevel="0" collapsed="false">
      <c r="C106" s="0" t="str">
        <f aca="false">IF(B106="","",IF(COUNTIFS('MASTER MENU'!$A$5:$A$504,B106)=0,"BELUM ADA",INDEX('MASTER MENU'!$B$5:$B$504,MATCH(B106,'MASTER MENU'!$A$5:$A$504,0))))</f>
        <v/>
      </c>
      <c r="D106" s="0" t="str">
        <f aca="false">IF(B106="","",IF(COUNTIFS('MASTER MENU'!$A$5:$A$504,B106)=0,"BELUM ADA",INDEX('MASTER MENU'!$E$5:$E$504,MATCH(B106,'MASTER MENU'!$A$5:$A$504,0))))</f>
        <v/>
      </c>
      <c r="F106" s="0" t="str">
        <f aca="false">IF(B106="","",IF(COUNTIFS('MASTER MENU'!$A$5:$A$504,B106)=0,"BELUM ADA",INDEX('MASTER MENU'!$F$5:$F$504,MATCH(B106,'MASTER MENU'!$A$5:$A$504,0))))</f>
        <v/>
      </c>
      <c r="G106" s="0" t="str">
        <f aca="false">IF(A106="","",IF(OR(NOT(ISNUMBER(E106)),NOT(ISNUMBER(F106))),"BELUM LENGKAP",ROUND(E106*F106,0)))</f>
        <v/>
      </c>
      <c r="J106" s="0" t="str">
        <f aca="false">IF(A106="","",IF(NOT(ISNUMBER(G106)),"BELUM LENGKAP",G106-H106-I106))</f>
        <v/>
      </c>
      <c r="L106" s="0" t="str">
        <f aca="false">IF(A106="","",IF(NOT(ISNUMBER(K106)),"ISI SNAPSHOT HPP",ROUND(E106*K106,0)))</f>
        <v/>
      </c>
      <c r="M106" s="0" t="str">
        <f aca="false">IF(A106="","",IF(NOT(ISNUMBER(L106)),"BELUM LENGKAP",J106-L106))</f>
        <v/>
      </c>
      <c r="N106" s="0" t="str">
        <f aca="false">IF(B106="","",IF(COUNTIFS('RESEP DAN HPP'!$A$5:$A$504,B106,'RESEP DAN HPP'!$N$5:$N$504,"LENGKAP")=0,"BELUM LENGKAP",INDEX('RESEP DAN HPP'!$J$5:$J$504,MATCH(B106,'RESEP DAN HPP'!$A$5:$A$504,0))))</f>
        <v/>
      </c>
      <c r="P106" s="0" t="str">
        <f aca="false">IF(A106="","",IF(COUNTIFS('TRANSAKSI PENJUALAN'!$A$5:$A$504,A106)=0,"BELUM ADA",INDEX('TRANSAKSI PENJUALAN'!$B$5:$B$504,MATCH(A106,'TRANSAKSI PENJUALAN'!$A$5:$A$504,0))))</f>
        <v/>
      </c>
      <c r="Q106" s="0" t="str">
        <f aca="false">IF(A106="","",IF(COUNTIFS('TRANSAKSI PENJUALAN'!$A$5:$A$504,A106)=0,"BELUM ADA",INDEX('TRANSAKSI PENJUALAN'!$M$5:$M$504,MATCH(A106,'TRANSAKSI PENJUALAN'!$A$5:$A$504,0))))</f>
        <v/>
      </c>
      <c r="R106" s="24" t="str">
        <f aca="false">IF(A106="","",COUNTIF($A$5:A106,A106))</f>
        <v/>
      </c>
      <c r="S106" s="24" t="str">
        <f aca="false">IF(A106="","",A106&amp;"|"&amp;R106)</f>
        <v/>
      </c>
    </row>
    <row r="107" customFormat="false" ht="15" hidden="false" customHeight="false" outlineLevel="0" collapsed="false">
      <c r="C107" s="0" t="str">
        <f aca="false">IF(B107="","",IF(COUNTIFS('MASTER MENU'!$A$5:$A$504,B107)=0,"BELUM ADA",INDEX('MASTER MENU'!$B$5:$B$504,MATCH(B107,'MASTER MENU'!$A$5:$A$504,0))))</f>
        <v/>
      </c>
      <c r="D107" s="0" t="str">
        <f aca="false">IF(B107="","",IF(COUNTIFS('MASTER MENU'!$A$5:$A$504,B107)=0,"BELUM ADA",INDEX('MASTER MENU'!$E$5:$E$504,MATCH(B107,'MASTER MENU'!$A$5:$A$504,0))))</f>
        <v/>
      </c>
      <c r="F107" s="0" t="str">
        <f aca="false">IF(B107="","",IF(COUNTIFS('MASTER MENU'!$A$5:$A$504,B107)=0,"BELUM ADA",INDEX('MASTER MENU'!$F$5:$F$504,MATCH(B107,'MASTER MENU'!$A$5:$A$504,0))))</f>
        <v/>
      </c>
      <c r="G107" s="0" t="str">
        <f aca="false">IF(A107="","",IF(OR(NOT(ISNUMBER(E107)),NOT(ISNUMBER(F107))),"BELUM LENGKAP",ROUND(E107*F107,0)))</f>
        <v/>
      </c>
      <c r="J107" s="0" t="str">
        <f aca="false">IF(A107="","",IF(NOT(ISNUMBER(G107)),"BELUM LENGKAP",G107-H107-I107))</f>
        <v/>
      </c>
      <c r="L107" s="0" t="str">
        <f aca="false">IF(A107="","",IF(NOT(ISNUMBER(K107)),"ISI SNAPSHOT HPP",ROUND(E107*K107,0)))</f>
        <v/>
      </c>
      <c r="M107" s="0" t="str">
        <f aca="false">IF(A107="","",IF(NOT(ISNUMBER(L107)),"BELUM LENGKAP",J107-L107))</f>
        <v/>
      </c>
      <c r="N107" s="0" t="str">
        <f aca="false">IF(B107="","",IF(COUNTIFS('RESEP DAN HPP'!$A$5:$A$504,B107,'RESEP DAN HPP'!$N$5:$N$504,"LENGKAP")=0,"BELUM LENGKAP",INDEX('RESEP DAN HPP'!$J$5:$J$504,MATCH(B107,'RESEP DAN HPP'!$A$5:$A$504,0))))</f>
        <v/>
      </c>
      <c r="P107" s="0" t="str">
        <f aca="false">IF(A107="","",IF(COUNTIFS('TRANSAKSI PENJUALAN'!$A$5:$A$504,A107)=0,"BELUM ADA",INDEX('TRANSAKSI PENJUALAN'!$B$5:$B$504,MATCH(A107,'TRANSAKSI PENJUALAN'!$A$5:$A$504,0))))</f>
        <v/>
      </c>
      <c r="Q107" s="0" t="str">
        <f aca="false">IF(A107="","",IF(COUNTIFS('TRANSAKSI PENJUALAN'!$A$5:$A$504,A107)=0,"BELUM ADA",INDEX('TRANSAKSI PENJUALAN'!$M$5:$M$504,MATCH(A107,'TRANSAKSI PENJUALAN'!$A$5:$A$504,0))))</f>
        <v/>
      </c>
      <c r="R107" s="24" t="str">
        <f aca="false">IF(A107="","",COUNTIF($A$5:A107,A107))</f>
        <v/>
      </c>
      <c r="S107" s="24" t="str">
        <f aca="false">IF(A107="","",A107&amp;"|"&amp;R107)</f>
        <v/>
      </c>
    </row>
    <row r="108" customFormat="false" ht="15" hidden="false" customHeight="false" outlineLevel="0" collapsed="false">
      <c r="C108" s="0" t="str">
        <f aca="false">IF(B108="","",IF(COUNTIFS('MASTER MENU'!$A$5:$A$504,B108)=0,"BELUM ADA",INDEX('MASTER MENU'!$B$5:$B$504,MATCH(B108,'MASTER MENU'!$A$5:$A$504,0))))</f>
        <v/>
      </c>
      <c r="D108" s="0" t="str">
        <f aca="false">IF(B108="","",IF(COUNTIFS('MASTER MENU'!$A$5:$A$504,B108)=0,"BELUM ADA",INDEX('MASTER MENU'!$E$5:$E$504,MATCH(B108,'MASTER MENU'!$A$5:$A$504,0))))</f>
        <v/>
      </c>
      <c r="F108" s="0" t="str">
        <f aca="false">IF(B108="","",IF(COUNTIFS('MASTER MENU'!$A$5:$A$504,B108)=0,"BELUM ADA",INDEX('MASTER MENU'!$F$5:$F$504,MATCH(B108,'MASTER MENU'!$A$5:$A$504,0))))</f>
        <v/>
      </c>
      <c r="G108" s="0" t="str">
        <f aca="false">IF(A108="","",IF(OR(NOT(ISNUMBER(E108)),NOT(ISNUMBER(F108))),"BELUM LENGKAP",ROUND(E108*F108,0)))</f>
        <v/>
      </c>
      <c r="J108" s="0" t="str">
        <f aca="false">IF(A108="","",IF(NOT(ISNUMBER(G108)),"BELUM LENGKAP",G108-H108-I108))</f>
        <v/>
      </c>
      <c r="L108" s="0" t="str">
        <f aca="false">IF(A108="","",IF(NOT(ISNUMBER(K108)),"ISI SNAPSHOT HPP",ROUND(E108*K108,0)))</f>
        <v/>
      </c>
      <c r="M108" s="0" t="str">
        <f aca="false">IF(A108="","",IF(NOT(ISNUMBER(L108)),"BELUM LENGKAP",J108-L108))</f>
        <v/>
      </c>
      <c r="N108" s="0" t="str">
        <f aca="false">IF(B108="","",IF(COUNTIFS('RESEP DAN HPP'!$A$5:$A$504,B108,'RESEP DAN HPP'!$N$5:$N$504,"LENGKAP")=0,"BELUM LENGKAP",INDEX('RESEP DAN HPP'!$J$5:$J$504,MATCH(B108,'RESEP DAN HPP'!$A$5:$A$504,0))))</f>
        <v/>
      </c>
      <c r="P108" s="0" t="str">
        <f aca="false">IF(A108="","",IF(COUNTIFS('TRANSAKSI PENJUALAN'!$A$5:$A$504,A108)=0,"BELUM ADA",INDEX('TRANSAKSI PENJUALAN'!$B$5:$B$504,MATCH(A108,'TRANSAKSI PENJUALAN'!$A$5:$A$504,0))))</f>
        <v/>
      </c>
      <c r="Q108" s="0" t="str">
        <f aca="false">IF(A108="","",IF(COUNTIFS('TRANSAKSI PENJUALAN'!$A$5:$A$504,A108)=0,"BELUM ADA",INDEX('TRANSAKSI PENJUALAN'!$M$5:$M$504,MATCH(A108,'TRANSAKSI PENJUALAN'!$A$5:$A$504,0))))</f>
        <v/>
      </c>
      <c r="R108" s="24" t="str">
        <f aca="false">IF(A108="","",COUNTIF($A$5:A108,A108))</f>
        <v/>
      </c>
      <c r="S108" s="24" t="str">
        <f aca="false">IF(A108="","",A108&amp;"|"&amp;R108)</f>
        <v/>
      </c>
    </row>
    <row r="109" customFormat="false" ht="15" hidden="false" customHeight="false" outlineLevel="0" collapsed="false">
      <c r="C109" s="0" t="str">
        <f aca="false">IF(B109="","",IF(COUNTIFS('MASTER MENU'!$A$5:$A$504,B109)=0,"BELUM ADA",INDEX('MASTER MENU'!$B$5:$B$504,MATCH(B109,'MASTER MENU'!$A$5:$A$504,0))))</f>
        <v/>
      </c>
      <c r="D109" s="0" t="str">
        <f aca="false">IF(B109="","",IF(COUNTIFS('MASTER MENU'!$A$5:$A$504,B109)=0,"BELUM ADA",INDEX('MASTER MENU'!$E$5:$E$504,MATCH(B109,'MASTER MENU'!$A$5:$A$504,0))))</f>
        <v/>
      </c>
      <c r="F109" s="0" t="str">
        <f aca="false">IF(B109="","",IF(COUNTIFS('MASTER MENU'!$A$5:$A$504,B109)=0,"BELUM ADA",INDEX('MASTER MENU'!$F$5:$F$504,MATCH(B109,'MASTER MENU'!$A$5:$A$504,0))))</f>
        <v/>
      </c>
      <c r="G109" s="0" t="str">
        <f aca="false">IF(A109="","",IF(OR(NOT(ISNUMBER(E109)),NOT(ISNUMBER(F109))),"BELUM LENGKAP",ROUND(E109*F109,0)))</f>
        <v/>
      </c>
      <c r="J109" s="0" t="str">
        <f aca="false">IF(A109="","",IF(NOT(ISNUMBER(G109)),"BELUM LENGKAP",G109-H109-I109))</f>
        <v/>
      </c>
      <c r="L109" s="0" t="str">
        <f aca="false">IF(A109="","",IF(NOT(ISNUMBER(K109)),"ISI SNAPSHOT HPP",ROUND(E109*K109,0)))</f>
        <v/>
      </c>
      <c r="M109" s="0" t="str">
        <f aca="false">IF(A109="","",IF(NOT(ISNUMBER(L109)),"BELUM LENGKAP",J109-L109))</f>
        <v/>
      </c>
      <c r="N109" s="0" t="str">
        <f aca="false">IF(B109="","",IF(COUNTIFS('RESEP DAN HPP'!$A$5:$A$504,B109,'RESEP DAN HPP'!$N$5:$N$504,"LENGKAP")=0,"BELUM LENGKAP",INDEX('RESEP DAN HPP'!$J$5:$J$504,MATCH(B109,'RESEP DAN HPP'!$A$5:$A$504,0))))</f>
        <v/>
      </c>
      <c r="P109" s="0" t="str">
        <f aca="false">IF(A109="","",IF(COUNTIFS('TRANSAKSI PENJUALAN'!$A$5:$A$504,A109)=0,"BELUM ADA",INDEX('TRANSAKSI PENJUALAN'!$B$5:$B$504,MATCH(A109,'TRANSAKSI PENJUALAN'!$A$5:$A$504,0))))</f>
        <v/>
      </c>
      <c r="Q109" s="0" t="str">
        <f aca="false">IF(A109="","",IF(COUNTIFS('TRANSAKSI PENJUALAN'!$A$5:$A$504,A109)=0,"BELUM ADA",INDEX('TRANSAKSI PENJUALAN'!$M$5:$M$504,MATCH(A109,'TRANSAKSI PENJUALAN'!$A$5:$A$504,0))))</f>
        <v/>
      </c>
      <c r="R109" s="24" t="str">
        <f aca="false">IF(A109="","",COUNTIF($A$5:A109,A109))</f>
        <v/>
      </c>
      <c r="S109" s="24" t="str">
        <f aca="false">IF(A109="","",A109&amp;"|"&amp;R109)</f>
        <v/>
      </c>
    </row>
    <row r="110" customFormat="false" ht="15" hidden="false" customHeight="false" outlineLevel="0" collapsed="false">
      <c r="C110" s="0" t="str">
        <f aca="false">IF(B110="","",IF(COUNTIFS('MASTER MENU'!$A$5:$A$504,B110)=0,"BELUM ADA",INDEX('MASTER MENU'!$B$5:$B$504,MATCH(B110,'MASTER MENU'!$A$5:$A$504,0))))</f>
        <v/>
      </c>
      <c r="D110" s="0" t="str">
        <f aca="false">IF(B110="","",IF(COUNTIFS('MASTER MENU'!$A$5:$A$504,B110)=0,"BELUM ADA",INDEX('MASTER MENU'!$E$5:$E$504,MATCH(B110,'MASTER MENU'!$A$5:$A$504,0))))</f>
        <v/>
      </c>
      <c r="F110" s="0" t="str">
        <f aca="false">IF(B110="","",IF(COUNTIFS('MASTER MENU'!$A$5:$A$504,B110)=0,"BELUM ADA",INDEX('MASTER MENU'!$F$5:$F$504,MATCH(B110,'MASTER MENU'!$A$5:$A$504,0))))</f>
        <v/>
      </c>
      <c r="G110" s="0" t="str">
        <f aca="false">IF(A110="","",IF(OR(NOT(ISNUMBER(E110)),NOT(ISNUMBER(F110))),"BELUM LENGKAP",ROUND(E110*F110,0)))</f>
        <v/>
      </c>
      <c r="J110" s="0" t="str">
        <f aca="false">IF(A110="","",IF(NOT(ISNUMBER(G110)),"BELUM LENGKAP",G110-H110-I110))</f>
        <v/>
      </c>
      <c r="L110" s="0" t="str">
        <f aca="false">IF(A110="","",IF(NOT(ISNUMBER(K110)),"ISI SNAPSHOT HPP",ROUND(E110*K110,0)))</f>
        <v/>
      </c>
      <c r="M110" s="0" t="str">
        <f aca="false">IF(A110="","",IF(NOT(ISNUMBER(L110)),"BELUM LENGKAP",J110-L110))</f>
        <v/>
      </c>
      <c r="N110" s="0" t="str">
        <f aca="false">IF(B110="","",IF(COUNTIFS('RESEP DAN HPP'!$A$5:$A$504,B110,'RESEP DAN HPP'!$N$5:$N$504,"LENGKAP")=0,"BELUM LENGKAP",INDEX('RESEP DAN HPP'!$J$5:$J$504,MATCH(B110,'RESEP DAN HPP'!$A$5:$A$504,0))))</f>
        <v/>
      </c>
      <c r="P110" s="0" t="str">
        <f aca="false">IF(A110="","",IF(COUNTIFS('TRANSAKSI PENJUALAN'!$A$5:$A$504,A110)=0,"BELUM ADA",INDEX('TRANSAKSI PENJUALAN'!$B$5:$B$504,MATCH(A110,'TRANSAKSI PENJUALAN'!$A$5:$A$504,0))))</f>
        <v/>
      </c>
      <c r="Q110" s="0" t="str">
        <f aca="false">IF(A110="","",IF(COUNTIFS('TRANSAKSI PENJUALAN'!$A$5:$A$504,A110)=0,"BELUM ADA",INDEX('TRANSAKSI PENJUALAN'!$M$5:$M$504,MATCH(A110,'TRANSAKSI PENJUALAN'!$A$5:$A$504,0))))</f>
        <v/>
      </c>
      <c r="R110" s="24" t="str">
        <f aca="false">IF(A110="","",COUNTIF($A$5:A110,A110))</f>
        <v/>
      </c>
      <c r="S110" s="24" t="str">
        <f aca="false">IF(A110="","",A110&amp;"|"&amp;R110)</f>
        <v/>
      </c>
    </row>
    <row r="111" customFormat="false" ht="15" hidden="false" customHeight="false" outlineLevel="0" collapsed="false">
      <c r="C111" s="0" t="str">
        <f aca="false">IF(B111="","",IF(COUNTIFS('MASTER MENU'!$A$5:$A$504,B111)=0,"BELUM ADA",INDEX('MASTER MENU'!$B$5:$B$504,MATCH(B111,'MASTER MENU'!$A$5:$A$504,0))))</f>
        <v/>
      </c>
      <c r="D111" s="0" t="str">
        <f aca="false">IF(B111="","",IF(COUNTIFS('MASTER MENU'!$A$5:$A$504,B111)=0,"BELUM ADA",INDEX('MASTER MENU'!$E$5:$E$504,MATCH(B111,'MASTER MENU'!$A$5:$A$504,0))))</f>
        <v/>
      </c>
      <c r="F111" s="0" t="str">
        <f aca="false">IF(B111="","",IF(COUNTIFS('MASTER MENU'!$A$5:$A$504,B111)=0,"BELUM ADA",INDEX('MASTER MENU'!$F$5:$F$504,MATCH(B111,'MASTER MENU'!$A$5:$A$504,0))))</f>
        <v/>
      </c>
      <c r="G111" s="0" t="str">
        <f aca="false">IF(A111="","",IF(OR(NOT(ISNUMBER(E111)),NOT(ISNUMBER(F111))),"BELUM LENGKAP",ROUND(E111*F111,0)))</f>
        <v/>
      </c>
      <c r="J111" s="0" t="str">
        <f aca="false">IF(A111="","",IF(NOT(ISNUMBER(G111)),"BELUM LENGKAP",G111-H111-I111))</f>
        <v/>
      </c>
      <c r="L111" s="0" t="str">
        <f aca="false">IF(A111="","",IF(NOT(ISNUMBER(K111)),"ISI SNAPSHOT HPP",ROUND(E111*K111,0)))</f>
        <v/>
      </c>
      <c r="M111" s="0" t="str">
        <f aca="false">IF(A111="","",IF(NOT(ISNUMBER(L111)),"BELUM LENGKAP",J111-L111))</f>
        <v/>
      </c>
      <c r="N111" s="0" t="str">
        <f aca="false">IF(B111="","",IF(COUNTIFS('RESEP DAN HPP'!$A$5:$A$504,B111,'RESEP DAN HPP'!$N$5:$N$504,"LENGKAP")=0,"BELUM LENGKAP",INDEX('RESEP DAN HPP'!$J$5:$J$504,MATCH(B111,'RESEP DAN HPP'!$A$5:$A$504,0))))</f>
        <v/>
      </c>
      <c r="P111" s="0" t="str">
        <f aca="false">IF(A111="","",IF(COUNTIFS('TRANSAKSI PENJUALAN'!$A$5:$A$504,A111)=0,"BELUM ADA",INDEX('TRANSAKSI PENJUALAN'!$B$5:$B$504,MATCH(A111,'TRANSAKSI PENJUALAN'!$A$5:$A$504,0))))</f>
        <v/>
      </c>
      <c r="Q111" s="0" t="str">
        <f aca="false">IF(A111="","",IF(COUNTIFS('TRANSAKSI PENJUALAN'!$A$5:$A$504,A111)=0,"BELUM ADA",INDEX('TRANSAKSI PENJUALAN'!$M$5:$M$504,MATCH(A111,'TRANSAKSI PENJUALAN'!$A$5:$A$504,0))))</f>
        <v/>
      </c>
      <c r="R111" s="24" t="str">
        <f aca="false">IF(A111="","",COUNTIF($A$5:A111,A111))</f>
        <v/>
      </c>
      <c r="S111" s="24" t="str">
        <f aca="false">IF(A111="","",A111&amp;"|"&amp;R111)</f>
        <v/>
      </c>
    </row>
    <row r="112" customFormat="false" ht="15" hidden="false" customHeight="false" outlineLevel="0" collapsed="false">
      <c r="C112" s="0" t="str">
        <f aca="false">IF(B112="","",IF(COUNTIFS('MASTER MENU'!$A$5:$A$504,B112)=0,"BELUM ADA",INDEX('MASTER MENU'!$B$5:$B$504,MATCH(B112,'MASTER MENU'!$A$5:$A$504,0))))</f>
        <v/>
      </c>
      <c r="D112" s="0" t="str">
        <f aca="false">IF(B112="","",IF(COUNTIFS('MASTER MENU'!$A$5:$A$504,B112)=0,"BELUM ADA",INDEX('MASTER MENU'!$E$5:$E$504,MATCH(B112,'MASTER MENU'!$A$5:$A$504,0))))</f>
        <v/>
      </c>
      <c r="F112" s="0" t="str">
        <f aca="false">IF(B112="","",IF(COUNTIFS('MASTER MENU'!$A$5:$A$504,B112)=0,"BELUM ADA",INDEX('MASTER MENU'!$F$5:$F$504,MATCH(B112,'MASTER MENU'!$A$5:$A$504,0))))</f>
        <v/>
      </c>
      <c r="G112" s="0" t="str">
        <f aca="false">IF(A112="","",IF(OR(NOT(ISNUMBER(E112)),NOT(ISNUMBER(F112))),"BELUM LENGKAP",ROUND(E112*F112,0)))</f>
        <v/>
      </c>
      <c r="J112" s="0" t="str">
        <f aca="false">IF(A112="","",IF(NOT(ISNUMBER(G112)),"BELUM LENGKAP",G112-H112-I112))</f>
        <v/>
      </c>
      <c r="L112" s="0" t="str">
        <f aca="false">IF(A112="","",IF(NOT(ISNUMBER(K112)),"ISI SNAPSHOT HPP",ROUND(E112*K112,0)))</f>
        <v/>
      </c>
      <c r="M112" s="0" t="str">
        <f aca="false">IF(A112="","",IF(NOT(ISNUMBER(L112)),"BELUM LENGKAP",J112-L112))</f>
        <v/>
      </c>
      <c r="N112" s="0" t="str">
        <f aca="false">IF(B112="","",IF(COUNTIFS('RESEP DAN HPP'!$A$5:$A$504,B112,'RESEP DAN HPP'!$N$5:$N$504,"LENGKAP")=0,"BELUM LENGKAP",INDEX('RESEP DAN HPP'!$J$5:$J$504,MATCH(B112,'RESEP DAN HPP'!$A$5:$A$504,0))))</f>
        <v/>
      </c>
      <c r="P112" s="0" t="str">
        <f aca="false">IF(A112="","",IF(COUNTIFS('TRANSAKSI PENJUALAN'!$A$5:$A$504,A112)=0,"BELUM ADA",INDEX('TRANSAKSI PENJUALAN'!$B$5:$B$504,MATCH(A112,'TRANSAKSI PENJUALAN'!$A$5:$A$504,0))))</f>
        <v/>
      </c>
      <c r="Q112" s="0" t="str">
        <f aca="false">IF(A112="","",IF(COUNTIFS('TRANSAKSI PENJUALAN'!$A$5:$A$504,A112)=0,"BELUM ADA",INDEX('TRANSAKSI PENJUALAN'!$M$5:$M$504,MATCH(A112,'TRANSAKSI PENJUALAN'!$A$5:$A$504,0))))</f>
        <v/>
      </c>
      <c r="R112" s="24" t="str">
        <f aca="false">IF(A112="","",COUNTIF($A$5:A112,A112))</f>
        <v/>
      </c>
      <c r="S112" s="24" t="str">
        <f aca="false">IF(A112="","",A112&amp;"|"&amp;R112)</f>
        <v/>
      </c>
    </row>
    <row r="113" customFormat="false" ht="15" hidden="false" customHeight="false" outlineLevel="0" collapsed="false">
      <c r="C113" s="0" t="str">
        <f aca="false">IF(B113="","",IF(COUNTIFS('MASTER MENU'!$A$5:$A$504,B113)=0,"BELUM ADA",INDEX('MASTER MENU'!$B$5:$B$504,MATCH(B113,'MASTER MENU'!$A$5:$A$504,0))))</f>
        <v/>
      </c>
      <c r="D113" s="0" t="str">
        <f aca="false">IF(B113="","",IF(COUNTIFS('MASTER MENU'!$A$5:$A$504,B113)=0,"BELUM ADA",INDEX('MASTER MENU'!$E$5:$E$504,MATCH(B113,'MASTER MENU'!$A$5:$A$504,0))))</f>
        <v/>
      </c>
      <c r="F113" s="0" t="str">
        <f aca="false">IF(B113="","",IF(COUNTIFS('MASTER MENU'!$A$5:$A$504,B113)=0,"BELUM ADA",INDEX('MASTER MENU'!$F$5:$F$504,MATCH(B113,'MASTER MENU'!$A$5:$A$504,0))))</f>
        <v/>
      </c>
      <c r="G113" s="0" t="str">
        <f aca="false">IF(A113="","",IF(OR(NOT(ISNUMBER(E113)),NOT(ISNUMBER(F113))),"BELUM LENGKAP",ROUND(E113*F113,0)))</f>
        <v/>
      </c>
      <c r="J113" s="0" t="str">
        <f aca="false">IF(A113="","",IF(NOT(ISNUMBER(G113)),"BELUM LENGKAP",G113-H113-I113))</f>
        <v/>
      </c>
      <c r="L113" s="0" t="str">
        <f aca="false">IF(A113="","",IF(NOT(ISNUMBER(K113)),"ISI SNAPSHOT HPP",ROUND(E113*K113,0)))</f>
        <v/>
      </c>
      <c r="M113" s="0" t="str">
        <f aca="false">IF(A113="","",IF(NOT(ISNUMBER(L113)),"BELUM LENGKAP",J113-L113))</f>
        <v/>
      </c>
      <c r="N113" s="0" t="str">
        <f aca="false">IF(B113="","",IF(COUNTIFS('RESEP DAN HPP'!$A$5:$A$504,B113,'RESEP DAN HPP'!$N$5:$N$504,"LENGKAP")=0,"BELUM LENGKAP",INDEX('RESEP DAN HPP'!$J$5:$J$504,MATCH(B113,'RESEP DAN HPP'!$A$5:$A$504,0))))</f>
        <v/>
      </c>
      <c r="P113" s="0" t="str">
        <f aca="false">IF(A113="","",IF(COUNTIFS('TRANSAKSI PENJUALAN'!$A$5:$A$504,A113)=0,"BELUM ADA",INDEX('TRANSAKSI PENJUALAN'!$B$5:$B$504,MATCH(A113,'TRANSAKSI PENJUALAN'!$A$5:$A$504,0))))</f>
        <v/>
      </c>
      <c r="Q113" s="0" t="str">
        <f aca="false">IF(A113="","",IF(COUNTIFS('TRANSAKSI PENJUALAN'!$A$5:$A$504,A113)=0,"BELUM ADA",INDEX('TRANSAKSI PENJUALAN'!$M$5:$M$504,MATCH(A113,'TRANSAKSI PENJUALAN'!$A$5:$A$504,0))))</f>
        <v/>
      </c>
      <c r="R113" s="24" t="str">
        <f aca="false">IF(A113="","",COUNTIF($A$5:A113,A113))</f>
        <v/>
      </c>
      <c r="S113" s="24" t="str">
        <f aca="false">IF(A113="","",A113&amp;"|"&amp;R113)</f>
        <v/>
      </c>
    </row>
    <row r="114" customFormat="false" ht="15" hidden="false" customHeight="false" outlineLevel="0" collapsed="false">
      <c r="C114" s="0" t="str">
        <f aca="false">IF(B114="","",IF(COUNTIFS('MASTER MENU'!$A$5:$A$504,B114)=0,"BELUM ADA",INDEX('MASTER MENU'!$B$5:$B$504,MATCH(B114,'MASTER MENU'!$A$5:$A$504,0))))</f>
        <v/>
      </c>
      <c r="D114" s="0" t="str">
        <f aca="false">IF(B114="","",IF(COUNTIFS('MASTER MENU'!$A$5:$A$504,B114)=0,"BELUM ADA",INDEX('MASTER MENU'!$E$5:$E$504,MATCH(B114,'MASTER MENU'!$A$5:$A$504,0))))</f>
        <v/>
      </c>
      <c r="F114" s="0" t="str">
        <f aca="false">IF(B114="","",IF(COUNTIFS('MASTER MENU'!$A$5:$A$504,B114)=0,"BELUM ADA",INDEX('MASTER MENU'!$F$5:$F$504,MATCH(B114,'MASTER MENU'!$A$5:$A$504,0))))</f>
        <v/>
      </c>
      <c r="G114" s="0" t="str">
        <f aca="false">IF(A114="","",IF(OR(NOT(ISNUMBER(E114)),NOT(ISNUMBER(F114))),"BELUM LENGKAP",ROUND(E114*F114,0)))</f>
        <v/>
      </c>
      <c r="J114" s="0" t="str">
        <f aca="false">IF(A114="","",IF(NOT(ISNUMBER(G114)),"BELUM LENGKAP",G114-H114-I114))</f>
        <v/>
      </c>
      <c r="L114" s="0" t="str">
        <f aca="false">IF(A114="","",IF(NOT(ISNUMBER(K114)),"ISI SNAPSHOT HPP",ROUND(E114*K114,0)))</f>
        <v/>
      </c>
      <c r="M114" s="0" t="str">
        <f aca="false">IF(A114="","",IF(NOT(ISNUMBER(L114)),"BELUM LENGKAP",J114-L114))</f>
        <v/>
      </c>
      <c r="N114" s="0" t="str">
        <f aca="false">IF(B114="","",IF(COUNTIFS('RESEP DAN HPP'!$A$5:$A$504,B114,'RESEP DAN HPP'!$N$5:$N$504,"LENGKAP")=0,"BELUM LENGKAP",INDEX('RESEP DAN HPP'!$J$5:$J$504,MATCH(B114,'RESEP DAN HPP'!$A$5:$A$504,0))))</f>
        <v/>
      </c>
      <c r="P114" s="0" t="str">
        <f aca="false">IF(A114="","",IF(COUNTIFS('TRANSAKSI PENJUALAN'!$A$5:$A$504,A114)=0,"BELUM ADA",INDEX('TRANSAKSI PENJUALAN'!$B$5:$B$504,MATCH(A114,'TRANSAKSI PENJUALAN'!$A$5:$A$504,0))))</f>
        <v/>
      </c>
      <c r="Q114" s="0" t="str">
        <f aca="false">IF(A114="","",IF(COUNTIFS('TRANSAKSI PENJUALAN'!$A$5:$A$504,A114)=0,"BELUM ADA",INDEX('TRANSAKSI PENJUALAN'!$M$5:$M$504,MATCH(A114,'TRANSAKSI PENJUALAN'!$A$5:$A$504,0))))</f>
        <v/>
      </c>
      <c r="R114" s="24" t="str">
        <f aca="false">IF(A114="","",COUNTIF($A$5:A114,A114))</f>
        <v/>
      </c>
      <c r="S114" s="24" t="str">
        <f aca="false">IF(A114="","",A114&amp;"|"&amp;R114)</f>
        <v/>
      </c>
    </row>
    <row r="115" customFormat="false" ht="15" hidden="false" customHeight="false" outlineLevel="0" collapsed="false">
      <c r="C115" s="0" t="str">
        <f aca="false">IF(B115="","",IF(COUNTIFS('MASTER MENU'!$A$5:$A$504,B115)=0,"BELUM ADA",INDEX('MASTER MENU'!$B$5:$B$504,MATCH(B115,'MASTER MENU'!$A$5:$A$504,0))))</f>
        <v/>
      </c>
      <c r="D115" s="0" t="str">
        <f aca="false">IF(B115="","",IF(COUNTIFS('MASTER MENU'!$A$5:$A$504,B115)=0,"BELUM ADA",INDEX('MASTER MENU'!$E$5:$E$504,MATCH(B115,'MASTER MENU'!$A$5:$A$504,0))))</f>
        <v/>
      </c>
      <c r="F115" s="0" t="str">
        <f aca="false">IF(B115="","",IF(COUNTIFS('MASTER MENU'!$A$5:$A$504,B115)=0,"BELUM ADA",INDEX('MASTER MENU'!$F$5:$F$504,MATCH(B115,'MASTER MENU'!$A$5:$A$504,0))))</f>
        <v/>
      </c>
      <c r="G115" s="0" t="str">
        <f aca="false">IF(A115="","",IF(OR(NOT(ISNUMBER(E115)),NOT(ISNUMBER(F115))),"BELUM LENGKAP",ROUND(E115*F115,0)))</f>
        <v/>
      </c>
      <c r="J115" s="0" t="str">
        <f aca="false">IF(A115="","",IF(NOT(ISNUMBER(G115)),"BELUM LENGKAP",G115-H115-I115))</f>
        <v/>
      </c>
      <c r="L115" s="0" t="str">
        <f aca="false">IF(A115="","",IF(NOT(ISNUMBER(K115)),"ISI SNAPSHOT HPP",ROUND(E115*K115,0)))</f>
        <v/>
      </c>
      <c r="M115" s="0" t="str">
        <f aca="false">IF(A115="","",IF(NOT(ISNUMBER(L115)),"BELUM LENGKAP",J115-L115))</f>
        <v/>
      </c>
      <c r="N115" s="0" t="str">
        <f aca="false">IF(B115="","",IF(COUNTIFS('RESEP DAN HPP'!$A$5:$A$504,B115,'RESEP DAN HPP'!$N$5:$N$504,"LENGKAP")=0,"BELUM LENGKAP",INDEX('RESEP DAN HPP'!$J$5:$J$504,MATCH(B115,'RESEP DAN HPP'!$A$5:$A$504,0))))</f>
        <v/>
      </c>
      <c r="P115" s="0" t="str">
        <f aca="false">IF(A115="","",IF(COUNTIFS('TRANSAKSI PENJUALAN'!$A$5:$A$504,A115)=0,"BELUM ADA",INDEX('TRANSAKSI PENJUALAN'!$B$5:$B$504,MATCH(A115,'TRANSAKSI PENJUALAN'!$A$5:$A$504,0))))</f>
        <v/>
      </c>
      <c r="Q115" s="0" t="str">
        <f aca="false">IF(A115="","",IF(COUNTIFS('TRANSAKSI PENJUALAN'!$A$5:$A$504,A115)=0,"BELUM ADA",INDEX('TRANSAKSI PENJUALAN'!$M$5:$M$504,MATCH(A115,'TRANSAKSI PENJUALAN'!$A$5:$A$504,0))))</f>
        <v/>
      </c>
      <c r="R115" s="24" t="str">
        <f aca="false">IF(A115="","",COUNTIF($A$5:A115,A115))</f>
        <v/>
      </c>
      <c r="S115" s="24" t="str">
        <f aca="false">IF(A115="","",A115&amp;"|"&amp;R115)</f>
        <v/>
      </c>
    </row>
    <row r="116" customFormat="false" ht="15" hidden="false" customHeight="false" outlineLevel="0" collapsed="false">
      <c r="C116" s="0" t="str">
        <f aca="false">IF(B116="","",IF(COUNTIFS('MASTER MENU'!$A$5:$A$504,B116)=0,"BELUM ADA",INDEX('MASTER MENU'!$B$5:$B$504,MATCH(B116,'MASTER MENU'!$A$5:$A$504,0))))</f>
        <v/>
      </c>
      <c r="D116" s="0" t="str">
        <f aca="false">IF(B116="","",IF(COUNTIFS('MASTER MENU'!$A$5:$A$504,B116)=0,"BELUM ADA",INDEX('MASTER MENU'!$E$5:$E$504,MATCH(B116,'MASTER MENU'!$A$5:$A$504,0))))</f>
        <v/>
      </c>
      <c r="F116" s="0" t="str">
        <f aca="false">IF(B116="","",IF(COUNTIFS('MASTER MENU'!$A$5:$A$504,B116)=0,"BELUM ADA",INDEX('MASTER MENU'!$F$5:$F$504,MATCH(B116,'MASTER MENU'!$A$5:$A$504,0))))</f>
        <v/>
      </c>
      <c r="G116" s="0" t="str">
        <f aca="false">IF(A116="","",IF(OR(NOT(ISNUMBER(E116)),NOT(ISNUMBER(F116))),"BELUM LENGKAP",ROUND(E116*F116,0)))</f>
        <v/>
      </c>
      <c r="J116" s="0" t="str">
        <f aca="false">IF(A116="","",IF(NOT(ISNUMBER(G116)),"BELUM LENGKAP",G116-H116-I116))</f>
        <v/>
      </c>
      <c r="L116" s="0" t="str">
        <f aca="false">IF(A116="","",IF(NOT(ISNUMBER(K116)),"ISI SNAPSHOT HPP",ROUND(E116*K116,0)))</f>
        <v/>
      </c>
      <c r="M116" s="0" t="str">
        <f aca="false">IF(A116="","",IF(NOT(ISNUMBER(L116)),"BELUM LENGKAP",J116-L116))</f>
        <v/>
      </c>
      <c r="N116" s="0" t="str">
        <f aca="false">IF(B116="","",IF(COUNTIFS('RESEP DAN HPP'!$A$5:$A$504,B116,'RESEP DAN HPP'!$N$5:$N$504,"LENGKAP")=0,"BELUM LENGKAP",INDEX('RESEP DAN HPP'!$J$5:$J$504,MATCH(B116,'RESEP DAN HPP'!$A$5:$A$504,0))))</f>
        <v/>
      </c>
      <c r="P116" s="0" t="str">
        <f aca="false">IF(A116="","",IF(COUNTIFS('TRANSAKSI PENJUALAN'!$A$5:$A$504,A116)=0,"BELUM ADA",INDEX('TRANSAKSI PENJUALAN'!$B$5:$B$504,MATCH(A116,'TRANSAKSI PENJUALAN'!$A$5:$A$504,0))))</f>
        <v/>
      </c>
      <c r="Q116" s="0" t="str">
        <f aca="false">IF(A116="","",IF(COUNTIFS('TRANSAKSI PENJUALAN'!$A$5:$A$504,A116)=0,"BELUM ADA",INDEX('TRANSAKSI PENJUALAN'!$M$5:$M$504,MATCH(A116,'TRANSAKSI PENJUALAN'!$A$5:$A$504,0))))</f>
        <v/>
      </c>
      <c r="R116" s="24" t="str">
        <f aca="false">IF(A116="","",COUNTIF($A$5:A116,A116))</f>
        <v/>
      </c>
      <c r="S116" s="24" t="str">
        <f aca="false">IF(A116="","",A116&amp;"|"&amp;R116)</f>
        <v/>
      </c>
    </row>
    <row r="117" customFormat="false" ht="15" hidden="false" customHeight="false" outlineLevel="0" collapsed="false">
      <c r="C117" s="0" t="str">
        <f aca="false">IF(B117="","",IF(COUNTIFS('MASTER MENU'!$A$5:$A$504,B117)=0,"BELUM ADA",INDEX('MASTER MENU'!$B$5:$B$504,MATCH(B117,'MASTER MENU'!$A$5:$A$504,0))))</f>
        <v/>
      </c>
      <c r="D117" s="0" t="str">
        <f aca="false">IF(B117="","",IF(COUNTIFS('MASTER MENU'!$A$5:$A$504,B117)=0,"BELUM ADA",INDEX('MASTER MENU'!$E$5:$E$504,MATCH(B117,'MASTER MENU'!$A$5:$A$504,0))))</f>
        <v/>
      </c>
      <c r="F117" s="0" t="str">
        <f aca="false">IF(B117="","",IF(COUNTIFS('MASTER MENU'!$A$5:$A$504,B117)=0,"BELUM ADA",INDEX('MASTER MENU'!$F$5:$F$504,MATCH(B117,'MASTER MENU'!$A$5:$A$504,0))))</f>
        <v/>
      </c>
      <c r="G117" s="0" t="str">
        <f aca="false">IF(A117="","",IF(OR(NOT(ISNUMBER(E117)),NOT(ISNUMBER(F117))),"BELUM LENGKAP",ROUND(E117*F117,0)))</f>
        <v/>
      </c>
      <c r="J117" s="0" t="str">
        <f aca="false">IF(A117="","",IF(NOT(ISNUMBER(G117)),"BELUM LENGKAP",G117-H117-I117))</f>
        <v/>
      </c>
      <c r="L117" s="0" t="str">
        <f aca="false">IF(A117="","",IF(NOT(ISNUMBER(K117)),"ISI SNAPSHOT HPP",ROUND(E117*K117,0)))</f>
        <v/>
      </c>
      <c r="M117" s="0" t="str">
        <f aca="false">IF(A117="","",IF(NOT(ISNUMBER(L117)),"BELUM LENGKAP",J117-L117))</f>
        <v/>
      </c>
      <c r="N117" s="0" t="str">
        <f aca="false">IF(B117="","",IF(COUNTIFS('RESEP DAN HPP'!$A$5:$A$504,B117,'RESEP DAN HPP'!$N$5:$N$504,"LENGKAP")=0,"BELUM LENGKAP",INDEX('RESEP DAN HPP'!$J$5:$J$504,MATCH(B117,'RESEP DAN HPP'!$A$5:$A$504,0))))</f>
        <v/>
      </c>
      <c r="P117" s="0" t="str">
        <f aca="false">IF(A117="","",IF(COUNTIFS('TRANSAKSI PENJUALAN'!$A$5:$A$504,A117)=0,"BELUM ADA",INDEX('TRANSAKSI PENJUALAN'!$B$5:$B$504,MATCH(A117,'TRANSAKSI PENJUALAN'!$A$5:$A$504,0))))</f>
        <v/>
      </c>
      <c r="Q117" s="0" t="str">
        <f aca="false">IF(A117="","",IF(COUNTIFS('TRANSAKSI PENJUALAN'!$A$5:$A$504,A117)=0,"BELUM ADA",INDEX('TRANSAKSI PENJUALAN'!$M$5:$M$504,MATCH(A117,'TRANSAKSI PENJUALAN'!$A$5:$A$504,0))))</f>
        <v/>
      </c>
      <c r="R117" s="24" t="str">
        <f aca="false">IF(A117="","",COUNTIF($A$5:A117,A117))</f>
        <v/>
      </c>
      <c r="S117" s="24" t="str">
        <f aca="false">IF(A117="","",A117&amp;"|"&amp;R117)</f>
        <v/>
      </c>
    </row>
    <row r="118" customFormat="false" ht="15" hidden="false" customHeight="false" outlineLevel="0" collapsed="false">
      <c r="C118" s="0" t="str">
        <f aca="false">IF(B118="","",IF(COUNTIFS('MASTER MENU'!$A$5:$A$504,B118)=0,"BELUM ADA",INDEX('MASTER MENU'!$B$5:$B$504,MATCH(B118,'MASTER MENU'!$A$5:$A$504,0))))</f>
        <v/>
      </c>
      <c r="D118" s="0" t="str">
        <f aca="false">IF(B118="","",IF(COUNTIFS('MASTER MENU'!$A$5:$A$504,B118)=0,"BELUM ADA",INDEX('MASTER MENU'!$E$5:$E$504,MATCH(B118,'MASTER MENU'!$A$5:$A$504,0))))</f>
        <v/>
      </c>
      <c r="F118" s="0" t="str">
        <f aca="false">IF(B118="","",IF(COUNTIFS('MASTER MENU'!$A$5:$A$504,B118)=0,"BELUM ADA",INDEX('MASTER MENU'!$F$5:$F$504,MATCH(B118,'MASTER MENU'!$A$5:$A$504,0))))</f>
        <v/>
      </c>
      <c r="G118" s="0" t="str">
        <f aca="false">IF(A118="","",IF(OR(NOT(ISNUMBER(E118)),NOT(ISNUMBER(F118))),"BELUM LENGKAP",ROUND(E118*F118,0)))</f>
        <v/>
      </c>
      <c r="J118" s="0" t="str">
        <f aca="false">IF(A118="","",IF(NOT(ISNUMBER(G118)),"BELUM LENGKAP",G118-H118-I118))</f>
        <v/>
      </c>
      <c r="L118" s="0" t="str">
        <f aca="false">IF(A118="","",IF(NOT(ISNUMBER(K118)),"ISI SNAPSHOT HPP",ROUND(E118*K118,0)))</f>
        <v/>
      </c>
      <c r="M118" s="0" t="str">
        <f aca="false">IF(A118="","",IF(NOT(ISNUMBER(L118)),"BELUM LENGKAP",J118-L118))</f>
        <v/>
      </c>
      <c r="N118" s="0" t="str">
        <f aca="false">IF(B118="","",IF(COUNTIFS('RESEP DAN HPP'!$A$5:$A$504,B118,'RESEP DAN HPP'!$N$5:$N$504,"LENGKAP")=0,"BELUM LENGKAP",INDEX('RESEP DAN HPP'!$J$5:$J$504,MATCH(B118,'RESEP DAN HPP'!$A$5:$A$504,0))))</f>
        <v/>
      </c>
      <c r="P118" s="0" t="str">
        <f aca="false">IF(A118="","",IF(COUNTIFS('TRANSAKSI PENJUALAN'!$A$5:$A$504,A118)=0,"BELUM ADA",INDEX('TRANSAKSI PENJUALAN'!$B$5:$B$504,MATCH(A118,'TRANSAKSI PENJUALAN'!$A$5:$A$504,0))))</f>
        <v/>
      </c>
      <c r="Q118" s="0" t="str">
        <f aca="false">IF(A118="","",IF(COUNTIFS('TRANSAKSI PENJUALAN'!$A$5:$A$504,A118)=0,"BELUM ADA",INDEX('TRANSAKSI PENJUALAN'!$M$5:$M$504,MATCH(A118,'TRANSAKSI PENJUALAN'!$A$5:$A$504,0))))</f>
        <v/>
      </c>
      <c r="R118" s="24" t="str">
        <f aca="false">IF(A118="","",COUNTIF($A$5:A118,A118))</f>
        <v/>
      </c>
      <c r="S118" s="24" t="str">
        <f aca="false">IF(A118="","",A118&amp;"|"&amp;R118)</f>
        <v/>
      </c>
    </row>
    <row r="119" customFormat="false" ht="15" hidden="false" customHeight="false" outlineLevel="0" collapsed="false">
      <c r="C119" s="0" t="str">
        <f aca="false">IF(B119="","",IF(COUNTIFS('MASTER MENU'!$A$5:$A$504,B119)=0,"BELUM ADA",INDEX('MASTER MENU'!$B$5:$B$504,MATCH(B119,'MASTER MENU'!$A$5:$A$504,0))))</f>
        <v/>
      </c>
      <c r="D119" s="0" t="str">
        <f aca="false">IF(B119="","",IF(COUNTIFS('MASTER MENU'!$A$5:$A$504,B119)=0,"BELUM ADA",INDEX('MASTER MENU'!$E$5:$E$504,MATCH(B119,'MASTER MENU'!$A$5:$A$504,0))))</f>
        <v/>
      </c>
      <c r="F119" s="0" t="str">
        <f aca="false">IF(B119="","",IF(COUNTIFS('MASTER MENU'!$A$5:$A$504,B119)=0,"BELUM ADA",INDEX('MASTER MENU'!$F$5:$F$504,MATCH(B119,'MASTER MENU'!$A$5:$A$504,0))))</f>
        <v/>
      </c>
      <c r="G119" s="0" t="str">
        <f aca="false">IF(A119="","",IF(OR(NOT(ISNUMBER(E119)),NOT(ISNUMBER(F119))),"BELUM LENGKAP",ROUND(E119*F119,0)))</f>
        <v/>
      </c>
      <c r="J119" s="0" t="str">
        <f aca="false">IF(A119="","",IF(NOT(ISNUMBER(G119)),"BELUM LENGKAP",G119-H119-I119))</f>
        <v/>
      </c>
      <c r="L119" s="0" t="str">
        <f aca="false">IF(A119="","",IF(NOT(ISNUMBER(K119)),"ISI SNAPSHOT HPP",ROUND(E119*K119,0)))</f>
        <v/>
      </c>
      <c r="M119" s="0" t="str">
        <f aca="false">IF(A119="","",IF(NOT(ISNUMBER(L119)),"BELUM LENGKAP",J119-L119))</f>
        <v/>
      </c>
      <c r="N119" s="0" t="str">
        <f aca="false">IF(B119="","",IF(COUNTIFS('RESEP DAN HPP'!$A$5:$A$504,B119,'RESEP DAN HPP'!$N$5:$N$504,"LENGKAP")=0,"BELUM LENGKAP",INDEX('RESEP DAN HPP'!$J$5:$J$504,MATCH(B119,'RESEP DAN HPP'!$A$5:$A$504,0))))</f>
        <v/>
      </c>
      <c r="P119" s="0" t="str">
        <f aca="false">IF(A119="","",IF(COUNTIFS('TRANSAKSI PENJUALAN'!$A$5:$A$504,A119)=0,"BELUM ADA",INDEX('TRANSAKSI PENJUALAN'!$B$5:$B$504,MATCH(A119,'TRANSAKSI PENJUALAN'!$A$5:$A$504,0))))</f>
        <v/>
      </c>
      <c r="Q119" s="0" t="str">
        <f aca="false">IF(A119="","",IF(COUNTIFS('TRANSAKSI PENJUALAN'!$A$5:$A$504,A119)=0,"BELUM ADA",INDEX('TRANSAKSI PENJUALAN'!$M$5:$M$504,MATCH(A119,'TRANSAKSI PENJUALAN'!$A$5:$A$504,0))))</f>
        <v/>
      </c>
      <c r="R119" s="24" t="str">
        <f aca="false">IF(A119="","",COUNTIF($A$5:A119,A119))</f>
        <v/>
      </c>
      <c r="S119" s="24" t="str">
        <f aca="false">IF(A119="","",A119&amp;"|"&amp;R119)</f>
        <v/>
      </c>
    </row>
    <row r="120" customFormat="false" ht="15" hidden="false" customHeight="false" outlineLevel="0" collapsed="false">
      <c r="C120" s="0" t="str">
        <f aca="false">IF(B120="","",IF(COUNTIFS('MASTER MENU'!$A$5:$A$504,B120)=0,"BELUM ADA",INDEX('MASTER MENU'!$B$5:$B$504,MATCH(B120,'MASTER MENU'!$A$5:$A$504,0))))</f>
        <v/>
      </c>
      <c r="D120" s="0" t="str">
        <f aca="false">IF(B120="","",IF(COUNTIFS('MASTER MENU'!$A$5:$A$504,B120)=0,"BELUM ADA",INDEX('MASTER MENU'!$E$5:$E$504,MATCH(B120,'MASTER MENU'!$A$5:$A$504,0))))</f>
        <v/>
      </c>
      <c r="F120" s="0" t="str">
        <f aca="false">IF(B120="","",IF(COUNTIFS('MASTER MENU'!$A$5:$A$504,B120)=0,"BELUM ADA",INDEX('MASTER MENU'!$F$5:$F$504,MATCH(B120,'MASTER MENU'!$A$5:$A$504,0))))</f>
        <v/>
      </c>
      <c r="G120" s="0" t="str">
        <f aca="false">IF(A120="","",IF(OR(NOT(ISNUMBER(E120)),NOT(ISNUMBER(F120))),"BELUM LENGKAP",ROUND(E120*F120,0)))</f>
        <v/>
      </c>
      <c r="J120" s="0" t="str">
        <f aca="false">IF(A120="","",IF(NOT(ISNUMBER(G120)),"BELUM LENGKAP",G120-H120-I120))</f>
        <v/>
      </c>
      <c r="L120" s="0" t="str">
        <f aca="false">IF(A120="","",IF(NOT(ISNUMBER(K120)),"ISI SNAPSHOT HPP",ROUND(E120*K120,0)))</f>
        <v/>
      </c>
      <c r="M120" s="0" t="str">
        <f aca="false">IF(A120="","",IF(NOT(ISNUMBER(L120)),"BELUM LENGKAP",J120-L120))</f>
        <v/>
      </c>
      <c r="N120" s="0" t="str">
        <f aca="false">IF(B120="","",IF(COUNTIFS('RESEP DAN HPP'!$A$5:$A$504,B120,'RESEP DAN HPP'!$N$5:$N$504,"LENGKAP")=0,"BELUM LENGKAP",INDEX('RESEP DAN HPP'!$J$5:$J$504,MATCH(B120,'RESEP DAN HPP'!$A$5:$A$504,0))))</f>
        <v/>
      </c>
      <c r="P120" s="0" t="str">
        <f aca="false">IF(A120="","",IF(COUNTIFS('TRANSAKSI PENJUALAN'!$A$5:$A$504,A120)=0,"BELUM ADA",INDEX('TRANSAKSI PENJUALAN'!$B$5:$B$504,MATCH(A120,'TRANSAKSI PENJUALAN'!$A$5:$A$504,0))))</f>
        <v/>
      </c>
      <c r="Q120" s="0" t="str">
        <f aca="false">IF(A120="","",IF(COUNTIFS('TRANSAKSI PENJUALAN'!$A$5:$A$504,A120)=0,"BELUM ADA",INDEX('TRANSAKSI PENJUALAN'!$M$5:$M$504,MATCH(A120,'TRANSAKSI PENJUALAN'!$A$5:$A$504,0))))</f>
        <v/>
      </c>
      <c r="R120" s="24" t="str">
        <f aca="false">IF(A120="","",COUNTIF($A$5:A120,A120))</f>
        <v/>
      </c>
      <c r="S120" s="24" t="str">
        <f aca="false">IF(A120="","",A120&amp;"|"&amp;R120)</f>
        <v/>
      </c>
    </row>
    <row r="121" customFormat="false" ht="15" hidden="false" customHeight="false" outlineLevel="0" collapsed="false">
      <c r="C121" s="0" t="str">
        <f aca="false">IF(B121="","",IF(COUNTIFS('MASTER MENU'!$A$5:$A$504,B121)=0,"BELUM ADA",INDEX('MASTER MENU'!$B$5:$B$504,MATCH(B121,'MASTER MENU'!$A$5:$A$504,0))))</f>
        <v/>
      </c>
      <c r="D121" s="0" t="str">
        <f aca="false">IF(B121="","",IF(COUNTIFS('MASTER MENU'!$A$5:$A$504,B121)=0,"BELUM ADA",INDEX('MASTER MENU'!$E$5:$E$504,MATCH(B121,'MASTER MENU'!$A$5:$A$504,0))))</f>
        <v/>
      </c>
      <c r="F121" s="0" t="str">
        <f aca="false">IF(B121="","",IF(COUNTIFS('MASTER MENU'!$A$5:$A$504,B121)=0,"BELUM ADA",INDEX('MASTER MENU'!$F$5:$F$504,MATCH(B121,'MASTER MENU'!$A$5:$A$504,0))))</f>
        <v/>
      </c>
      <c r="G121" s="0" t="str">
        <f aca="false">IF(A121="","",IF(OR(NOT(ISNUMBER(E121)),NOT(ISNUMBER(F121))),"BELUM LENGKAP",ROUND(E121*F121,0)))</f>
        <v/>
      </c>
      <c r="J121" s="0" t="str">
        <f aca="false">IF(A121="","",IF(NOT(ISNUMBER(G121)),"BELUM LENGKAP",G121-H121-I121))</f>
        <v/>
      </c>
      <c r="L121" s="0" t="str">
        <f aca="false">IF(A121="","",IF(NOT(ISNUMBER(K121)),"ISI SNAPSHOT HPP",ROUND(E121*K121,0)))</f>
        <v/>
      </c>
      <c r="M121" s="0" t="str">
        <f aca="false">IF(A121="","",IF(NOT(ISNUMBER(L121)),"BELUM LENGKAP",J121-L121))</f>
        <v/>
      </c>
      <c r="N121" s="0" t="str">
        <f aca="false">IF(B121="","",IF(COUNTIFS('RESEP DAN HPP'!$A$5:$A$504,B121,'RESEP DAN HPP'!$N$5:$N$504,"LENGKAP")=0,"BELUM LENGKAP",INDEX('RESEP DAN HPP'!$J$5:$J$504,MATCH(B121,'RESEP DAN HPP'!$A$5:$A$504,0))))</f>
        <v/>
      </c>
      <c r="P121" s="0" t="str">
        <f aca="false">IF(A121="","",IF(COUNTIFS('TRANSAKSI PENJUALAN'!$A$5:$A$504,A121)=0,"BELUM ADA",INDEX('TRANSAKSI PENJUALAN'!$B$5:$B$504,MATCH(A121,'TRANSAKSI PENJUALAN'!$A$5:$A$504,0))))</f>
        <v/>
      </c>
      <c r="Q121" s="0" t="str">
        <f aca="false">IF(A121="","",IF(COUNTIFS('TRANSAKSI PENJUALAN'!$A$5:$A$504,A121)=0,"BELUM ADA",INDEX('TRANSAKSI PENJUALAN'!$M$5:$M$504,MATCH(A121,'TRANSAKSI PENJUALAN'!$A$5:$A$504,0))))</f>
        <v/>
      </c>
      <c r="R121" s="24" t="str">
        <f aca="false">IF(A121="","",COUNTIF($A$5:A121,A121))</f>
        <v/>
      </c>
      <c r="S121" s="24" t="str">
        <f aca="false">IF(A121="","",A121&amp;"|"&amp;R121)</f>
        <v/>
      </c>
    </row>
    <row r="122" customFormat="false" ht="15" hidden="false" customHeight="false" outlineLevel="0" collapsed="false">
      <c r="C122" s="0" t="str">
        <f aca="false">IF(B122="","",IF(COUNTIFS('MASTER MENU'!$A$5:$A$504,B122)=0,"BELUM ADA",INDEX('MASTER MENU'!$B$5:$B$504,MATCH(B122,'MASTER MENU'!$A$5:$A$504,0))))</f>
        <v/>
      </c>
      <c r="D122" s="0" t="str">
        <f aca="false">IF(B122="","",IF(COUNTIFS('MASTER MENU'!$A$5:$A$504,B122)=0,"BELUM ADA",INDEX('MASTER MENU'!$E$5:$E$504,MATCH(B122,'MASTER MENU'!$A$5:$A$504,0))))</f>
        <v/>
      </c>
      <c r="F122" s="0" t="str">
        <f aca="false">IF(B122="","",IF(COUNTIFS('MASTER MENU'!$A$5:$A$504,B122)=0,"BELUM ADA",INDEX('MASTER MENU'!$F$5:$F$504,MATCH(B122,'MASTER MENU'!$A$5:$A$504,0))))</f>
        <v/>
      </c>
      <c r="G122" s="0" t="str">
        <f aca="false">IF(A122="","",IF(OR(NOT(ISNUMBER(E122)),NOT(ISNUMBER(F122))),"BELUM LENGKAP",ROUND(E122*F122,0)))</f>
        <v/>
      </c>
      <c r="J122" s="0" t="str">
        <f aca="false">IF(A122="","",IF(NOT(ISNUMBER(G122)),"BELUM LENGKAP",G122-H122-I122))</f>
        <v/>
      </c>
      <c r="L122" s="0" t="str">
        <f aca="false">IF(A122="","",IF(NOT(ISNUMBER(K122)),"ISI SNAPSHOT HPP",ROUND(E122*K122,0)))</f>
        <v/>
      </c>
      <c r="M122" s="0" t="str">
        <f aca="false">IF(A122="","",IF(NOT(ISNUMBER(L122)),"BELUM LENGKAP",J122-L122))</f>
        <v/>
      </c>
      <c r="N122" s="0" t="str">
        <f aca="false">IF(B122="","",IF(COUNTIFS('RESEP DAN HPP'!$A$5:$A$504,B122,'RESEP DAN HPP'!$N$5:$N$504,"LENGKAP")=0,"BELUM LENGKAP",INDEX('RESEP DAN HPP'!$J$5:$J$504,MATCH(B122,'RESEP DAN HPP'!$A$5:$A$504,0))))</f>
        <v/>
      </c>
      <c r="P122" s="0" t="str">
        <f aca="false">IF(A122="","",IF(COUNTIFS('TRANSAKSI PENJUALAN'!$A$5:$A$504,A122)=0,"BELUM ADA",INDEX('TRANSAKSI PENJUALAN'!$B$5:$B$504,MATCH(A122,'TRANSAKSI PENJUALAN'!$A$5:$A$504,0))))</f>
        <v/>
      </c>
      <c r="Q122" s="0" t="str">
        <f aca="false">IF(A122="","",IF(COUNTIFS('TRANSAKSI PENJUALAN'!$A$5:$A$504,A122)=0,"BELUM ADA",INDEX('TRANSAKSI PENJUALAN'!$M$5:$M$504,MATCH(A122,'TRANSAKSI PENJUALAN'!$A$5:$A$504,0))))</f>
        <v/>
      </c>
      <c r="R122" s="24" t="str">
        <f aca="false">IF(A122="","",COUNTIF($A$5:A122,A122))</f>
        <v/>
      </c>
      <c r="S122" s="24" t="str">
        <f aca="false">IF(A122="","",A122&amp;"|"&amp;R122)</f>
        <v/>
      </c>
    </row>
    <row r="123" customFormat="false" ht="15" hidden="false" customHeight="false" outlineLevel="0" collapsed="false">
      <c r="C123" s="0" t="str">
        <f aca="false">IF(B123="","",IF(COUNTIFS('MASTER MENU'!$A$5:$A$504,B123)=0,"BELUM ADA",INDEX('MASTER MENU'!$B$5:$B$504,MATCH(B123,'MASTER MENU'!$A$5:$A$504,0))))</f>
        <v/>
      </c>
      <c r="D123" s="0" t="str">
        <f aca="false">IF(B123="","",IF(COUNTIFS('MASTER MENU'!$A$5:$A$504,B123)=0,"BELUM ADA",INDEX('MASTER MENU'!$E$5:$E$504,MATCH(B123,'MASTER MENU'!$A$5:$A$504,0))))</f>
        <v/>
      </c>
      <c r="F123" s="0" t="str">
        <f aca="false">IF(B123="","",IF(COUNTIFS('MASTER MENU'!$A$5:$A$504,B123)=0,"BELUM ADA",INDEX('MASTER MENU'!$F$5:$F$504,MATCH(B123,'MASTER MENU'!$A$5:$A$504,0))))</f>
        <v/>
      </c>
      <c r="G123" s="0" t="str">
        <f aca="false">IF(A123="","",IF(OR(NOT(ISNUMBER(E123)),NOT(ISNUMBER(F123))),"BELUM LENGKAP",ROUND(E123*F123,0)))</f>
        <v/>
      </c>
      <c r="J123" s="0" t="str">
        <f aca="false">IF(A123="","",IF(NOT(ISNUMBER(G123)),"BELUM LENGKAP",G123-H123-I123))</f>
        <v/>
      </c>
      <c r="L123" s="0" t="str">
        <f aca="false">IF(A123="","",IF(NOT(ISNUMBER(K123)),"ISI SNAPSHOT HPP",ROUND(E123*K123,0)))</f>
        <v/>
      </c>
      <c r="M123" s="0" t="str">
        <f aca="false">IF(A123="","",IF(NOT(ISNUMBER(L123)),"BELUM LENGKAP",J123-L123))</f>
        <v/>
      </c>
      <c r="N123" s="0" t="str">
        <f aca="false">IF(B123="","",IF(COUNTIFS('RESEP DAN HPP'!$A$5:$A$504,B123,'RESEP DAN HPP'!$N$5:$N$504,"LENGKAP")=0,"BELUM LENGKAP",INDEX('RESEP DAN HPP'!$J$5:$J$504,MATCH(B123,'RESEP DAN HPP'!$A$5:$A$504,0))))</f>
        <v/>
      </c>
      <c r="P123" s="0" t="str">
        <f aca="false">IF(A123="","",IF(COUNTIFS('TRANSAKSI PENJUALAN'!$A$5:$A$504,A123)=0,"BELUM ADA",INDEX('TRANSAKSI PENJUALAN'!$B$5:$B$504,MATCH(A123,'TRANSAKSI PENJUALAN'!$A$5:$A$504,0))))</f>
        <v/>
      </c>
      <c r="Q123" s="0" t="str">
        <f aca="false">IF(A123="","",IF(COUNTIFS('TRANSAKSI PENJUALAN'!$A$5:$A$504,A123)=0,"BELUM ADA",INDEX('TRANSAKSI PENJUALAN'!$M$5:$M$504,MATCH(A123,'TRANSAKSI PENJUALAN'!$A$5:$A$504,0))))</f>
        <v/>
      </c>
      <c r="R123" s="24" t="str">
        <f aca="false">IF(A123="","",COUNTIF($A$5:A123,A123))</f>
        <v/>
      </c>
      <c r="S123" s="24" t="str">
        <f aca="false">IF(A123="","",A123&amp;"|"&amp;R123)</f>
        <v/>
      </c>
    </row>
    <row r="124" customFormat="false" ht="15" hidden="false" customHeight="false" outlineLevel="0" collapsed="false">
      <c r="C124" s="0" t="str">
        <f aca="false">IF(B124="","",IF(COUNTIFS('MASTER MENU'!$A$5:$A$504,B124)=0,"BELUM ADA",INDEX('MASTER MENU'!$B$5:$B$504,MATCH(B124,'MASTER MENU'!$A$5:$A$504,0))))</f>
        <v/>
      </c>
      <c r="D124" s="0" t="str">
        <f aca="false">IF(B124="","",IF(COUNTIFS('MASTER MENU'!$A$5:$A$504,B124)=0,"BELUM ADA",INDEX('MASTER MENU'!$E$5:$E$504,MATCH(B124,'MASTER MENU'!$A$5:$A$504,0))))</f>
        <v/>
      </c>
      <c r="F124" s="0" t="str">
        <f aca="false">IF(B124="","",IF(COUNTIFS('MASTER MENU'!$A$5:$A$504,B124)=0,"BELUM ADA",INDEX('MASTER MENU'!$F$5:$F$504,MATCH(B124,'MASTER MENU'!$A$5:$A$504,0))))</f>
        <v/>
      </c>
      <c r="G124" s="0" t="str">
        <f aca="false">IF(A124="","",IF(OR(NOT(ISNUMBER(E124)),NOT(ISNUMBER(F124))),"BELUM LENGKAP",ROUND(E124*F124,0)))</f>
        <v/>
      </c>
      <c r="J124" s="0" t="str">
        <f aca="false">IF(A124="","",IF(NOT(ISNUMBER(G124)),"BELUM LENGKAP",G124-H124-I124))</f>
        <v/>
      </c>
      <c r="L124" s="0" t="str">
        <f aca="false">IF(A124="","",IF(NOT(ISNUMBER(K124)),"ISI SNAPSHOT HPP",ROUND(E124*K124,0)))</f>
        <v/>
      </c>
      <c r="M124" s="0" t="str">
        <f aca="false">IF(A124="","",IF(NOT(ISNUMBER(L124)),"BELUM LENGKAP",J124-L124))</f>
        <v/>
      </c>
      <c r="N124" s="0" t="str">
        <f aca="false">IF(B124="","",IF(COUNTIFS('RESEP DAN HPP'!$A$5:$A$504,B124,'RESEP DAN HPP'!$N$5:$N$504,"LENGKAP")=0,"BELUM LENGKAP",INDEX('RESEP DAN HPP'!$J$5:$J$504,MATCH(B124,'RESEP DAN HPP'!$A$5:$A$504,0))))</f>
        <v/>
      </c>
      <c r="P124" s="0" t="str">
        <f aca="false">IF(A124="","",IF(COUNTIFS('TRANSAKSI PENJUALAN'!$A$5:$A$504,A124)=0,"BELUM ADA",INDEX('TRANSAKSI PENJUALAN'!$B$5:$B$504,MATCH(A124,'TRANSAKSI PENJUALAN'!$A$5:$A$504,0))))</f>
        <v/>
      </c>
      <c r="Q124" s="0" t="str">
        <f aca="false">IF(A124="","",IF(COUNTIFS('TRANSAKSI PENJUALAN'!$A$5:$A$504,A124)=0,"BELUM ADA",INDEX('TRANSAKSI PENJUALAN'!$M$5:$M$504,MATCH(A124,'TRANSAKSI PENJUALAN'!$A$5:$A$504,0))))</f>
        <v/>
      </c>
      <c r="R124" s="24" t="str">
        <f aca="false">IF(A124="","",COUNTIF($A$5:A124,A124))</f>
        <v/>
      </c>
      <c r="S124" s="24" t="str">
        <f aca="false">IF(A124="","",A124&amp;"|"&amp;R124)</f>
        <v/>
      </c>
    </row>
    <row r="125" customFormat="false" ht="15" hidden="false" customHeight="false" outlineLevel="0" collapsed="false">
      <c r="C125" s="0" t="str">
        <f aca="false">IF(B125="","",IF(COUNTIFS('MASTER MENU'!$A$5:$A$504,B125)=0,"BELUM ADA",INDEX('MASTER MENU'!$B$5:$B$504,MATCH(B125,'MASTER MENU'!$A$5:$A$504,0))))</f>
        <v/>
      </c>
      <c r="D125" s="0" t="str">
        <f aca="false">IF(B125="","",IF(COUNTIFS('MASTER MENU'!$A$5:$A$504,B125)=0,"BELUM ADA",INDEX('MASTER MENU'!$E$5:$E$504,MATCH(B125,'MASTER MENU'!$A$5:$A$504,0))))</f>
        <v/>
      </c>
      <c r="F125" s="0" t="str">
        <f aca="false">IF(B125="","",IF(COUNTIFS('MASTER MENU'!$A$5:$A$504,B125)=0,"BELUM ADA",INDEX('MASTER MENU'!$F$5:$F$504,MATCH(B125,'MASTER MENU'!$A$5:$A$504,0))))</f>
        <v/>
      </c>
      <c r="G125" s="0" t="str">
        <f aca="false">IF(A125="","",IF(OR(NOT(ISNUMBER(E125)),NOT(ISNUMBER(F125))),"BELUM LENGKAP",ROUND(E125*F125,0)))</f>
        <v/>
      </c>
      <c r="J125" s="0" t="str">
        <f aca="false">IF(A125="","",IF(NOT(ISNUMBER(G125)),"BELUM LENGKAP",G125-H125-I125))</f>
        <v/>
      </c>
      <c r="L125" s="0" t="str">
        <f aca="false">IF(A125="","",IF(NOT(ISNUMBER(K125)),"ISI SNAPSHOT HPP",ROUND(E125*K125,0)))</f>
        <v/>
      </c>
      <c r="M125" s="0" t="str">
        <f aca="false">IF(A125="","",IF(NOT(ISNUMBER(L125)),"BELUM LENGKAP",J125-L125))</f>
        <v/>
      </c>
      <c r="N125" s="0" t="str">
        <f aca="false">IF(B125="","",IF(COUNTIFS('RESEP DAN HPP'!$A$5:$A$504,B125,'RESEP DAN HPP'!$N$5:$N$504,"LENGKAP")=0,"BELUM LENGKAP",INDEX('RESEP DAN HPP'!$J$5:$J$504,MATCH(B125,'RESEP DAN HPP'!$A$5:$A$504,0))))</f>
        <v/>
      </c>
      <c r="P125" s="0" t="str">
        <f aca="false">IF(A125="","",IF(COUNTIFS('TRANSAKSI PENJUALAN'!$A$5:$A$504,A125)=0,"BELUM ADA",INDEX('TRANSAKSI PENJUALAN'!$B$5:$B$504,MATCH(A125,'TRANSAKSI PENJUALAN'!$A$5:$A$504,0))))</f>
        <v/>
      </c>
      <c r="Q125" s="0" t="str">
        <f aca="false">IF(A125="","",IF(COUNTIFS('TRANSAKSI PENJUALAN'!$A$5:$A$504,A125)=0,"BELUM ADA",INDEX('TRANSAKSI PENJUALAN'!$M$5:$M$504,MATCH(A125,'TRANSAKSI PENJUALAN'!$A$5:$A$504,0))))</f>
        <v/>
      </c>
      <c r="R125" s="24" t="str">
        <f aca="false">IF(A125="","",COUNTIF($A$5:A125,A125))</f>
        <v/>
      </c>
      <c r="S125" s="24" t="str">
        <f aca="false">IF(A125="","",A125&amp;"|"&amp;R125)</f>
        <v/>
      </c>
    </row>
    <row r="126" customFormat="false" ht="15" hidden="false" customHeight="false" outlineLevel="0" collapsed="false">
      <c r="C126" s="0" t="str">
        <f aca="false">IF(B126="","",IF(COUNTIFS('MASTER MENU'!$A$5:$A$504,B126)=0,"BELUM ADA",INDEX('MASTER MENU'!$B$5:$B$504,MATCH(B126,'MASTER MENU'!$A$5:$A$504,0))))</f>
        <v/>
      </c>
      <c r="D126" s="0" t="str">
        <f aca="false">IF(B126="","",IF(COUNTIFS('MASTER MENU'!$A$5:$A$504,B126)=0,"BELUM ADA",INDEX('MASTER MENU'!$E$5:$E$504,MATCH(B126,'MASTER MENU'!$A$5:$A$504,0))))</f>
        <v/>
      </c>
      <c r="F126" s="0" t="str">
        <f aca="false">IF(B126="","",IF(COUNTIFS('MASTER MENU'!$A$5:$A$504,B126)=0,"BELUM ADA",INDEX('MASTER MENU'!$F$5:$F$504,MATCH(B126,'MASTER MENU'!$A$5:$A$504,0))))</f>
        <v/>
      </c>
      <c r="G126" s="0" t="str">
        <f aca="false">IF(A126="","",IF(OR(NOT(ISNUMBER(E126)),NOT(ISNUMBER(F126))),"BELUM LENGKAP",ROUND(E126*F126,0)))</f>
        <v/>
      </c>
      <c r="J126" s="0" t="str">
        <f aca="false">IF(A126="","",IF(NOT(ISNUMBER(G126)),"BELUM LENGKAP",G126-H126-I126))</f>
        <v/>
      </c>
      <c r="L126" s="0" t="str">
        <f aca="false">IF(A126="","",IF(NOT(ISNUMBER(K126)),"ISI SNAPSHOT HPP",ROUND(E126*K126,0)))</f>
        <v/>
      </c>
      <c r="M126" s="0" t="str">
        <f aca="false">IF(A126="","",IF(NOT(ISNUMBER(L126)),"BELUM LENGKAP",J126-L126))</f>
        <v/>
      </c>
      <c r="N126" s="0" t="str">
        <f aca="false">IF(B126="","",IF(COUNTIFS('RESEP DAN HPP'!$A$5:$A$504,B126,'RESEP DAN HPP'!$N$5:$N$504,"LENGKAP")=0,"BELUM LENGKAP",INDEX('RESEP DAN HPP'!$J$5:$J$504,MATCH(B126,'RESEP DAN HPP'!$A$5:$A$504,0))))</f>
        <v/>
      </c>
      <c r="P126" s="0" t="str">
        <f aca="false">IF(A126="","",IF(COUNTIFS('TRANSAKSI PENJUALAN'!$A$5:$A$504,A126)=0,"BELUM ADA",INDEX('TRANSAKSI PENJUALAN'!$B$5:$B$504,MATCH(A126,'TRANSAKSI PENJUALAN'!$A$5:$A$504,0))))</f>
        <v/>
      </c>
      <c r="Q126" s="0" t="str">
        <f aca="false">IF(A126="","",IF(COUNTIFS('TRANSAKSI PENJUALAN'!$A$5:$A$504,A126)=0,"BELUM ADA",INDEX('TRANSAKSI PENJUALAN'!$M$5:$M$504,MATCH(A126,'TRANSAKSI PENJUALAN'!$A$5:$A$504,0))))</f>
        <v/>
      </c>
      <c r="R126" s="24" t="str">
        <f aca="false">IF(A126="","",COUNTIF($A$5:A126,A126))</f>
        <v/>
      </c>
      <c r="S126" s="24" t="str">
        <f aca="false">IF(A126="","",A126&amp;"|"&amp;R126)</f>
        <v/>
      </c>
    </row>
    <row r="127" customFormat="false" ht="15" hidden="false" customHeight="false" outlineLevel="0" collapsed="false">
      <c r="C127" s="0" t="str">
        <f aca="false">IF(B127="","",IF(COUNTIFS('MASTER MENU'!$A$5:$A$504,B127)=0,"BELUM ADA",INDEX('MASTER MENU'!$B$5:$B$504,MATCH(B127,'MASTER MENU'!$A$5:$A$504,0))))</f>
        <v/>
      </c>
      <c r="D127" s="0" t="str">
        <f aca="false">IF(B127="","",IF(COUNTIFS('MASTER MENU'!$A$5:$A$504,B127)=0,"BELUM ADA",INDEX('MASTER MENU'!$E$5:$E$504,MATCH(B127,'MASTER MENU'!$A$5:$A$504,0))))</f>
        <v/>
      </c>
      <c r="F127" s="0" t="str">
        <f aca="false">IF(B127="","",IF(COUNTIFS('MASTER MENU'!$A$5:$A$504,B127)=0,"BELUM ADA",INDEX('MASTER MENU'!$F$5:$F$504,MATCH(B127,'MASTER MENU'!$A$5:$A$504,0))))</f>
        <v/>
      </c>
      <c r="G127" s="0" t="str">
        <f aca="false">IF(A127="","",IF(OR(NOT(ISNUMBER(E127)),NOT(ISNUMBER(F127))),"BELUM LENGKAP",ROUND(E127*F127,0)))</f>
        <v/>
      </c>
      <c r="J127" s="0" t="str">
        <f aca="false">IF(A127="","",IF(NOT(ISNUMBER(G127)),"BELUM LENGKAP",G127-H127-I127))</f>
        <v/>
      </c>
      <c r="L127" s="0" t="str">
        <f aca="false">IF(A127="","",IF(NOT(ISNUMBER(K127)),"ISI SNAPSHOT HPP",ROUND(E127*K127,0)))</f>
        <v/>
      </c>
      <c r="M127" s="0" t="str">
        <f aca="false">IF(A127="","",IF(NOT(ISNUMBER(L127)),"BELUM LENGKAP",J127-L127))</f>
        <v/>
      </c>
      <c r="N127" s="0" t="str">
        <f aca="false">IF(B127="","",IF(COUNTIFS('RESEP DAN HPP'!$A$5:$A$504,B127,'RESEP DAN HPP'!$N$5:$N$504,"LENGKAP")=0,"BELUM LENGKAP",INDEX('RESEP DAN HPP'!$J$5:$J$504,MATCH(B127,'RESEP DAN HPP'!$A$5:$A$504,0))))</f>
        <v/>
      </c>
      <c r="P127" s="0" t="str">
        <f aca="false">IF(A127="","",IF(COUNTIFS('TRANSAKSI PENJUALAN'!$A$5:$A$504,A127)=0,"BELUM ADA",INDEX('TRANSAKSI PENJUALAN'!$B$5:$B$504,MATCH(A127,'TRANSAKSI PENJUALAN'!$A$5:$A$504,0))))</f>
        <v/>
      </c>
      <c r="Q127" s="0" t="str">
        <f aca="false">IF(A127="","",IF(COUNTIFS('TRANSAKSI PENJUALAN'!$A$5:$A$504,A127)=0,"BELUM ADA",INDEX('TRANSAKSI PENJUALAN'!$M$5:$M$504,MATCH(A127,'TRANSAKSI PENJUALAN'!$A$5:$A$504,0))))</f>
        <v/>
      </c>
      <c r="R127" s="24" t="str">
        <f aca="false">IF(A127="","",COUNTIF($A$5:A127,A127))</f>
        <v/>
      </c>
      <c r="S127" s="24" t="str">
        <f aca="false">IF(A127="","",A127&amp;"|"&amp;R127)</f>
        <v/>
      </c>
    </row>
    <row r="128" customFormat="false" ht="15" hidden="false" customHeight="false" outlineLevel="0" collapsed="false">
      <c r="C128" s="0" t="str">
        <f aca="false">IF(B128="","",IF(COUNTIFS('MASTER MENU'!$A$5:$A$504,B128)=0,"BELUM ADA",INDEX('MASTER MENU'!$B$5:$B$504,MATCH(B128,'MASTER MENU'!$A$5:$A$504,0))))</f>
        <v/>
      </c>
      <c r="D128" s="0" t="str">
        <f aca="false">IF(B128="","",IF(COUNTIFS('MASTER MENU'!$A$5:$A$504,B128)=0,"BELUM ADA",INDEX('MASTER MENU'!$E$5:$E$504,MATCH(B128,'MASTER MENU'!$A$5:$A$504,0))))</f>
        <v/>
      </c>
      <c r="F128" s="0" t="str">
        <f aca="false">IF(B128="","",IF(COUNTIFS('MASTER MENU'!$A$5:$A$504,B128)=0,"BELUM ADA",INDEX('MASTER MENU'!$F$5:$F$504,MATCH(B128,'MASTER MENU'!$A$5:$A$504,0))))</f>
        <v/>
      </c>
      <c r="G128" s="0" t="str">
        <f aca="false">IF(A128="","",IF(OR(NOT(ISNUMBER(E128)),NOT(ISNUMBER(F128))),"BELUM LENGKAP",ROUND(E128*F128,0)))</f>
        <v/>
      </c>
      <c r="J128" s="0" t="str">
        <f aca="false">IF(A128="","",IF(NOT(ISNUMBER(G128)),"BELUM LENGKAP",G128-H128-I128))</f>
        <v/>
      </c>
      <c r="L128" s="0" t="str">
        <f aca="false">IF(A128="","",IF(NOT(ISNUMBER(K128)),"ISI SNAPSHOT HPP",ROUND(E128*K128,0)))</f>
        <v/>
      </c>
      <c r="M128" s="0" t="str">
        <f aca="false">IF(A128="","",IF(NOT(ISNUMBER(L128)),"BELUM LENGKAP",J128-L128))</f>
        <v/>
      </c>
      <c r="N128" s="0" t="str">
        <f aca="false">IF(B128="","",IF(COUNTIFS('RESEP DAN HPP'!$A$5:$A$504,B128,'RESEP DAN HPP'!$N$5:$N$504,"LENGKAP")=0,"BELUM LENGKAP",INDEX('RESEP DAN HPP'!$J$5:$J$504,MATCH(B128,'RESEP DAN HPP'!$A$5:$A$504,0))))</f>
        <v/>
      </c>
      <c r="P128" s="0" t="str">
        <f aca="false">IF(A128="","",IF(COUNTIFS('TRANSAKSI PENJUALAN'!$A$5:$A$504,A128)=0,"BELUM ADA",INDEX('TRANSAKSI PENJUALAN'!$B$5:$B$504,MATCH(A128,'TRANSAKSI PENJUALAN'!$A$5:$A$504,0))))</f>
        <v/>
      </c>
      <c r="Q128" s="0" t="str">
        <f aca="false">IF(A128="","",IF(COUNTIFS('TRANSAKSI PENJUALAN'!$A$5:$A$504,A128)=0,"BELUM ADA",INDEX('TRANSAKSI PENJUALAN'!$M$5:$M$504,MATCH(A128,'TRANSAKSI PENJUALAN'!$A$5:$A$504,0))))</f>
        <v/>
      </c>
      <c r="R128" s="24" t="str">
        <f aca="false">IF(A128="","",COUNTIF($A$5:A128,A128))</f>
        <v/>
      </c>
      <c r="S128" s="24" t="str">
        <f aca="false">IF(A128="","",A128&amp;"|"&amp;R128)</f>
        <v/>
      </c>
    </row>
    <row r="129" customFormat="false" ht="15" hidden="false" customHeight="false" outlineLevel="0" collapsed="false">
      <c r="C129" s="0" t="str">
        <f aca="false">IF(B129="","",IF(COUNTIFS('MASTER MENU'!$A$5:$A$504,B129)=0,"BELUM ADA",INDEX('MASTER MENU'!$B$5:$B$504,MATCH(B129,'MASTER MENU'!$A$5:$A$504,0))))</f>
        <v/>
      </c>
      <c r="D129" s="0" t="str">
        <f aca="false">IF(B129="","",IF(COUNTIFS('MASTER MENU'!$A$5:$A$504,B129)=0,"BELUM ADA",INDEX('MASTER MENU'!$E$5:$E$504,MATCH(B129,'MASTER MENU'!$A$5:$A$504,0))))</f>
        <v/>
      </c>
      <c r="F129" s="0" t="str">
        <f aca="false">IF(B129="","",IF(COUNTIFS('MASTER MENU'!$A$5:$A$504,B129)=0,"BELUM ADA",INDEX('MASTER MENU'!$F$5:$F$504,MATCH(B129,'MASTER MENU'!$A$5:$A$504,0))))</f>
        <v/>
      </c>
      <c r="G129" s="0" t="str">
        <f aca="false">IF(A129="","",IF(OR(NOT(ISNUMBER(E129)),NOT(ISNUMBER(F129))),"BELUM LENGKAP",ROUND(E129*F129,0)))</f>
        <v/>
      </c>
      <c r="J129" s="0" t="str">
        <f aca="false">IF(A129="","",IF(NOT(ISNUMBER(G129)),"BELUM LENGKAP",G129-H129-I129))</f>
        <v/>
      </c>
      <c r="L129" s="0" t="str">
        <f aca="false">IF(A129="","",IF(NOT(ISNUMBER(K129)),"ISI SNAPSHOT HPP",ROUND(E129*K129,0)))</f>
        <v/>
      </c>
      <c r="M129" s="0" t="str">
        <f aca="false">IF(A129="","",IF(NOT(ISNUMBER(L129)),"BELUM LENGKAP",J129-L129))</f>
        <v/>
      </c>
      <c r="N129" s="0" t="str">
        <f aca="false">IF(B129="","",IF(COUNTIFS('RESEP DAN HPP'!$A$5:$A$504,B129,'RESEP DAN HPP'!$N$5:$N$504,"LENGKAP")=0,"BELUM LENGKAP",INDEX('RESEP DAN HPP'!$J$5:$J$504,MATCH(B129,'RESEP DAN HPP'!$A$5:$A$504,0))))</f>
        <v/>
      </c>
      <c r="P129" s="0" t="str">
        <f aca="false">IF(A129="","",IF(COUNTIFS('TRANSAKSI PENJUALAN'!$A$5:$A$504,A129)=0,"BELUM ADA",INDEX('TRANSAKSI PENJUALAN'!$B$5:$B$504,MATCH(A129,'TRANSAKSI PENJUALAN'!$A$5:$A$504,0))))</f>
        <v/>
      </c>
      <c r="Q129" s="0" t="str">
        <f aca="false">IF(A129="","",IF(COUNTIFS('TRANSAKSI PENJUALAN'!$A$5:$A$504,A129)=0,"BELUM ADA",INDEX('TRANSAKSI PENJUALAN'!$M$5:$M$504,MATCH(A129,'TRANSAKSI PENJUALAN'!$A$5:$A$504,0))))</f>
        <v/>
      </c>
      <c r="R129" s="24" t="str">
        <f aca="false">IF(A129="","",COUNTIF($A$5:A129,A129))</f>
        <v/>
      </c>
      <c r="S129" s="24" t="str">
        <f aca="false">IF(A129="","",A129&amp;"|"&amp;R129)</f>
        <v/>
      </c>
    </row>
    <row r="130" customFormat="false" ht="15" hidden="false" customHeight="false" outlineLevel="0" collapsed="false">
      <c r="C130" s="0" t="str">
        <f aca="false">IF(B130="","",IF(COUNTIFS('MASTER MENU'!$A$5:$A$504,B130)=0,"BELUM ADA",INDEX('MASTER MENU'!$B$5:$B$504,MATCH(B130,'MASTER MENU'!$A$5:$A$504,0))))</f>
        <v/>
      </c>
      <c r="D130" s="0" t="str">
        <f aca="false">IF(B130="","",IF(COUNTIFS('MASTER MENU'!$A$5:$A$504,B130)=0,"BELUM ADA",INDEX('MASTER MENU'!$E$5:$E$504,MATCH(B130,'MASTER MENU'!$A$5:$A$504,0))))</f>
        <v/>
      </c>
      <c r="F130" s="0" t="str">
        <f aca="false">IF(B130="","",IF(COUNTIFS('MASTER MENU'!$A$5:$A$504,B130)=0,"BELUM ADA",INDEX('MASTER MENU'!$F$5:$F$504,MATCH(B130,'MASTER MENU'!$A$5:$A$504,0))))</f>
        <v/>
      </c>
      <c r="G130" s="0" t="str">
        <f aca="false">IF(A130="","",IF(OR(NOT(ISNUMBER(E130)),NOT(ISNUMBER(F130))),"BELUM LENGKAP",ROUND(E130*F130,0)))</f>
        <v/>
      </c>
      <c r="J130" s="0" t="str">
        <f aca="false">IF(A130="","",IF(NOT(ISNUMBER(G130)),"BELUM LENGKAP",G130-H130-I130))</f>
        <v/>
      </c>
      <c r="L130" s="0" t="str">
        <f aca="false">IF(A130="","",IF(NOT(ISNUMBER(K130)),"ISI SNAPSHOT HPP",ROUND(E130*K130,0)))</f>
        <v/>
      </c>
      <c r="M130" s="0" t="str">
        <f aca="false">IF(A130="","",IF(NOT(ISNUMBER(L130)),"BELUM LENGKAP",J130-L130))</f>
        <v/>
      </c>
      <c r="N130" s="0" t="str">
        <f aca="false">IF(B130="","",IF(COUNTIFS('RESEP DAN HPP'!$A$5:$A$504,B130,'RESEP DAN HPP'!$N$5:$N$504,"LENGKAP")=0,"BELUM LENGKAP",INDEX('RESEP DAN HPP'!$J$5:$J$504,MATCH(B130,'RESEP DAN HPP'!$A$5:$A$504,0))))</f>
        <v/>
      </c>
      <c r="P130" s="0" t="str">
        <f aca="false">IF(A130="","",IF(COUNTIFS('TRANSAKSI PENJUALAN'!$A$5:$A$504,A130)=0,"BELUM ADA",INDEX('TRANSAKSI PENJUALAN'!$B$5:$B$504,MATCH(A130,'TRANSAKSI PENJUALAN'!$A$5:$A$504,0))))</f>
        <v/>
      </c>
      <c r="Q130" s="0" t="str">
        <f aca="false">IF(A130="","",IF(COUNTIFS('TRANSAKSI PENJUALAN'!$A$5:$A$504,A130)=0,"BELUM ADA",INDEX('TRANSAKSI PENJUALAN'!$M$5:$M$504,MATCH(A130,'TRANSAKSI PENJUALAN'!$A$5:$A$504,0))))</f>
        <v/>
      </c>
      <c r="R130" s="24" t="str">
        <f aca="false">IF(A130="","",COUNTIF($A$5:A130,A130))</f>
        <v/>
      </c>
      <c r="S130" s="24" t="str">
        <f aca="false">IF(A130="","",A130&amp;"|"&amp;R130)</f>
        <v/>
      </c>
    </row>
    <row r="131" customFormat="false" ht="15" hidden="false" customHeight="false" outlineLevel="0" collapsed="false">
      <c r="C131" s="0" t="str">
        <f aca="false">IF(B131="","",IF(COUNTIFS('MASTER MENU'!$A$5:$A$504,B131)=0,"BELUM ADA",INDEX('MASTER MENU'!$B$5:$B$504,MATCH(B131,'MASTER MENU'!$A$5:$A$504,0))))</f>
        <v/>
      </c>
      <c r="D131" s="0" t="str">
        <f aca="false">IF(B131="","",IF(COUNTIFS('MASTER MENU'!$A$5:$A$504,B131)=0,"BELUM ADA",INDEX('MASTER MENU'!$E$5:$E$504,MATCH(B131,'MASTER MENU'!$A$5:$A$504,0))))</f>
        <v/>
      </c>
      <c r="F131" s="0" t="str">
        <f aca="false">IF(B131="","",IF(COUNTIFS('MASTER MENU'!$A$5:$A$504,B131)=0,"BELUM ADA",INDEX('MASTER MENU'!$F$5:$F$504,MATCH(B131,'MASTER MENU'!$A$5:$A$504,0))))</f>
        <v/>
      </c>
      <c r="G131" s="0" t="str">
        <f aca="false">IF(A131="","",IF(OR(NOT(ISNUMBER(E131)),NOT(ISNUMBER(F131))),"BELUM LENGKAP",ROUND(E131*F131,0)))</f>
        <v/>
      </c>
      <c r="J131" s="0" t="str">
        <f aca="false">IF(A131="","",IF(NOT(ISNUMBER(G131)),"BELUM LENGKAP",G131-H131-I131))</f>
        <v/>
      </c>
      <c r="L131" s="0" t="str">
        <f aca="false">IF(A131="","",IF(NOT(ISNUMBER(K131)),"ISI SNAPSHOT HPP",ROUND(E131*K131,0)))</f>
        <v/>
      </c>
      <c r="M131" s="0" t="str">
        <f aca="false">IF(A131="","",IF(NOT(ISNUMBER(L131)),"BELUM LENGKAP",J131-L131))</f>
        <v/>
      </c>
      <c r="N131" s="0" t="str">
        <f aca="false">IF(B131="","",IF(COUNTIFS('RESEP DAN HPP'!$A$5:$A$504,B131,'RESEP DAN HPP'!$N$5:$N$504,"LENGKAP")=0,"BELUM LENGKAP",INDEX('RESEP DAN HPP'!$J$5:$J$504,MATCH(B131,'RESEP DAN HPP'!$A$5:$A$504,0))))</f>
        <v/>
      </c>
      <c r="P131" s="0" t="str">
        <f aca="false">IF(A131="","",IF(COUNTIFS('TRANSAKSI PENJUALAN'!$A$5:$A$504,A131)=0,"BELUM ADA",INDEX('TRANSAKSI PENJUALAN'!$B$5:$B$504,MATCH(A131,'TRANSAKSI PENJUALAN'!$A$5:$A$504,0))))</f>
        <v/>
      </c>
      <c r="Q131" s="0" t="str">
        <f aca="false">IF(A131="","",IF(COUNTIFS('TRANSAKSI PENJUALAN'!$A$5:$A$504,A131)=0,"BELUM ADA",INDEX('TRANSAKSI PENJUALAN'!$M$5:$M$504,MATCH(A131,'TRANSAKSI PENJUALAN'!$A$5:$A$504,0))))</f>
        <v/>
      </c>
      <c r="R131" s="24" t="str">
        <f aca="false">IF(A131="","",COUNTIF($A$5:A131,A131))</f>
        <v/>
      </c>
      <c r="S131" s="24" t="str">
        <f aca="false">IF(A131="","",A131&amp;"|"&amp;R131)</f>
        <v/>
      </c>
    </row>
    <row r="132" customFormat="false" ht="15" hidden="false" customHeight="false" outlineLevel="0" collapsed="false">
      <c r="C132" s="0" t="str">
        <f aca="false">IF(B132="","",IF(COUNTIFS('MASTER MENU'!$A$5:$A$504,B132)=0,"BELUM ADA",INDEX('MASTER MENU'!$B$5:$B$504,MATCH(B132,'MASTER MENU'!$A$5:$A$504,0))))</f>
        <v/>
      </c>
      <c r="D132" s="0" t="str">
        <f aca="false">IF(B132="","",IF(COUNTIFS('MASTER MENU'!$A$5:$A$504,B132)=0,"BELUM ADA",INDEX('MASTER MENU'!$E$5:$E$504,MATCH(B132,'MASTER MENU'!$A$5:$A$504,0))))</f>
        <v/>
      </c>
      <c r="F132" s="0" t="str">
        <f aca="false">IF(B132="","",IF(COUNTIFS('MASTER MENU'!$A$5:$A$504,B132)=0,"BELUM ADA",INDEX('MASTER MENU'!$F$5:$F$504,MATCH(B132,'MASTER MENU'!$A$5:$A$504,0))))</f>
        <v/>
      </c>
      <c r="G132" s="0" t="str">
        <f aca="false">IF(A132="","",IF(OR(NOT(ISNUMBER(E132)),NOT(ISNUMBER(F132))),"BELUM LENGKAP",ROUND(E132*F132,0)))</f>
        <v/>
      </c>
      <c r="J132" s="0" t="str">
        <f aca="false">IF(A132="","",IF(NOT(ISNUMBER(G132)),"BELUM LENGKAP",G132-H132-I132))</f>
        <v/>
      </c>
      <c r="L132" s="0" t="str">
        <f aca="false">IF(A132="","",IF(NOT(ISNUMBER(K132)),"ISI SNAPSHOT HPP",ROUND(E132*K132,0)))</f>
        <v/>
      </c>
      <c r="M132" s="0" t="str">
        <f aca="false">IF(A132="","",IF(NOT(ISNUMBER(L132)),"BELUM LENGKAP",J132-L132))</f>
        <v/>
      </c>
      <c r="N132" s="0" t="str">
        <f aca="false">IF(B132="","",IF(COUNTIFS('RESEP DAN HPP'!$A$5:$A$504,B132,'RESEP DAN HPP'!$N$5:$N$504,"LENGKAP")=0,"BELUM LENGKAP",INDEX('RESEP DAN HPP'!$J$5:$J$504,MATCH(B132,'RESEP DAN HPP'!$A$5:$A$504,0))))</f>
        <v/>
      </c>
      <c r="P132" s="0" t="str">
        <f aca="false">IF(A132="","",IF(COUNTIFS('TRANSAKSI PENJUALAN'!$A$5:$A$504,A132)=0,"BELUM ADA",INDEX('TRANSAKSI PENJUALAN'!$B$5:$B$504,MATCH(A132,'TRANSAKSI PENJUALAN'!$A$5:$A$504,0))))</f>
        <v/>
      </c>
      <c r="Q132" s="0" t="str">
        <f aca="false">IF(A132="","",IF(COUNTIFS('TRANSAKSI PENJUALAN'!$A$5:$A$504,A132)=0,"BELUM ADA",INDEX('TRANSAKSI PENJUALAN'!$M$5:$M$504,MATCH(A132,'TRANSAKSI PENJUALAN'!$A$5:$A$504,0))))</f>
        <v/>
      </c>
      <c r="R132" s="24" t="str">
        <f aca="false">IF(A132="","",COUNTIF($A$5:A132,A132))</f>
        <v/>
      </c>
      <c r="S132" s="24" t="str">
        <f aca="false">IF(A132="","",A132&amp;"|"&amp;R132)</f>
        <v/>
      </c>
    </row>
    <row r="133" customFormat="false" ht="15" hidden="false" customHeight="false" outlineLevel="0" collapsed="false">
      <c r="C133" s="0" t="str">
        <f aca="false">IF(B133="","",IF(COUNTIFS('MASTER MENU'!$A$5:$A$504,B133)=0,"BELUM ADA",INDEX('MASTER MENU'!$B$5:$B$504,MATCH(B133,'MASTER MENU'!$A$5:$A$504,0))))</f>
        <v/>
      </c>
      <c r="D133" s="0" t="str">
        <f aca="false">IF(B133="","",IF(COUNTIFS('MASTER MENU'!$A$5:$A$504,B133)=0,"BELUM ADA",INDEX('MASTER MENU'!$E$5:$E$504,MATCH(B133,'MASTER MENU'!$A$5:$A$504,0))))</f>
        <v/>
      </c>
      <c r="F133" s="0" t="str">
        <f aca="false">IF(B133="","",IF(COUNTIFS('MASTER MENU'!$A$5:$A$504,B133)=0,"BELUM ADA",INDEX('MASTER MENU'!$F$5:$F$504,MATCH(B133,'MASTER MENU'!$A$5:$A$504,0))))</f>
        <v/>
      </c>
      <c r="G133" s="0" t="str">
        <f aca="false">IF(A133="","",IF(OR(NOT(ISNUMBER(E133)),NOT(ISNUMBER(F133))),"BELUM LENGKAP",ROUND(E133*F133,0)))</f>
        <v/>
      </c>
      <c r="J133" s="0" t="str">
        <f aca="false">IF(A133="","",IF(NOT(ISNUMBER(G133)),"BELUM LENGKAP",G133-H133-I133))</f>
        <v/>
      </c>
      <c r="L133" s="0" t="str">
        <f aca="false">IF(A133="","",IF(NOT(ISNUMBER(K133)),"ISI SNAPSHOT HPP",ROUND(E133*K133,0)))</f>
        <v/>
      </c>
      <c r="M133" s="0" t="str">
        <f aca="false">IF(A133="","",IF(NOT(ISNUMBER(L133)),"BELUM LENGKAP",J133-L133))</f>
        <v/>
      </c>
      <c r="N133" s="0" t="str">
        <f aca="false">IF(B133="","",IF(COUNTIFS('RESEP DAN HPP'!$A$5:$A$504,B133,'RESEP DAN HPP'!$N$5:$N$504,"LENGKAP")=0,"BELUM LENGKAP",INDEX('RESEP DAN HPP'!$J$5:$J$504,MATCH(B133,'RESEP DAN HPP'!$A$5:$A$504,0))))</f>
        <v/>
      </c>
      <c r="P133" s="0" t="str">
        <f aca="false">IF(A133="","",IF(COUNTIFS('TRANSAKSI PENJUALAN'!$A$5:$A$504,A133)=0,"BELUM ADA",INDEX('TRANSAKSI PENJUALAN'!$B$5:$B$504,MATCH(A133,'TRANSAKSI PENJUALAN'!$A$5:$A$504,0))))</f>
        <v/>
      </c>
      <c r="Q133" s="0" t="str">
        <f aca="false">IF(A133="","",IF(COUNTIFS('TRANSAKSI PENJUALAN'!$A$5:$A$504,A133)=0,"BELUM ADA",INDEX('TRANSAKSI PENJUALAN'!$M$5:$M$504,MATCH(A133,'TRANSAKSI PENJUALAN'!$A$5:$A$504,0))))</f>
        <v/>
      </c>
      <c r="R133" s="24" t="str">
        <f aca="false">IF(A133="","",COUNTIF($A$5:A133,A133))</f>
        <v/>
      </c>
      <c r="S133" s="24" t="str">
        <f aca="false">IF(A133="","",A133&amp;"|"&amp;R133)</f>
        <v/>
      </c>
    </row>
    <row r="134" customFormat="false" ht="15" hidden="false" customHeight="false" outlineLevel="0" collapsed="false">
      <c r="C134" s="0" t="str">
        <f aca="false">IF(B134="","",IF(COUNTIFS('MASTER MENU'!$A$5:$A$504,B134)=0,"BELUM ADA",INDEX('MASTER MENU'!$B$5:$B$504,MATCH(B134,'MASTER MENU'!$A$5:$A$504,0))))</f>
        <v/>
      </c>
      <c r="D134" s="0" t="str">
        <f aca="false">IF(B134="","",IF(COUNTIFS('MASTER MENU'!$A$5:$A$504,B134)=0,"BELUM ADA",INDEX('MASTER MENU'!$E$5:$E$504,MATCH(B134,'MASTER MENU'!$A$5:$A$504,0))))</f>
        <v/>
      </c>
      <c r="F134" s="0" t="str">
        <f aca="false">IF(B134="","",IF(COUNTIFS('MASTER MENU'!$A$5:$A$504,B134)=0,"BELUM ADA",INDEX('MASTER MENU'!$F$5:$F$504,MATCH(B134,'MASTER MENU'!$A$5:$A$504,0))))</f>
        <v/>
      </c>
      <c r="G134" s="0" t="str">
        <f aca="false">IF(A134="","",IF(OR(NOT(ISNUMBER(E134)),NOT(ISNUMBER(F134))),"BELUM LENGKAP",ROUND(E134*F134,0)))</f>
        <v/>
      </c>
      <c r="J134" s="0" t="str">
        <f aca="false">IF(A134="","",IF(NOT(ISNUMBER(G134)),"BELUM LENGKAP",G134-H134-I134))</f>
        <v/>
      </c>
      <c r="L134" s="0" t="str">
        <f aca="false">IF(A134="","",IF(NOT(ISNUMBER(K134)),"ISI SNAPSHOT HPP",ROUND(E134*K134,0)))</f>
        <v/>
      </c>
      <c r="M134" s="0" t="str">
        <f aca="false">IF(A134="","",IF(NOT(ISNUMBER(L134)),"BELUM LENGKAP",J134-L134))</f>
        <v/>
      </c>
      <c r="N134" s="0" t="str">
        <f aca="false">IF(B134="","",IF(COUNTIFS('RESEP DAN HPP'!$A$5:$A$504,B134,'RESEP DAN HPP'!$N$5:$N$504,"LENGKAP")=0,"BELUM LENGKAP",INDEX('RESEP DAN HPP'!$J$5:$J$504,MATCH(B134,'RESEP DAN HPP'!$A$5:$A$504,0))))</f>
        <v/>
      </c>
      <c r="P134" s="0" t="str">
        <f aca="false">IF(A134="","",IF(COUNTIFS('TRANSAKSI PENJUALAN'!$A$5:$A$504,A134)=0,"BELUM ADA",INDEX('TRANSAKSI PENJUALAN'!$B$5:$B$504,MATCH(A134,'TRANSAKSI PENJUALAN'!$A$5:$A$504,0))))</f>
        <v/>
      </c>
      <c r="Q134" s="0" t="str">
        <f aca="false">IF(A134="","",IF(COUNTIFS('TRANSAKSI PENJUALAN'!$A$5:$A$504,A134)=0,"BELUM ADA",INDEX('TRANSAKSI PENJUALAN'!$M$5:$M$504,MATCH(A134,'TRANSAKSI PENJUALAN'!$A$5:$A$504,0))))</f>
        <v/>
      </c>
      <c r="R134" s="24" t="str">
        <f aca="false">IF(A134="","",COUNTIF($A$5:A134,A134))</f>
        <v/>
      </c>
      <c r="S134" s="24" t="str">
        <f aca="false">IF(A134="","",A134&amp;"|"&amp;R134)</f>
        <v/>
      </c>
    </row>
    <row r="135" customFormat="false" ht="15" hidden="false" customHeight="false" outlineLevel="0" collapsed="false">
      <c r="C135" s="0" t="str">
        <f aca="false">IF(B135="","",IF(COUNTIFS('MASTER MENU'!$A$5:$A$504,B135)=0,"BELUM ADA",INDEX('MASTER MENU'!$B$5:$B$504,MATCH(B135,'MASTER MENU'!$A$5:$A$504,0))))</f>
        <v/>
      </c>
      <c r="D135" s="0" t="str">
        <f aca="false">IF(B135="","",IF(COUNTIFS('MASTER MENU'!$A$5:$A$504,B135)=0,"BELUM ADA",INDEX('MASTER MENU'!$E$5:$E$504,MATCH(B135,'MASTER MENU'!$A$5:$A$504,0))))</f>
        <v/>
      </c>
      <c r="F135" s="0" t="str">
        <f aca="false">IF(B135="","",IF(COUNTIFS('MASTER MENU'!$A$5:$A$504,B135)=0,"BELUM ADA",INDEX('MASTER MENU'!$F$5:$F$504,MATCH(B135,'MASTER MENU'!$A$5:$A$504,0))))</f>
        <v/>
      </c>
      <c r="G135" s="0" t="str">
        <f aca="false">IF(A135="","",IF(OR(NOT(ISNUMBER(E135)),NOT(ISNUMBER(F135))),"BELUM LENGKAP",ROUND(E135*F135,0)))</f>
        <v/>
      </c>
      <c r="J135" s="0" t="str">
        <f aca="false">IF(A135="","",IF(NOT(ISNUMBER(G135)),"BELUM LENGKAP",G135-H135-I135))</f>
        <v/>
      </c>
      <c r="L135" s="0" t="str">
        <f aca="false">IF(A135="","",IF(NOT(ISNUMBER(K135)),"ISI SNAPSHOT HPP",ROUND(E135*K135,0)))</f>
        <v/>
      </c>
      <c r="M135" s="0" t="str">
        <f aca="false">IF(A135="","",IF(NOT(ISNUMBER(L135)),"BELUM LENGKAP",J135-L135))</f>
        <v/>
      </c>
      <c r="N135" s="0" t="str">
        <f aca="false">IF(B135="","",IF(COUNTIFS('RESEP DAN HPP'!$A$5:$A$504,B135,'RESEP DAN HPP'!$N$5:$N$504,"LENGKAP")=0,"BELUM LENGKAP",INDEX('RESEP DAN HPP'!$J$5:$J$504,MATCH(B135,'RESEP DAN HPP'!$A$5:$A$504,0))))</f>
        <v/>
      </c>
      <c r="P135" s="0" t="str">
        <f aca="false">IF(A135="","",IF(COUNTIFS('TRANSAKSI PENJUALAN'!$A$5:$A$504,A135)=0,"BELUM ADA",INDEX('TRANSAKSI PENJUALAN'!$B$5:$B$504,MATCH(A135,'TRANSAKSI PENJUALAN'!$A$5:$A$504,0))))</f>
        <v/>
      </c>
      <c r="Q135" s="0" t="str">
        <f aca="false">IF(A135="","",IF(COUNTIFS('TRANSAKSI PENJUALAN'!$A$5:$A$504,A135)=0,"BELUM ADA",INDEX('TRANSAKSI PENJUALAN'!$M$5:$M$504,MATCH(A135,'TRANSAKSI PENJUALAN'!$A$5:$A$504,0))))</f>
        <v/>
      </c>
      <c r="R135" s="24" t="str">
        <f aca="false">IF(A135="","",COUNTIF($A$5:A135,A135))</f>
        <v/>
      </c>
      <c r="S135" s="24" t="str">
        <f aca="false">IF(A135="","",A135&amp;"|"&amp;R135)</f>
        <v/>
      </c>
    </row>
    <row r="136" customFormat="false" ht="15" hidden="false" customHeight="false" outlineLevel="0" collapsed="false">
      <c r="C136" s="0" t="str">
        <f aca="false">IF(B136="","",IF(COUNTIFS('MASTER MENU'!$A$5:$A$504,B136)=0,"BELUM ADA",INDEX('MASTER MENU'!$B$5:$B$504,MATCH(B136,'MASTER MENU'!$A$5:$A$504,0))))</f>
        <v/>
      </c>
      <c r="D136" s="0" t="str">
        <f aca="false">IF(B136="","",IF(COUNTIFS('MASTER MENU'!$A$5:$A$504,B136)=0,"BELUM ADA",INDEX('MASTER MENU'!$E$5:$E$504,MATCH(B136,'MASTER MENU'!$A$5:$A$504,0))))</f>
        <v/>
      </c>
      <c r="F136" s="0" t="str">
        <f aca="false">IF(B136="","",IF(COUNTIFS('MASTER MENU'!$A$5:$A$504,B136)=0,"BELUM ADA",INDEX('MASTER MENU'!$F$5:$F$504,MATCH(B136,'MASTER MENU'!$A$5:$A$504,0))))</f>
        <v/>
      </c>
      <c r="G136" s="0" t="str">
        <f aca="false">IF(A136="","",IF(OR(NOT(ISNUMBER(E136)),NOT(ISNUMBER(F136))),"BELUM LENGKAP",ROUND(E136*F136,0)))</f>
        <v/>
      </c>
      <c r="J136" s="0" t="str">
        <f aca="false">IF(A136="","",IF(NOT(ISNUMBER(G136)),"BELUM LENGKAP",G136-H136-I136))</f>
        <v/>
      </c>
      <c r="L136" s="0" t="str">
        <f aca="false">IF(A136="","",IF(NOT(ISNUMBER(K136)),"ISI SNAPSHOT HPP",ROUND(E136*K136,0)))</f>
        <v/>
      </c>
      <c r="M136" s="0" t="str">
        <f aca="false">IF(A136="","",IF(NOT(ISNUMBER(L136)),"BELUM LENGKAP",J136-L136))</f>
        <v/>
      </c>
      <c r="N136" s="0" t="str">
        <f aca="false">IF(B136="","",IF(COUNTIFS('RESEP DAN HPP'!$A$5:$A$504,B136,'RESEP DAN HPP'!$N$5:$N$504,"LENGKAP")=0,"BELUM LENGKAP",INDEX('RESEP DAN HPP'!$J$5:$J$504,MATCH(B136,'RESEP DAN HPP'!$A$5:$A$504,0))))</f>
        <v/>
      </c>
      <c r="P136" s="0" t="str">
        <f aca="false">IF(A136="","",IF(COUNTIFS('TRANSAKSI PENJUALAN'!$A$5:$A$504,A136)=0,"BELUM ADA",INDEX('TRANSAKSI PENJUALAN'!$B$5:$B$504,MATCH(A136,'TRANSAKSI PENJUALAN'!$A$5:$A$504,0))))</f>
        <v/>
      </c>
      <c r="Q136" s="0" t="str">
        <f aca="false">IF(A136="","",IF(COUNTIFS('TRANSAKSI PENJUALAN'!$A$5:$A$504,A136)=0,"BELUM ADA",INDEX('TRANSAKSI PENJUALAN'!$M$5:$M$504,MATCH(A136,'TRANSAKSI PENJUALAN'!$A$5:$A$504,0))))</f>
        <v/>
      </c>
      <c r="R136" s="24" t="str">
        <f aca="false">IF(A136="","",COUNTIF($A$5:A136,A136))</f>
        <v/>
      </c>
      <c r="S136" s="24" t="str">
        <f aca="false">IF(A136="","",A136&amp;"|"&amp;R136)</f>
        <v/>
      </c>
    </row>
    <row r="137" customFormat="false" ht="15" hidden="false" customHeight="false" outlineLevel="0" collapsed="false">
      <c r="C137" s="0" t="str">
        <f aca="false">IF(B137="","",IF(COUNTIFS('MASTER MENU'!$A$5:$A$504,B137)=0,"BELUM ADA",INDEX('MASTER MENU'!$B$5:$B$504,MATCH(B137,'MASTER MENU'!$A$5:$A$504,0))))</f>
        <v/>
      </c>
      <c r="D137" s="0" t="str">
        <f aca="false">IF(B137="","",IF(COUNTIFS('MASTER MENU'!$A$5:$A$504,B137)=0,"BELUM ADA",INDEX('MASTER MENU'!$E$5:$E$504,MATCH(B137,'MASTER MENU'!$A$5:$A$504,0))))</f>
        <v/>
      </c>
      <c r="F137" s="0" t="str">
        <f aca="false">IF(B137="","",IF(COUNTIFS('MASTER MENU'!$A$5:$A$504,B137)=0,"BELUM ADA",INDEX('MASTER MENU'!$F$5:$F$504,MATCH(B137,'MASTER MENU'!$A$5:$A$504,0))))</f>
        <v/>
      </c>
      <c r="G137" s="0" t="str">
        <f aca="false">IF(A137="","",IF(OR(NOT(ISNUMBER(E137)),NOT(ISNUMBER(F137))),"BELUM LENGKAP",ROUND(E137*F137,0)))</f>
        <v/>
      </c>
      <c r="J137" s="0" t="str">
        <f aca="false">IF(A137="","",IF(NOT(ISNUMBER(G137)),"BELUM LENGKAP",G137-H137-I137))</f>
        <v/>
      </c>
      <c r="L137" s="0" t="str">
        <f aca="false">IF(A137="","",IF(NOT(ISNUMBER(K137)),"ISI SNAPSHOT HPP",ROUND(E137*K137,0)))</f>
        <v/>
      </c>
      <c r="M137" s="0" t="str">
        <f aca="false">IF(A137="","",IF(NOT(ISNUMBER(L137)),"BELUM LENGKAP",J137-L137))</f>
        <v/>
      </c>
      <c r="N137" s="0" t="str">
        <f aca="false">IF(B137="","",IF(COUNTIFS('RESEP DAN HPP'!$A$5:$A$504,B137,'RESEP DAN HPP'!$N$5:$N$504,"LENGKAP")=0,"BELUM LENGKAP",INDEX('RESEP DAN HPP'!$J$5:$J$504,MATCH(B137,'RESEP DAN HPP'!$A$5:$A$504,0))))</f>
        <v/>
      </c>
      <c r="P137" s="0" t="str">
        <f aca="false">IF(A137="","",IF(COUNTIFS('TRANSAKSI PENJUALAN'!$A$5:$A$504,A137)=0,"BELUM ADA",INDEX('TRANSAKSI PENJUALAN'!$B$5:$B$504,MATCH(A137,'TRANSAKSI PENJUALAN'!$A$5:$A$504,0))))</f>
        <v/>
      </c>
      <c r="Q137" s="0" t="str">
        <f aca="false">IF(A137="","",IF(COUNTIFS('TRANSAKSI PENJUALAN'!$A$5:$A$504,A137)=0,"BELUM ADA",INDEX('TRANSAKSI PENJUALAN'!$M$5:$M$504,MATCH(A137,'TRANSAKSI PENJUALAN'!$A$5:$A$504,0))))</f>
        <v/>
      </c>
      <c r="R137" s="24" t="str">
        <f aca="false">IF(A137="","",COUNTIF($A$5:A137,A137))</f>
        <v/>
      </c>
      <c r="S137" s="24" t="str">
        <f aca="false">IF(A137="","",A137&amp;"|"&amp;R137)</f>
        <v/>
      </c>
    </row>
    <row r="138" customFormat="false" ht="15" hidden="false" customHeight="false" outlineLevel="0" collapsed="false">
      <c r="C138" s="0" t="str">
        <f aca="false">IF(B138="","",IF(COUNTIFS('MASTER MENU'!$A$5:$A$504,B138)=0,"BELUM ADA",INDEX('MASTER MENU'!$B$5:$B$504,MATCH(B138,'MASTER MENU'!$A$5:$A$504,0))))</f>
        <v/>
      </c>
      <c r="D138" s="0" t="str">
        <f aca="false">IF(B138="","",IF(COUNTIFS('MASTER MENU'!$A$5:$A$504,B138)=0,"BELUM ADA",INDEX('MASTER MENU'!$E$5:$E$504,MATCH(B138,'MASTER MENU'!$A$5:$A$504,0))))</f>
        <v/>
      </c>
      <c r="F138" s="0" t="str">
        <f aca="false">IF(B138="","",IF(COUNTIFS('MASTER MENU'!$A$5:$A$504,B138)=0,"BELUM ADA",INDEX('MASTER MENU'!$F$5:$F$504,MATCH(B138,'MASTER MENU'!$A$5:$A$504,0))))</f>
        <v/>
      </c>
      <c r="G138" s="0" t="str">
        <f aca="false">IF(A138="","",IF(OR(NOT(ISNUMBER(E138)),NOT(ISNUMBER(F138))),"BELUM LENGKAP",ROUND(E138*F138,0)))</f>
        <v/>
      </c>
      <c r="J138" s="0" t="str">
        <f aca="false">IF(A138="","",IF(NOT(ISNUMBER(G138)),"BELUM LENGKAP",G138-H138-I138))</f>
        <v/>
      </c>
      <c r="L138" s="0" t="str">
        <f aca="false">IF(A138="","",IF(NOT(ISNUMBER(K138)),"ISI SNAPSHOT HPP",ROUND(E138*K138,0)))</f>
        <v/>
      </c>
      <c r="M138" s="0" t="str">
        <f aca="false">IF(A138="","",IF(NOT(ISNUMBER(L138)),"BELUM LENGKAP",J138-L138))</f>
        <v/>
      </c>
      <c r="N138" s="0" t="str">
        <f aca="false">IF(B138="","",IF(COUNTIFS('RESEP DAN HPP'!$A$5:$A$504,B138,'RESEP DAN HPP'!$N$5:$N$504,"LENGKAP")=0,"BELUM LENGKAP",INDEX('RESEP DAN HPP'!$J$5:$J$504,MATCH(B138,'RESEP DAN HPP'!$A$5:$A$504,0))))</f>
        <v/>
      </c>
      <c r="P138" s="0" t="str">
        <f aca="false">IF(A138="","",IF(COUNTIFS('TRANSAKSI PENJUALAN'!$A$5:$A$504,A138)=0,"BELUM ADA",INDEX('TRANSAKSI PENJUALAN'!$B$5:$B$504,MATCH(A138,'TRANSAKSI PENJUALAN'!$A$5:$A$504,0))))</f>
        <v/>
      </c>
      <c r="Q138" s="0" t="str">
        <f aca="false">IF(A138="","",IF(COUNTIFS('TRANSAKSI PENJUALAN'!$A$5:$A$504,A138)=0,"BELUM ADA",INDEX('TRANSAKSI PENJUALAN'!$M$5:$M$504,MATCH(A138,'TRANSAKSI PENJUALAN'!$A$5:$A$504,0))))</f>
        <v/>
      </c>
      <c r="R138" s="24" t="str">
        <f aca="false">IF(A138="","",COUNTIF($A$5:A138,A138))</f>
        <v/>
      </c>
      <c r="S138" s="24" t="str">
        <f aca="false">IF(A138="","",A138&amp;"|"&amp;R138)</f>
        <v/>
      </c>
    </row>
    <row r="139" customFormat="false" ht="15" hidden="false" customHeight="false" outlineLevel="0" collapsed="false">
      <c r="C139" s="0" t="str">
        <f aca="false">IF(B139="","",IF(COUNTIFS('MASTER MENU'!$A$5:$A$504,B139)=0,"BELUM ADA",INDEX('MASTER MENU'!$B$5:$B$504,MATCH(B139,'MASTER MENU'!$A$5:$A$504,0))))</f>
        <v/>
      </c>
      <c r="D139" s="0" t="str">
        <f aca="false">IF(B139="","",IF(COUNTIFS('MASTER MENU'!$A$5:$A$504,B139)=0,"BELUM ADA",INDEX('MASTER MENU'!$E$5:$E$504,MATCH(B139,'MASTER MENU'!$A$5:$A$504,0))))</f>
        <v/>
      </c>
      <c r="F139" s="0" t="str">
        <f aca="false">IF(B139="","",IF(COUNTIFS('MASTER MENU'!$A$5:$A$504,B139)=0,"BELUM ADA",INDEX('MASTER MENU'!$F$5:$F$504,MATCH(B139,'MASTER MENU'!$A$5:$A$504,0))))</f>
        <v/>
      </c>
      <c r="G139" s="0" t="str">
        <f aca="false">IF(A139="","",IF(OR(NOT(ISNUMBER(E139)),NOT(ISNUMBER(F139))),"BELUM LENGKAP",ROUND(E139*F139,0)))</f>
        <v/>
      </c>
      <c r="J139" s="0" t="str">
        <f aca="false">IF(A139="","",IF(NOT(ISNUMBER(G139)),"BELUM LENGKAP",G139-H139-I139))</f>
        <v/>
      </c>
      <c r="L139" s="0" t="str">
        <f aca="false">IF(A139="","",IF(NOT(ISNUMBER(K139)),"ISI SNAPSHOT HPP",ROUND(E139*K139,0)))</f>
        <v/>
      </c>
      <c r="M139" s="0" t="str">
        <f aca="false">IF(A139="","",IF(NOT(ISNUMBER(L139)),"BELUM LENGKAP",J139-L139))</f>
        <v/>
      </c>
      <c r="N139" s="0" t="str">
        <f aca="false">IF(B139="","",IF(COUNTIFS('RESEP DAN HPP'!$A$5:$A$504,B139,'RESEP DAN HPP'!$N$5:$N$504,"LENGKAP")=0,"BELUM LENGKAP",INDEX('RESEP DAN HPP'!$J$5:$J$504,MATCH(B139,'RESEP DAN HPP'!$A$5:$A$504,0))))</f>
        <v/>
      </c>
      <c r="P139" s="0" t="str">
        <f aca="false">IF(A139="","",IF(COUNTIFS('TRANSAKSI PENJUALAN'!$A$5:$A$504,A139)=0,"BELUM ADA",INDEX('TRANSAKSI PENJUALAN'!$B$5:$B$504,MATCH(A139,'TRANSAKSI PENJUALAN'!$A$5:$A$504,0))))</f>
        <v/>
      </c>
      <c r="Q139" s="0" t="str">
        <f aca="false">IF(A139="","",IF(COUNTIFS('TRANSAKSI PENJUALAN'!$A$5:$A$504,A139)=0,"BELUM ADA",INDEX('TRANSAKSI PENJUALAN'!$M$5:$M$504,MATCH(A139,'TRANSAKSI PENJUALAN'!$A$5:$A$504,0))))</f>
        <v/>
      </c>
      <c r="R139" s="24" t="str">
        <f aca="false">IF(A139="","",COUNTIF($A$5:A139,A139))</f>
        <v/>
      </c>
      <c r="S139" s="24" t="str">
        <f aca="false">IF(A139="","",A139&amp;"|"&amp;R139)</f>
        <v/>
      </c>
    </row>
    <row r="140" customFormat="false" ht="15" hidden="false" customHeight="false" outlineLevel="0" collapsed="false">
      <c r="C140" s="0" t="str">
        <f aca="false">IF(B140="","",IF(COUNTIFS('MASTER MENU'!$A$5:$A$504,B140)=0,"BELUM ADA",INDEX('MASTER MENU'!$B$5:$B$504,MATCH(B140,'MASTER MENU'!$A$5:$A$504,0))))</f>
        <v/>
      </c>
      <c r="D140" s="0" t="str">
        <f aca="false">IF(B140="","",IF(COUNTIFS('MASTER MENU'!$A$5:$A$504,B140)=0,"BELUM ADA",INDEX('MASTER MENU'!$E$5:$E$504,MATCH(B140,'MASTER MENU'!$A$5:$A$504,0))))</f>
        <v/>
      </c>
      <c r="F140" s="0" t="str">
        <f aca="false">IF(B140="","",IF(COUNTIFS('MASTER MENU'!$A$5:$A$504,B140)=0,"BELUM ADA",INDEX('MASTER MENU'!$F$5:$F$504,MATCH(B140,'MASTER MENU'!$A$5:$A$504,0))))</f>
        <v/>
      </c>
      <c r="G140" s="0" t="str">
        <f aca="false">IF(A140="","",IF(OR(NOT(ISNUMBER(E140)),NOT(ISNUMBER(F140))),"BELUM LENGKAP",ROUND(E140*F140,0)))</f>
        <v/>
      </c>
      <c r="J140" s="0" t="str">
        <f aca="false">IF(A140="","",IF(NOT(ISNUMBER(G140)),"BELUM LENGKAP",G140-H140-I140))</f>
        <v/>
      </c>
      <c r="L140" s="0" t="str">
        <f aca="false">IF(A140="","",IF(NOT(ISNUMBER(K140)),"ISI SNAPSHOT HPP",ROUND(E140*K140,0)))</f>
        <v/>
      </c>
      <c r="M140" s="0" t="str">
        <f aca="false">IF(A140="","",IF(NOT(ISNUMBER(L140)),"BELUM LENGKAP",J140-L140))</f>
        <v/>
      </c>
      <c r="N140" s="0" t="str">
        <f aca="false">IF(B140="","",IF(COUNTIFS('RESEP DAN HPP'!$A$5:$A$504,B140,'RESEP DAN HPP'!$N$5:$N$504,"LENGKAP")=0,"BELUM LENGKAP",INDEX('RESEP DAN HPP'!$J$5:$J$504,MATCH(B140,'RESEP DAN HPP'!$A$5:$A$504,0))))</f>
        <v/>
      </c>
      <c r="P140" s="0" t="str">
        <f aca="false">IF(A140="","",IF(COUNTIFS('TRANSAKSI PENJUALAN'!$A$5:$A$504,A140)=0,"BELUM ADA",INDEX('TRANSAKSI PENJUALAN'!$B$5:$B$504,MATCH(A140,'TRANSAKSI PENJUALAN'!$A$5:$A$504,0))))</f>
        <v/>
      </c>
      <c r="Q140" s="0" t="str">
        <f aca="false">IF(A140="","",IF(COUNTIFS('TRANSAKSI PENJUALAN'!$A$5:$A$504,A140)=0,"BELUM ADA",INDEX('TRANSAKSI PENJUALAN'!$M$5:$M$504,MATCH(A140,'TRANSAKSI PENJUALAN'!$A$5:$A$504,0))))</f>
        <v/>
      </c>
      <c r="R140" s="24" t="str">
        <f aca="false">IF(A140="","",COUNTIF($A$5:A140,A140))</f>
        <v/>
      </c>
      <c r="S140" s="24" t="str">
        <f aca="false">IF(A140="","",A140&amp;"|"&amp;R140)</f>
        <v/>
      </c>
    </row>
    <row r="141" customFormat="false" ht="15" hidden="false" customHeight="false" outlineLevel="0" collapsed="false">
      <c r="C141" s="0" t="str">
        <f aca="false">IF(B141="","",IF(COUNTIFS('MASTER MENU'!$A$5:$A$504,B141)=0,"BELUM ADA",INDEX('MASTER MENU'!$B$5:$B$504,MATCH(B141,'MASTER MENU'!$A$5:$A$504,0))))</f>
        <v/>
      </c>
      <c r="D141" s="0" t="str">
        <f aca="false">IF(B141="","",IF(COUNTIFS('MASTER MENU'!$A$5:$A$504,B141)=0,"BELUM ADA",INDEX('MASTER MENU'!$E$5:$E$504,MATCH(B141,'MASTER MENU'!$A$5:$A$504,0))))</f>
        <v/>
      </c>
      <c r="F141" s="0" t="str">
        <f aca="false">IF(B141="","",IF(COUNTIFS('MASTER MENU'!$A$5:$A$504,B141)=0,"BELUM ADA",INDEX('MASTER MENU'!$F$5:$F$504,MATCH(B141,'MASTER MENU'!$A$5:$A$504,0))))</f>
        <v/>
      </c>
      <c r="G141" s="0" t="str">
        <f aca="false">IF(A141="","",IF(OR(NOT(ISNUMBER(E141)),NOT(ISNUMBER(F141))),"BELUM LENGKAP",ROUND(E141*F141,0)))</f>
        <v/>
      </c>
      <c r="J141" s="0" t="str">
        <f aca="false">IF(A141="","",IF(NOT(ISNUMBER(G141)),"BELUM LENGKAP",G141-H141-I141))</f>
        <v/>
      </c>
      <c r="L141" s="0" t="str">
        <f aca="false">IF(A141="","",IF(NOT(ISNUMBER(K141)),"ISI SNAPSHOT HPP",ROUND(E141*K141,0)))</f>
        <v/>
      </c>
      <c r="M141" s="0" t="str">
        <f aca="false">IF(A141="","",IF(NOT(ISNUMBER(L141)),"BELUM LENGKAP",J141-L141))</f>
        <v/>
      </c>
      <c r="N141" s="0" t="str">
        <f aca="false">IF(B141="","",IF(COUNTIFS('RESEP DAN HPP'!$A$5:$A$504,B141,'RESEP DAN HPP'!$N$5:$N$504,"LENGKAP")=0,"BELUM LENGKAP",INDEX('RESEP DAN HPP'!$J$5:$J$504,MATCH(B141,'RESEP DAN HPP'!$A$5:$A$504,0))))</f>
        <v/>
      </c>
      <c r="P141" s="0" t="str">
        <f aca="false">IF(A141="","",IF(COUNTIFS('TRANSAKSI PENJUALAN'!$A$5:$A$504,A141)=0,"BELUM ADA",INDEX('TRANSAKSI PENJUALAN'!$B$5:$B$504,MATCH(A141,'TRANSAKSI PENJUALAN'!$A$5:$A$504,0))))</f>
        <v/>
      </c>
      <c r="Q141" s="0" t="str">
        <f aca="false">IF(A141="","",IF(COUNTIFS('TRANSAKSI PENJUALAN'!$A$5:$A$504,A141)=0,"BELUM ADA",INDEX('TRANSAKSI PENJUALAN'!$M$5:$M$504,MATCH(A141,'TRANSAKSI PENJUALAN'!$A$5:$A$504,0))))</f>
        <v/>
      </c>
      <c r="R141" s="24" t="str">
        <f aca="false">IF(A141="","",COUNTIF($A$5:A141,A141))</f>
        <v/>
      </c>
      <c r="S141" s="24" t="str">
        <f aca="false">IF(A141="","",A141&amp;"|"&amp;R141)</f>
        <v/>
      </c>
    </row>
    <row r="142" customFormat="false" ht="15" hidden="false" customHeight="false" outlineLevel="0" collapsed="false">
      <c r="C142" s="0" t="str">
        <f aca="false">IF(B142="","",IF(COUNTIFS('MASTER MENU'!$A$5:$A$504,B142)=0,"BELUM ADA",INDEX('MASTER MENU'!$B$5:$B$504,MATCH(B142,'MASTER MENU'!$A$5:$A$504,0))))</f>
        <v/>
      </c>
      <c r="D142" s="0" t="str">
        <f aca="false">IF(B142="","",IF(COUNTIFS('MASTER MENU'!$A$5:$A$504,B142)=0,"BELUM ADA",INDEX('MASTER MENU'!$E$5:$E$504,MATCH(B142,'MASTER MENU'!$A$5:$A$504,0))))</f>
        <v/>
      </c>
      <c r="F142" s="0" t="str">
        <f aca="false">IF(B142="","",IF(COUNTIFS('MASTER MENU'!$A$5:$A$504,B142)=0,"BELUM ADA",INDEX('MASTER MENU'!$F$5:$F$504,MATCH(B142,'MASTER MENU'!$A$5:$A$504,0))))</f>
        <v/>
      </c>
      <c r="G142" s="0" t="str">
        <f aca="false">IF(A142="","",IF(OR(NOT(ISNUMBER(E142)),NOT(ISNUMBER(F142))),"BELUM LENGKAP",ROUND(E142*F142,0)))</f>
        <v/>
      </c>
      <c r="J142" s="0" t="str">
        <f aca="false">IF(A142="","",IF(NOT(ISNUMBER(G142)),"BELUM LENGKAP",G142-H142-I142))</f>
        <v/>
      </c>
      <c r="L142" s="0" t="str">
        <f aca="false">IF(A142="","",IF(NOT(ISNUMBER(K142)),"ISI SNAPSHOT HPP",ROUND(E142*K142,0)))</f>
        <v/>
      </c>
      <c r="M142" s="0" t="str">
        <f aca="false">IF(A142="","",IF(NOT(ISNUMBER(L142)),"BELUM LENGKAP",J142-L142))</f>
        <v/>
      </c>
      <c r="N142" s="0" t="str">
        <f aca="false">IF(B142="","",IF(COUNTIFS('RESEP DAN HPP'!$A$5:$A$504,B142,'RESEP DAN HPP'!$N$5:$N$504,"LENGKAP")=0,"BELUM LENGKAP",INDEX('RESEP DAN HPP'!$J$5:$J$504,MATCH(B142,'RESEP DAN HPP'!$A$5:$A$504,0))))</f>
        <v/>
      </c>
      <c r="P142" s="0" t="str">
        <f aca="false">IF(A142="","",IF(COUNTIFS('TRANSAKSI PENJUALAN'!$A$5:$A$504,A142)=0,"BELUM ADA",INDEX('TRANSAKSI PENJUALAN'!$B$5:$B$504,MATCH(A142,'TRANSAKSI PENJUALAN'!$A$5:$A$504,0))))</f>
        <v/>
      </c>
      <c r="Q142" s="0" t="str">
        <f aca="false">IF(A142="","",IF(COUNTIFS('TRANSAKSI PENJUALAN'!$A$5:$A$504,A142)=0,"BELUM ADA",INDEX('TRANSAKSI PENJUALAN'!$M$5:$M$504,MATCH(A142,'TRANSAKSI PENJUALAN'!$A$5:$A$504,0))))</f>
        <v/>
      </c>
      <c r="R142" s="24" t="str">
        <f aca="false">IF(A142="","",COUNTIF($A$5:A142,A142))</f>
        <v/>
      </c>
      <c r="S142" s="24" t="str">
        <f aca="false">IF(A142="","",A142&amp;"|"&amp;R142)</f>
        <v/>
      </c>
    </row>
    <row r="143" customFormat="false" ht="15" hidden="false" customHeight="false" outlineLevel="0" collapsed="false">
      <c r="C143" s="0" t="str">
        <f aca="false">IF(B143="","",IF(COUNTIFS('MASTER MENU'!$A$5:$A$504,B143)=0,"BELUM ADA",INDEX('MASTER MENU'!$B$5:$B$504,MATCH(B143,'MASTER MENU'!$A$5:$A$504,0))))</f>
        <v/>
      </c>
      <c r="D143" s="0" t="str">
        <f aca="false">IF(B143="","",IF(COUNTIFS('MASTER MENU'!$A$5:$A$504,B143)=0,"BELUM ADA",INDEX('MASTER MENU'!$E$5:$E$504,MATCH(B143,'MASTER MENU'!$A$5:$A$504,0))))</f>
        <v/>
      </c>
      <c r="F143" s="0" t="str">
        <f aca="false">IF(B143="","",IF(COUNTIFS('MASTER MENU'!$A$5:$A$504,B143)=0,"BELUM ADA",INDEX('MASTER MENU'!$F$5:$F$504,MATCH(B143,'MASTER MENU'!$A$5:$A$504,0))))</f>
        <v/>
      </c>
      <c r="G143" s="0" t="str">
        <f aca="false">IF(A143="","",IF(OR(NOT(ISNUMBER(E143)),NOT(ISNUMBER(F143))),"BELUM LENGKAP",ROUND(E143*F143,0)))</f>
        <v/>
      </c>
      <c r="J143" s="0" t="str">
        <f aca="false">IF(A143="","",IF(NOT(ISNUMBER(G143)),"BELUM LENGKAP",G143-H143-I143))</f>
        <v/>
      </c>
      <c r="L143" s="0" t="str">
        <f aca="false">IF(A143="","",IF(NOT(ISNUMBER(K143)),"ISI SNAPSHOT HPP",ROUND(E143*K143,0)))</f>
        <v/>
      </c>
      <c r="M143" s="0" t="str">
        <f aca="false">IF(A143="","",IF(NOT(ISNUMBER(L143)),"BELUM LENGKAP",J143-L143))</f>
        <v/>
      </c>
      <c r="N143" s="0" t="str">
        <f aca="false">IF(B143="","",IF(COUNTIFS('RESEP DAN HPP'!$A$5:$A$504,B143,'RESEP DAN HPP'!$N$5:$N$504,"LENGKAP")=0,"BELUM LENGKAP",INDEX('RESEP DAN HPP'!$J$5:$J$504,MATCH(B143,'RESEP DAN HPP'!$A$5:$A$504,0))))</f>
        <v/>
      </c>
      <c r="P143" s="0" t="str">
        <f aca="false">IF(A143="","",IF(COUNTIFS('TRANSAKSI PENJUALAN'!$A$5:$A$504,A143)=0,"BELUM ADA",INDEX('TRANSAKSI PENJUALAN'!$B$5:$B$504,MATCH(A143,'TRANSAKSI PENJUALAN'!$A$5:$A$504,0))))</f>
        <v/>
      </c>
      <c r="Q143" s="0" t="str">
        <f aca="false">IF(A143="","",IF(COUNTIFS('TRANSAKSI PENJUALAN'!$A$5:$A$504,A143)=0,"BELUM ADA",INDEX('TRANSAKSI PENJUALAN'!$M$5:$M$504,MATCH(A143,'TRANSAKSI PENJUALAN'!$A$5:$A$504,0))))</f>
        <v/>
      </c>
      <c r="R143" s="24" t="str">
        <f aca="false">IF(A143="","",COUNTIF($A$5:A143,A143))</f>
        <v/>
      </c>
      <c r="S143" s="24" t="str">
        <f aca="false">IF(A143="","",A143&amp;"|"&amp;R143)</f>
        <v/>
      </c>
    </row>
    <row r="144" customFormat="false" ht="15" hidden="false" customHeight="false" outlineLevel="0" collapsed="false">
      <c r="C144" s="0" t="str">
        <f aca="false">IF(B144="","",IF(COUNTIFS('MASTER MENU'!$A$5:$A$504,B144)=0,"BELUM ADA",INDEX('MASTER MENU'!$B$5:$B$504,MATCH(B144,'MASTER MENU'!$A$5:$A$504,0))))</f>
        <v/>
      </c>
      <c r="D144" s="0" t="str">
        <f aca="false">IF(B144="","",IF(COUNTIFS('MASTER MENU'!$A$5:$A$504,B144)=0,"BELUM ADA",INDEX('MASTER MENU'!$E$5:$E$504,MATCH(B144,'MASTER MENU'!$A$5:$A$504,0))))</f>
        <v/>
      </c>
      <c r="F144" s="0" t="str">
        <f aca="false">IF(B144="","",IF(COUNTIFS('MASTER MENU'!$A$5:$A$504,B144)=0,"BELUM ADA",INDEX('MASTER MENU'!$F$5:$F$504,MATCH(B144,'MASTER MENU'!$A$5:$A$504,0))))</f>
        <v/>
      </c>
      <c r="G144" s="0" t="str">
        <f aca="false">IF(A144="","",IF(OR(NOT(ISNUMBER(E144)),NOT(ISNUMBER(F144))),"BELUM LENGKAP",ROUND(E144*F144,0)))</f>
        <v/>
      </c>
      <c r="J144" s="0" t="str">
        <f aca="false">IF(A144="","",IF(NOT(ISNUMBER(G144)),"BELUM LENGKAP",G144-H144-I144))</f>
        <v/>
      </c>
      <c r="L144" s="0" t="str">
        <f aca="false">IF(A144="","",IF(NOT(ISNUMBER(K144)),"ISI SNAPSHOT HPP",ROUND(E144*K144,0)))</f>
        <v/>
      </c>
      <c r="M144" s="0" t="str">
        <f aca="false">IF(A144="","",IF(NOT(ISNUMBER(L144)),"BELUM LENGKAP",J144-L144))</f>
        <v/>
      </c>
      <c r="N144" s="0" t="str">
        <f aca="false">IF(B144="","",IF(COUNTIFS('RESEP DAN HPP'!$A$5:$A$504,B144,'RESEP DAN HPP'!$N$5:$N$504,"LENGKAP")=0,"BELUM LENGKAP",INDEX('RESEP DAN HPP'!$J$5:$J$504,MATCH(B144,'RESEP DAN HPP'!$A$5:$A$504,0))))</f>
        <v/>
      </c>
      <c r="P144" s="0" t="str">
        <f aca="false">IF(A144="","",IF(COUNTIFS('TRANSAKSI PENJUALAN'!$A$5:$A$504,A144)=0,"BELUM ADA",INDEX('TRANSAKSI PENJUALAN'!$B$5:$B$504,MATCH(A144,'TRANSAKSI PENJUALAN'!$A$5:$A$504,0))))</f>
        <v/>
      </c>
      <c r="Q144" s="0" t="str">
        <f aca="false">IF(A144="","",IF(COUNTIFS('TRANSAKSI PENJUALAN'!$A$5:$A$504,A144)=0,"BELUM ADA",INDEX('TRANSAKSI PENJUALAN'!$M$5:$M$504,MATCH(A144,'TRANSAKSI PENJUALAN'!$A$5:$A$504,0))))</f>
        <v/>
      </c>
      <c r="R144" s="24" t="str">
        <f aca="false">IF(A144="","",COUNTIF($A$5:A144,A144))</f>
        <v/>
      </c>
      <c r="S144" s="24" t="str">
        <f aca="false">IF(A144="","",A144&amp;"|"&amp;R144)</f>
        <v/>
      </c>
    </row>
    <row r="145" customFormat="false" ht="15" hidden="false" customHeight="false" outlineLevel="0" collapsed="false">
      <c r="C145" s="0" t="str">
        <f aca="false">IF(B145="","",IF(COUNTIFS('MASTER MENU'!$A$5:$A$504,B145)=0,"BELUM ADA",INDEX('MASTER MENU'!$B$5:$B$504,MATCH(B145,'MASTER MENU'!$A$5:$A$504,0))))</f>
        <v/>
      </c>
      <c r="D145" s="0" t="str">
        <f aca="false">IF(B145="","",IF(COUNTIFS('MASTER MENU'!$A$5:$A$504,B145)=0,"BELUM ADA",INDEX('MASTER MENU'!$E$5:$E$504,MATCH(B145,'MASTER MENU'!$A$5:$A$504,0))))</f>
        <v/>
      </c>
      <c r="F145" s="0" t="str">
        <f aca="false">IF(B145="","",IF(COUNTIFS('MASTER MENU'!$A$5:$A$504,B145)=0,"BELUM ADA",INDEX('MASTER MENU'!$F$5:$F$504,MATCH(B145,'MASTER MENU'!$A$5:$A$504,0))))</f>
        <v/>
      </c>
      <c r="G145" s="0" t="str">
        <f aca="false">IF(A145="","",IF(OR(NOT(ISNUMBER(E145)),NOT(ISNUMBER(F145))),"BELUM LENGKAP",ROUND(E145*F145,0)))</f>
        <v/>
      </c>
      <c r="J145" s="0" t="str">
        <f aca="false">IF(A145="","",IF(NOT(ISNUMBER(G145)),"BELUM LENGKAP",G145-H145-I145))</f>
        <v/>
      </c>
      <c r="L145" s="0" t="str">
        <f aca="false">IF(A145="","",IF(NOT(ISNUMBER(K145)),"ISI SNAPSHOT HPP",ROUND(E145*K145,0)))</f>
        <v/>
      </c>
      <c r="M145" s="0" t="str">
        <f aca="false">IF(A145="","",IF(NOT(ISNUMBER(L145)),"BELUM LENGKAP",J145-L145))</f>
        <v/>
      </c>
      <c r="N145" s="0" t="str">
        <f aca="false">IF(B145="","",IF(COUNTIFS('RESEP DAN HPP'!$A$5:$A$504,B145,'RESEP DAN HPP'!$N$5:$N$504,"LENGKAP")=0,"BELUM LENGKAP",INDEX('RESEP DAN HPP'!$J$5:$J$504,MATCH(B145,'RESEP DAN HPP'!$A$5:$A$504,0))))</f>
        <v/>
      </c>
      <c r="P145" s="0" t="str">
        <f aca="false">IF(A145="","",IF(COUNTIFS('TRANSAKSI PENJUALAN'!$A$5:$A$504,A145)=0,"BELUM ADA",INDEX('TRANSAKSI PENJUALAN'!$B$5:$B$504,MATCH(A145,'TRANSAKSI PENJUALAN'!$A$5:$A$504,0))))</f>
        <v/>
      </c>
      <c r="Q145" s="0" t="str">
        <f aca="false">IF(A145="","",IF(COUNTIFS('TRANSAKSI PENJUALAN'!$A$5:$A$504,A145)=0,"BELUM ADA",INDEX('TRANSAKSI PENJUALAN'!$M$5:$M$504,MATCH(A145,'TRANSAKSI PENJUALAN'!$A$5:$A$504,0))))</f>
        <v/>
      </c>
      <c r="R145" s="24" t="str">
        <f aca="false">IF(A145="","",COUNTIF($A$5:A145,A145))</f>
        <v/>
      </c>
      <c r="S145" s="24" t="str">
        <f aca="false">IF(A145="","",A145&amp;"|"&amp;R145)</f>
        <v/>
      </c>
    </row>
    <row r="146" customFormat="false" ht="15" hidden="false" customHeight="false" outlineLevel="0" collapsed="false">
      <c r="C146" s="0" t="str">
        <f aca="false">IF(B146="","",IF(COUNTIFS('MASTER MENU'!$A$5:$A$504,B146)=0,"BELUM ADA",INDEX('MASTER MENU'!$B$5:$B$504,MATCH(B146,'MASTER MENU'!$A$5:$A$504,0))))</f>
        <v/>
      </c>
      <c r="D146" s="0" t="str">
        <f aca="false">IF(B146="","",IF(COUNTIFS('MASTER MENU'!$A$5:$A$504,B146)=0,"BELUM ADA",INDEX('MASTER MENU'!$E$5:$E$504,MATCH(B146,'MASTER MENU'!$A$5:$A$504,0))))</f>
        <v/>
      </c>
      <c r="F146" s="0" t="str">
        <f aca="false">IF(B146="","",IF(COUNTIFS('MASTER MENU'!$A$5:$A$504,B146)=0,"BELUM ADA",INDEX('MASTER MENU'!$F$5:$F$504,MATCH(B146,'MASTER MENU'!$A$5:$A$504,0))))</f>
        <v/>
      </c>
      <c r="G146" s="0" t="str">
        <f aca="false">IF(A146="","",IF(OR(NOT(ISNUMBER(E146)),NOT(ISNUMBER(F146))),"BELUM LENGKAP",ROUND(E146*F146,0)))</f>
        <v/>
      </c>
      <c r="J146" s="0" t="str">
        <f aca="false">IF(A146="","",IF(NOT(ISNUMBER(G146)),"BELUM LENGKAP",G146-H146-I146))</f>
        <v/>
      </c>
      <c r="L146" s="0" t="str">
        <f aca="false">IF(A146="","",IF(NOT(ISNUMBER(K146)),"ISI SNAPSHOT HPP",ROUND(E146*K146,0)))</f>
        <v/>
      </c>
      <c r="M146" s="0" t="str">
        <f aca="false">IF(A146="","",IF(NOT(ISNUMBER(L146)),"BELUM LENGKAP",J146-L146))</f>
        <v/>
      </c>
      <c r="N146" s="0" t="str">
        <f aca="false">IF(B146="","",IF(COUNTIFS('RESEP DAN HPP'!$A$5:$A$504,B146,'RESEP DAN HPP'!$N$5:$N$504,"LENGKAP")=0,"BELUM LENGKAP",INDEX('RESEP DAN HPP'!$J$5:$J$504,MATCH(B146,'RESEP DAN HPP'!$A$5:$A$504,0))))</f>
        <v/>
      </c>
      <c r="P146" s="0" t="str">
        <f aca="false">IF(A146="","",IF(COUNTIFS('TRANSAKSI PENJUALAN'!$A$5:$A$504,A146)=0,"BELUM ADA",INDEX('TRANSAKSI PENJUALAN'!$B$5:$B$504,MATCH(A146,'TRANSAKSI PENJUALAN'!$A$5:$A$504,0))))</f>
        <v/>
      </c>
      <c r="Q146" s="0" t="str">
        <f aca="false">IF(A146="","",IF(COUNTIFS('TRANSAKSI PENJUALAN'!$A$5:$A$504,A146)=0,"BELUM ADA",INDEX('TRANSAKSI PENJUALAN'!$M$5:$M$504,MATCH(A146,'TRANSAKSI PENJUALAN'!$A$5:$A$504,0))))</f>
        <v/>
      </c>
      <c r="R146" s="24" t="str">
        <f aca="false">IF(A146="","",COUNTIF($A$5:A146,A146))</f>
        <v/>
      </c>
      <c r="S146" s="24" t="str">
        <f aca="false">IF(A146="","",A146&amp;"|"&amp;R146)</f>
        <v/>
      </c>
    </row>
    <row r="147" customFormat="false" ht="15" hidden="false" customHeight="false" outlineLevel="0" collapsed="false">
      <c r="C147" s="0" t="str">
        <f aca="false">IF(B147="","",IF(COUNTIFS('MASTER MENU'!$A$5:$A$504,B147)=0,"BELUM ADA",INDEX('MASTER MENU'!$B$5:$B$504,MATCH(B147,'MASTER MENU'!$A$5:$A$504,0))))</f>
        <v/>
      </c>
      <c r="D147" s="0" t="str">
        <f aca="false">IF(B147="","",IF(COUNTIFS('MASTER MENU'!$A$5:$A$504,B147)=0,"BELUM ADA",INDEX('MASTER MENU'!$E$5:$E$504,MATCH(B147,'MASTER MENU'!$A$5:$A$504,0))))</f>
        <v/>
      </c>
      <c r="F147" s="0" t="str">
        <f aca="false">IF(B147="","",IF(COUNTIFS('MASTER MENU'!$A$5:$A$504,B147)=0,"BELUM ADA",INDEX('MASTER MENU'!$F$5:$F$504,MATCH(B147,'MASTER MENU'!$A$5:$A$504,0))))</f>
        <v/>
      </c>
      <c r="G147" s="0" t="str">
        <f aca="false">IF(A147="","",IF(OR(NOT(ISNUMBER(E147)),NOT(ISNUMBER(F147))),"BELUM LENGKAP",ROUND(E147*F147,0)))</f>
        <v/>
      </c>
      <c r="J147" s="0" t="str">
        <f aca="false">IF(A147="","",IF(NOT(ISNUMBER(G147)),"BELUM LENGKAP",G147-H147-I147))</f>
        <v/>
      </c>
      <c r="L147" s="0" t="str">
        <f aca="false">IF(A147="","",IF(NOT(ISNUMBER(K147)),"ISI SNAPSHOT HPP",ROUND(E147*K147,0)))</f>
        <v/>
      </c>
      <c r="M147" s="0" t="str">
        <f aca="false">IF(A147="","",IF(NOT(ISNUMBER(L147)),"BELUM LENGKAP",J147-L147))</f>
        <v/>
      </c>
      <c r="N147" s="0" t="str">
        <f aca="false">IF(B147="","",IF(COUNTIFS('RESEP DAN HPP'!$A$5:$A$504,B147,'RESEP DAN HPP'!$N$5:$N$504,"LENGKAP")=0,"BELUM LENGKAP",INDEX('RESEP DAN HPP'!$J$5:$J$504,MATCH(B147,'RESEP DAN HPP'!$A$5:$A$504,0))))</f>
        <v/>
      </c>
      <c r="P147" s="0" t="str">
        <f aca="false">IF(A147="","",IF(COUNTIFS('TRANSAKSI PENJUALAN'!$A$5:$A$504,A147)=0,"BELUM ADA",INDEX('TRANSAKSI PENJUALAN'!$B$5:$B$504,MATCH(A147,'TRANSAKSI PENJUALAN'!$A$5:$A$504,0))))</f>
        <v/>
      </c>
      <c r="Q147" s="0" t="str">
        <f aca="false">IF(A147="","",IF(COUNTIFS('TRANSAKSI PENJUALAN'!$A$5:$A$504,A147)=0,"BELUM ADA",INDEX('TRANSAKSI PENJUALAN'!$M$5:$M$504,MATCH(A147,'TRANSAKSI PENJUALAN'!$A$5:$A$504,0))))</f>
        <v/>
      </c>
      <c r="R147" s="24" t="str">
        <f aca="false">IF(A147="","",COUNTIF($A$5:A147,A147))</f>
        <v/>
      </c>
      <c r="S147" s="24" t="str">
        <f aca="false">IF(A147="","",A147&amp;"|"&amp;R147)</f>
        <v/>
      </c>
    </row>
    <row r="148" customFormat="false" ht="15" hidden="false" customHeight="false" outlineLevel="0" collapsed="false">
      <c r="C148" s="0" t="str">
        <f aca="false">IF(B148="","",IF(COUNTIFS('MASTER MENU'!$A$5:$A$504,B148)=0,"BELUM ADA",INDEX('MASTER MENU'!$B$5:$B$504,MATCH(B148,'MASTER MENU'!$A$5:$A$504,0))))</f>
        <v/>
      </c>
      <c r="D148" s="0" t="str">
        <f aca="false">IF(B148="","",IF(COUNTIFS('MASTER MENU'!$A$5:$A$504,B148)=0,"BELUM ADA",INDEX('MASTER MENU'!$E$5:$E$504,MATCH(B148,'MASTER MENU'!$A$5:$A$504,0))))</f>
        <v/>
      </c>
      <c r="F148" s="0" t="str">
        <f aca="false">IF(B148="","",IF(COUNTIFS('MASTER MENU'!$A$5:$A$504,B148)=0,"BELUM ADA",INDEX('MASTER MENU'!$F$5:$F$504,MATCH(B148,'MASTER MENU'!$A$5:$A$504,0))))</f>
        <v/>
      </c>
      <c r="G148" s="0" t="str">
        <f aca="false">IF(A148="","",IF(OR(NOT(ISNUMBER(E148)),NOT(ISNUMBER(F148))),"BELUM LENGKAP",ROUND(E148*F148,0)))</f>
        <v/>
      </c>
      <c r="J148" s="0" t="str">
        <f aca="false">IF(A148="","",IF(NOT(ISNUMBER(G148)),"BELUM LENGKAP",G148-H148-I148))</f>
        <v/>
      </c>
      <c r="L148" s="0" t="str">
        <f aca="false">IF(A148="","",IF(NOT(ISNUMBER(K148)),"ISI SNAPSHOT HPP",ROUND(E148*K148,0)))</f>
        <v/>
      </c>
      <c r="M148" s="0" t="str">
        <f aca="false">IF(A148="","",IF(NOT(ISNUMBER(L148)),"BELUM LENGKAP",J148-L148))</f>
        <v/>
      </c>
      <c r="N148" s="0" t="str">
        <f aca="false">IF(B148="","",IF(COUNTIFS('RESEP DAN HPP'!$A$5:$A$504,B148,'RESEP DAN HPP'!$N$5:$N$504,"LENGKAP")=0,"BELUM LENGKAP",INDEX('RESEP DAN HPP'!$J$5:$J$504,MATCH(B148,'RESEP DAN HPP'!$A$5:$A$504,0))))</f>
        <v/>
      </c>
      <c r="P148" s="0" t="str">
        <f aca="false">IF(A148="","",IF(COUNTIFS('TRANSAKSI PENJUALAN'!$A$5:$A$504,A148)=0,"BELUM ADA",INDEX('TRANSAKSI PENJUALAN'!$B$5:$B$504,MATCH(A148,'TRANSAKSI PENJUALAN'!$A$5:$A$504,0))))</f>
        <v/>
      </c>
      <c r="Q148" s="0" t="str">
        <f aca="false">IF(A148="","",IF(COUNTIFS('TRANSAKSI PENJUALAN'!$A$5:$A$504,A148)=0,"BELUM ADA",INDEX('TRANSAKSI PENJUALAN'!$M$5:$M$504,MATCH(A148,'TRANSAKSI PENJUALAN'!$A$5:$A$504,0))))</f>
        <v/>
      </c>
      <c r="R148" s="24" t="str">
        <f aca="false">IF(A148="","",COUNTIF($A$5:A148,A148))</f>
        <v/>
      </c>
      <c r="S148" s="24" t="str">
        <f aca="false">IF(A148="","",A148&amp;"|"&amp;R148)</f>
        <v/>
      </c>
    </row>
    <row r="149" customFormat="false" ht="15" hidden="false" customHeight="false" outlineLevel="0" collapsed="false">
      <c r="C149" s="0" t="str">
        <f aca="false">IF(B149="","",IF(COUNTIFS('MASTER MENU'!$A$5:$A$504,B149)=0,"BELUM ADA",INDEX('MASTER MENU'!$B$5:$B$504,MATCH(B149,'MASTER MENU'!$A$5:$A$504,0))))</f>
        <v/>
      </c>
      <c r="D149" s="0" t="str">
        <f aca="false">IF(B149="","",IF(COUNTIFS('MASTER MENU'!$A$5:$A$504,B149)=0,"BELUM ADA",INDEX('MASTER MENU'!$E$5:$E$504,MATCH(B149,'MASTER MENU'!$A$5:$A$504,0))))</f>
        <v/>
      </c>
      <c r="F149" s="0" t="str">
        <f aca="false">IF(B149="","",IF(COUNTIFS('MASTER MENU'!$A$5:$A$504,B149)=0,"BELUM ADA",INDEX('MASTER MENU'!$F$5:$F$504,MATCH(B149,'MASTER MENU'!$A$5:$A$504,0))))</f>
        <v/>
      </c>
      <c r="G149" s="0" t="str">
        <f aca="false">IF(A149="","",IF(OR(NOT(ISNUMBER(E149)),NOT(ISNUMBER(F149))),"BELUM LENGKAP",ROUND(E149*F149,0)))</f>
        <v/>
      </c>
      <c r="J149" s="0" t="str">
        <f aca="false">IF(A149="","",IF(NOT(ISNUMBER(G149)),"BELUM LENGKAP",G149-H149-I149))</f>
        <v/>
      </c>
      <c r="L149" s="0" t="str">
        <f aca="false">IF(A149="","",IF(NOT(ISNUMBER(K149)),"ISI SNAPSHOT HPP",ROUND(E149*K149,0)))</f>
        <v/>
      </c>
      <c r="M149" s="0" t="str">
        <f aca="false">IF(A149="","",IF(NOT(ISNUMBER(L149)),"BELUM LENGKAP",J149-L149))</f>
        <v/>
      </c>
      <c r="N149" s="0" t="str">
        <f aca="false">IF(B149="","",IF(COUNTIFS('RESEP DAN HPP'!$A$5:$A$504,B149,'RESEP DAN HPP'!$N$5:$N$504,"LENGKAP")=0,"BELUM LENGKAP",INDEX('RESEP DAN HPP'!$J$5:$J$504,MATCH(B149,'RESEP DAN HPP'!$A$5:$A$504,0))))</f>
        <v/>
      </c>
      <c r="P149" s="0" t="str">
        <f aca="false">IF(A149="","",IF(COUNTIFS('TRANSAKSI PENJUALAN'!$A$5:$A$504,A149)=0,"BELUM ADA",INDEX('TRANSAKSI PENJUALAN'!$B$5:$B$504,MATCH(A149,'TRANSAKSI PENJUALAN'!$A$5:$A$504,0))))</f>
        <v/>
      </c>
      <c r="Q149" s="0" t="str">
        <f aca="false">IF(A149="","",IF(COUNTIFS('TRANSAKSI PENJUALAN'!$A$5:$A$504,A149)=0,"BELUM ADA",INDEX('TRANSAKSI PENJUALAN'!$M$5:$M$504,MATCH(A149,'TRANSAKSI PENJUALAN'!$A$5:$A$504,0))))</f>
        <v/>
      </c>
      <c r="R149" s="24" t="str">
        <f aca="false">IF(A149="","",COUNTIF($A$5:A149,A149))</f>
        <v/>
      </c>
      <c r="S149" s="24" t="str">
        <f aca="false">IF(A149="","",A149&amp;"|"&amp;R149)</f>
        <v/>
      </c>
    </row>
    <row r="150" customFormat="false" ht="15" hidden="false" customHeight="false" outlineLevel="0" collapsed="false">
      <c r="C150" s="0" t="str">
        <f aca="false">IF(B150="","",IF(COUNTIFS('MASTER MENU'!$A$5:$A$504,B150)=0,"BELUM ADA",INDEX('MASTER MENU'!$B$5:$B$504,MATCH(B150,'MASTER MENU'!$A$5:$A$504,0))))</f>
        <v/>
      </c>
      <c r="D150" s="0" t="str">
        <f aca="false">IF(B150="","",IF(COUNTIFS('MASTER MENU'!$A$5:$A$504,B150)=0,"BELUM ADA",INDEX('MASTER MENU'!$E$5:$E$504,MATCH(B150,'MASTER MENU'!$A$5:$A$504,0))))</f>
        <v/>
      </c>
      <c r="F150" s="0" t="str">
        <f aca="false">IF(B150="","",IF(COUNTIFS('MASTER MENU'!$A$5:$A$504,B150)=0,"BELUM ADA",INDEX('MASTER MENU'!$F$5:$F$504,MATCH(B150,'MASTER MENU'!$A$5:$A$504,0))))</f>
        <v/>
      </c>
      <c r="G150" s="0" t="str">
        <f aca="false">IF(A150="","",IF(OR(NOT(ISNUMBER(E150)),NOT(ISNUMBER(F150))),"BELUM LENGKAP",ROUND(E150*F150,0)))</f>
        <v/>
      </c>
      <c r="J150" s="0" t="str">
        <f aca="false">IF(A150="","",IF(NOT(ISNUMBER(G150)),"BELUM LENGKAP",G150-H150-I150))</f>
        <v/>
      </c>
      <c r="L150" s="0" t="str">
        <f aca="false">IF(A150="","",IF(NOT(ISNUMBER(K150)),"ISI SNAPSHOT HPP",ROUND(E150*K150,0)))</f>
        <v/>
      </c>
      <c r="M150" s="0" t="str">
        <f aca="false">IF(A150="","",IF(NOT(ISNUMBER(L150)),"BELUM LENGKAP",J150-L150))</f>
        <v/>
      </c>
      <c r="N150" s="0" t="str">
        <f aca="false">IF(B150="","",IF(COUNTIFS('RESEP DAN HPP'!$A$5:$A$504,B150,'RESEP DAN HPP'!$N$5:$N$504,"LENGKAP")=0,"BELUM LENGKAP",INDEX('RESEP DAN HPP'!$J$5:$J$504,MATCH(B150,'RESEP DAN HPP'!$A$5:$A$504,0))))</f>
        <v/>
      </c>
      <c r="P150" s="0" t="str">
        <f aca="false">IF(A150="","",IF(COUNTIFS('TRANSAKSI PENJUALAN'!$A$5:$A$504,A150)=0,"BELUM ADA",INDEX('TRANSAKSI PENJUALAN'!$B$5:$B$504,MATCH(A150,'TRANSAKSI PENJUALAN'!$A$5:$A$504,0))))</f>
        <v/>
      </c>
      <c r="Q150" s="0" t="str">
        <f aca="false">IF(A150="","",IF(COUNTIFS('TRANSAKSI PENJUALAN'!$A$5:$A$504,A150)=0,"BELUM ADA",INDEX('TRANSAKSI PENJUALAN'!$M$5:$M$504,MATCH(A150,'TRANSAKSI PENJUALAN'!$A$5:$A$504,0))))</f>
        <v/>
      </c>
      <c r="R150" s="24" t="str">
        <f aca="false">IF(A150="","",COUNTIF($A$5:A150,A150))</f>
        <v/>
      </c>
      <c r="S150" s="24" t="str">
        <f aca="false">IF(A150="","",A150&amp;"|"&amp;R150)</f>
        <v/>
      </c>
    </row>
    <row r="151" customFormat="false" ht="15" hidden="false" customHeight="false" outlineLevel="0" collapsed="false">
      <c r="C151" s="0" t="str">
        <f aca="false">IF(B151="","",IF(COUNTIFS('MASTER MENU'!$A$5:$A$504,B151)=0,"BELUM ADA",INDEX('MASTER MENU'!$B$5:$B$504,MATCH(B151,'MASTER MENU'!$A$5:$A$504,0))))</f>
        <v/>
      </c>
      <c r="D151" s="0" t="str">
        <f aca="false">IF(B151="","",IF(COUNTIFS('MASTER MENU'!$A$5:$A$504,B151)=0,"BELUM ADA",INDEX('MASTER MENU'!$E$5:$E$504,MATCH(B151,'MASTER MENU'!$A$5:$A$504,0))))</f>
        <v/>
      </c>
      <c r="F151" s="0" t="str">
        <f aca="false">IF(B151="","",IF(COUNTIFS('MASTER MENU'!$A$5:$A$504,B151)=0,"BELUM ADA",INDEX('MASTER MENU'!$F$5:$F$504,MATCH(B151,'MASTER MENU'!$A$5:$A$504,0))))</f>
        <v/>
      </c>
      <c r="G151" s="0" t="str">
        <f aca="false">IF(A151="","",IF(OR(NOT(ISNUMBER(E151)),NOT(ISNUMBER(F151))),"BELUM LENGKAP",ROUND(E151*F151,0)))</f>
        <v/>
      </c>
      <c r="J151" s="0" t="str">
        <f aca="false">IF(A151="","",IF(NOT(ISNUMBER(G151)),"BELUM LENGKAP",G151-H151-I151))</f>
        <v/>
      </c>
      <c r="L151" s="0" t="str">
        <f aca="false">IF(A151="","",IF(NOT(ISNUMBER(K151)),"ISI SNAPSHOT HPP",ROUND(E151*K151,0)))</f>
        <v/>
      </c>
      <c r="M151" s="0" t="str">
        <f aca="false">IF(A151="","",IF(NOT(ISNUMBER(L151)),"BELUM LENGKAP",J151-L151))</f>
        <v/>
      </c>
      <c r="N151" s="0" t="str">
        <f aca="false">IF(B151="","",IF(COUNTIFS('RESEP DAN HPP'!$A$5:$A$504,B151,'RESEP DAN HPP'!$N$5:$N$504,"LENGKAP")=0,"BELUM LENGKAP",INDEX('RESEP DAN HPP'!$J$5:$J$504,MATCH(B151,'RESEP DAN HPP'!$A$5:$A$504,0))))</f>
        <v/>
      </c>
      <c r="P151" s="0" t="str">
        <f aca="false">IF(A151="","",IF(COUNTIFS('TRANSAKSI PENJUALAN'!$A$5:$A$504,A151)=0,"BELUM ADA",INDEX('TRANSAKSI PENJUALAN'!$B$5:$B$504,MATCH(A151,'TRANSAKSI PENJUALAN'!$A$5:$A$504,0))))</f>
        <v/>
      </c>
      <c r="Q151" s="0" t="str">
        <f aca="false">IF(A151="","",IF(COUNTIFS('TRANSAKSI PENJUALAN'!$A$5:$A$504,A151)=0,"BELUM ADA",INDEX('TRANSAKSI PENJUALAN'!$M$5:$M$504,MATCH(A151,'TRANSAKSI PENJUALAN'!$A$5:$A$504,0))))</f>
        <v/>
      </c>
      <c r="R151" s="24" t="str">
        <f aca="false">IF(A151="","",COUNTIF($A$5:A151,A151))</f>
        <v/>
      </c>
      <c r="S151" s="24" t="str">
        <f aca="false">IF(A151="","",A151&amp;"|"&amp;R151)</f>
        <v/>
      </c>
    </row>
    <row r="152" customFormat="false" ht="15" hidden="false" customHeight="false" outlineLevel="0" collapsed="false">
      <c r="C152" s="0" t="str">
        <f aca="false">IF(B152="","",IF(COUNTIFS('MASTER MENU'!$A$5:$A$504,B152)=0,"BELUM ADA",INDEX('MASTER MENU'!$B$5:$B$504,MATCH(B152,'MASTER MENU'!$A$5:$A$504,0))))</f>
        <v/>
      </c>
      <c r="D152" s="0" t="str">
        <f aca="false">IF(B152="","",IF(COUNTIFS('MASTER MENU'!$A$5:$A$504,B152)=0,"BELUM ADA",INDEX('MASTER MENU'!$E$5:$E$504,MATCH(B152,'MASTER MENU'!$A$5:$A$504,0))))</f>
        <v/>
      </c>
      <c r="F152" s="0" t="str">
        <f aca="false">IF(B152="","",IF(COUNTIFS('MASTER MENU'!$A$5:$A$504,B152)=0,"BELUM ADA",INDEX('MASTER MENU'!$F$5:$F$504,MATCH(B152,'MASTER MENU'!$A$5:$A$504,0))))</f>
        <v/>
      </c>
      <c r="G152" s="0" t="str">
        <f aca="false">IF(A152="","",IF(OR(NOT(ISNUMBER(E152)),NOT(ISNUMBER(F152))),"BELUM LENGKAP",ROUND(E152*F152,0)))</f>
        <v/>
      </c>
      <c r="J152" s="0" t="str">
        <f aca="false">IF(A152="","",IF(NOT(ISNUMBER(G152)),"BELUM LENGKAP",G152-H152-I152))</f>
        <v/>
      </c>
      <c r="L152" s="0" t="str">
        <f aca="false">IF(A152="","",IF(NOT(ISNUMBER(K152)),"ISI SNAPSHOT HPP",ROUND(E152*K152,0)))</f>
        <v/>
      </c>
      <c r="M152" s="0" t="str">
        <f aca="false">IF(A152="","",IF(NOT(ISNUMBER(L152)),"BELUM LENGKAP",J152-L152))</f>
        <v/>
      </c>
      <c r="N152" s="0" t="str">
        <f aca="false">IF(B152="","",IF(COUNTIFS('RESEP DAN HPP'!$A$5:$A$504,B152,'RESEP DAN HPP'!$N$5:$N$504,"LENGKAP")=0,"BELUM LENGKAP",INDEX('RESEP DAN HPP'!$J$5:$J$504,MATCH(B152,'RESEP DAN HPP'!$A$5:$A$504,0))))</f>
        <v/>
      </c>
      <c r="P152" s="0" t="str">
        <f aca="false">IF(A152="","",IF(COUNTIFS('TRANSAKSI PENJUALAN'!$A$5:$A$504,A152)=0,"BELUM ADA",INDEX('TRANSAKSI PENJUALAN'!$B$5:$B$504,MATCH(A152,'TRANSAKSI PENJUALAN'!$A$5:$A$504,0))))</f>
        <v/>
      </c>
      <c r="Q152" s="0" t="str">
        <f aca="false">IF(A152="","",IF(COUNTIFS('TRANSAKSI PENJUALAN'!$A$5:$A$504,A152)=0,"BELUM ADA",INDEX('TRANSAKSI PENJUALAN'!$M$5:$M$504,MATCH(A152,'TRANSAKSI PENJUALAN'!$A$5:$A$504,0))))</f>
        <v/>
      </c>
      <c r="R152" s="24" t="str">
        <f aca="false">IF(A152="","",COUNTIF($A$5:A152,A152))</f>
        <v/>
      </c>
      <c r="S152" s="24" t="str">
        <f aca="false">IF(A152="","",A152&amp;"|"&amp;R152)</f>
        <v/>
      </c>
    </row>
    <row r="153" customFormat="false" ht="15" hidden="false" customHeight="false" outlineLevel="0" collapsed="false">
      <c r="C153" s="0" t="str">
        <f aca="false">IF(B153="","",IF(COUNTIFS('MASTER MENU'!$A$5:$A$504,B153)=0,"BELUM ADA",INDEX('MASTER MENU'!$B$5:$B$504,MATCH(B153,'MASTER MENU'!$A$5:$A$504,0))))</f>
        <v/>
      </c>
      <c r="D153" s="0" t="str">
        <f aca="false">IF(B153="","",IF(COUNTIFS('MASTER MENU'!$A$5:$A$504,B153)=0,"BELUM ADA",INDEX('MASTER MENU'!$E$5:$E$504,MATCH(B153,'MASTER MENU'!$A$5:$A$504,0))))</f>
        <v/>
      </c>
      <c r="F153" s="0" t="str">
        <f aca="false">IF(B153="","",IF(COUNTIFS('MASTER MENU'!$A$5:$A$504,B153)=0,"BELUM ADA",INDEX('MASTER MENU'!$F$5:$F$504,MATCH(B153,'MASTER MENU'!$A$5:$A$504,0))))</f>
        <v/>
      </c>
      <c r="G153" s="0" t="str">
        <f aca="false">IF(A153="","",IF(OR(NOT(ISNUMBER(E153)),NOT(ISNUMBER(F153))),"BELUM LENGKAP",ROUND(E153*F153,0)))</f>
        <v/>
      </c>
      <c r="J153" s="0" t="str">
        <f aca="false">IF(A153="","",IF(NOT(ISNUMBER(G153)),"BELUM LENGKAP",G153-H153-I153))</f>
        <v/>
      </c>
      <c r="L153" s="0" t="str">
        <f aca="false">IF(A153="","",IF(NOT(ISNUMBER(K153)),"ISI SNAPSHOT HPP",ROUND(E153*K153,0)))</f>
        <v/>
      </c>
      <c r="M153" s="0" t="str">
        <f aca="false">IF(A153="","",IF(NOT(ISNUMBER(L153)),"BELUM LENGKAP",J153-L153))</f>
        <v/>
      </c>
      <c r="N153" s="0" t="str">
        <f aca="false">IF(B153="","",IF(COUNTIFS('RESEP DAN HPP'!$A$5:$A$504,B153,'RESEP DAN HPP'!$N$5:$N$504,"LENGKAP")=0,"BELUM LENGKAP",INDEX('RESEP DAN HPP'!$J$5:$J$504,MATCH(B153,'RESEP DAN HPP'!$A$5:$A$504,0))))</f>
        <v/>
      </c>
      <c r="P153" s="0" t="str">
        <f aca="false">IF(A153="","",IF(COUNTIFS('TRANSAKSI PENJUALAN'!$A$5:$A$504,A153)=0,"BELUM ADA",INDEX('TRANSAKSI PENJUALAN'!$B$5:$B$504,MATCH(A153,'TRANSAKSI PENJUALAN'!$A$5:$A$504,0))))</f>
        <v/>
      </c>
      <c r="Q153" s="0" t="str">
        <f aca="false">IF(A153="","",IF(COUNTIFS('TRANSAKSI PENJUALAN'!$A$5:$A$504,A153)=0,"BELUM ADA",INDEX('TRANSAKSI PENJUALAN'!$M$5:$M$504,MATCH(A153,'TRANSAKSI PENJUALAN'!$A$5:$A$504,0))))</f>
        <v/>
      </c>
      <c r="R153" s="24" t="str">
        <f aca="false">IF(A153="","",COUNTIF($A$5:A153,A153))</f>
        <v/>
      </c>
      <c r="S153" s="24" t="str">
        <f aca="false">IF(A153="","",A153&amp;"|"&amp;R153)</f>
        <v/>
      </c>
    </row>
    <row r="154" customFormat="false" ht="15" hidden="false" customHeight="false" outlineLevel="0" collapsed="false">
      <c r="C154" s="0" t="str">
        <f aca="false">IF(B154="","",IF(COUNTIFS('MASTER MENU'!$A$5:$A$504,B154)=0,"BELUM ADA",INDEX('MASTER MENU'!$B$5:$B$504,MATCH(B154,'MASTER MENU'!$A$5:$A$504,0))))</f>
        <v/>
      </c>
      <c r="D154" s="0" t="str">
        <f aca="false">IF(B154="","",IF(COUNTIFS('MASTER MENU'!$A$5:$A$504,B154)=0,"BELUM ADA",INDEX('MASTER MENU'!$E$5:$E$504,MATCH(B154,'MASTER MENU'!$A$5:$A$504,0))))</f>
        <v/>
      </c>
      <c r="F154" s="0" t="str">
        <f aca="false">IF(B154="","",IF(COUNTIFS('MASTER MENU'!$A$5:$A$504,B154)=0,"BELUM ADA",INDEX('MASTER MENU'!$F$5:$F$504,MATCH(B154,'MASTER MENU'!$A$5:$A$504,0))))</f>
        <v/>
      </c>
      <c r="G154" s="0" t="str">
        <f aca="false">IF(A154="","",IF(OR(NOT(ISNUMBER(E154)),NOT(ISNUMBER(F154))),"BELUM LENGKAP",ROUND(E154*F154,0)))</f>
        <v/>
      </c>
      <c r="J154" s="0" t="str">
        <f aca="false">IF(A154="","",IF(NOT(ISNUMBER(G154)),"BELUM LENGKAP",G154-H154-I154))</f>
        <v/>
      </c>
      <c r="L154" s="0" t="str">
        <f aca="false">IF(A154="","",IF(NOT(ISNUMBER(K154)),"ISI SNAPSHOT HPP",ROUND(E154*K154,0)))</f>
        <v/>
      </c>
      <c r="M154" s="0" t="str">
        <f aca="false">IF(A154="","",IF(NOT(ISNUMBER(L154)),"BELUM LENGKAP",J154-L154))</f>
        <v/>
      </c>
      <c r="N154" s="0" t="str">
        <f aca="false">IF(B154="","",IF(COUNTIFS('RESEP DAN HPP'!$A$5:$A$504,B154,'RESEP DAN HPP'!$N$5:$N$504,"LENGKAP")=0,"BELUM LENGKAP",INDEX('RESEP DAN HPP'!$J$5:$J$504,MATCH(B154,'RESEP DAN HPP'!$A$5:$A$504,0))))</f>
        <v/>
      </c>
      <c r="P154" s="0" t="str">
        <f aca="false">IF(A154="","",IF(COUNTIFS('TRANSAKSI PENJUALAN'!$A$5:$A$504,A154)=0,"BELUM ADA",INDEX('TRANSAKSI PENJUALAN'!$B$5:$B$504,MATCH(A154,'TRANSAKSI PENJUALAN'!$A$5:$A$504,0))))</f>
        <v/>
      </c>
      <c r="Q154" s="0" t="str">
        <f aca="false">IF(A154="","",IF(COUNTIFS('TRANSAKSI PENJUALAN'!$A$5:$A$504,A154)=0,"BELUM ADA",INDEX('TRANSAKSI PENJUALAN'!$M$5:$M$504,MATCH(A154,'TRANSAKSI PENJUALAN'!$A$5:$A$504,0))))</f>
        <v/>
      </c>
      <c r="R154" s="24" t="str">
        <f aca="false">IF(A154="","",COUNTIF($A$5:A154,A154))</f>
        <v/>
      </c>
      <c r="S154" s="24" t="str">
        <f aca="false">IF(A154="","",A154&amp;"|"&amp;R154)</f>
        <v/>
      </c>
    </row>
    <row r="155" customFormat="false" ht="15" hidden="false" customHeight="false" outlineLevel="0" collapsed="false">
      <c r="C155" s="0" t="str">
        <f aca="false">IF(B155="","",IF(COUNTIFS('MASTER MENU'!$A$5:$A$504,B155)=0,"BELUM ADA",INDEX('MASTER MENU'!$B$5:$B$504,MATCH(B155,'MASTER MENU'!$A$5:$A$504,0))))</f>
        <v/>
      </c>
      <c r="D155" s="0" t="str">
        <f aca="false">IF(B155="","",IF(COUNTIFS('MASTER MENU'!$A$5:$A$504,B155)=0,"BELUM ADA",INDEX('MASTER MENU'!$E$5:$E$504,MATCH(B155,'MASTER MENU'!$A$5:$A$504,0))))</f>
        <v/>
      </c>
      <c r="F155" s="0" t="str">
        <f aca="false">IF(B155="","",IF(COUNTIFS('MASTER MENU'!$A$5:$A$504,B155)=0,"BELUM ADA",INDEX('MASTER MENU'!$F$5:$F$504,MATCH(B155,'MASTER MENU'!$A$5:$A$504,0))))</f>
        <v/>
      </c>
      <c r="G155" s="0" t="str">
        <f aca="false">IF(A155="","",IF(OR(NOT(ISNUMBER(E155)),NOT(ISNUMBER(F155))),"BELUM LENGKAP",ROUND(E155*F155,0)))</f>
        <v/>
      </c>
      <c r="J155" s="0" t="str">
        <f aca="false">IF(A155="","",IF(NOT(ISNUMBER(G155)),"BELUM LENGKAP",G155-H155-I155))</f>
        <v/>
      </c>
      <c r="L155" s="0" t="str">
        <f aca="false">IF(A155="","",IF(NOT(ISNUMBER(K155)),"ISI SNAPSHOT HPP",ROUND(E155*K155,0)))</f>
        <v/>
      </c>
      <c r="M155" s="0" t="str">
        <f aca="false">IF(A155="","",IF(NOT(ISNUMBER(L155)),"BELUM LENGKAP",J155-L155))</f>
        <v/>
      </c>
      <c r="N155" s="0" t="str">
        <f aca="false">IF(B155="","",IF(COUNTIFS('RESEP DAN HPP'!$A$5:$A$504,B155,'RESEP DAN HPP'!$N$5:$N$504,"LENGKAP")=0,"BELUM LENGKAP",INDEX('RESEP DAN HPP'!$J$5:$J$504,MATCH(B155,'RESEP DAN HPP'!$A$5:$A$504,0))))</f>
        <v/>
      </c>
      <c r="P155" s="0" t="str">
        <f aca="false">IF(A155="","",IF(COUNTIFS('TRANSAKSI PENJUALAN'!$A$5:$A$504,A155)=0,"BELUM ADA",INDEX('TRANSAKSI PENJUALAN'!$B$5:$B$504,MATCH(A155,'TRANSAKSI PENJUALAN'!$A$5:$A$504,0))))</f>
        <v/>
      </c>
      <c r="Q155" s="0" t="str">
        <f aca="false">IF(A155="","",IF(COUNTIFS('TRANSAKSI PENJUALAN'!$A$5:$A$504,A155)=0,"BELUM ADA",INDEX('TRANSAKSI PENJUALAN'!$M$5:$M$504,MATCH(A155,'TRANSAKSI PENJUALAN'!$A$5:$A$504,0))))</f>
        <v/>
      </c>
      <c r="R155" s="24" t="str">
        <f aca="false">IF(A155="","",COUNTIF($A$5:A155,A155))</f>
        <v/>
      </c>
      <c r="S155" s="24" t="str">
        <f aca="false">IF(A155="","",A155&amp;"|"&amp;R155)</f>
        <v/>
      </c>
    </row>
    <row r="156" customFormat="false" ht="15" hidden="false" customHeight="false" outlineLevel="0" collapsed="false">
      <c r="C156" s="0" t="str">
        <f aca="false">IF(B156="","",IF(COUNTIFS('MASTER MENU'!$A$5:$A$504,B156)=0,"BELUM ADA",INDEX('MASTER MENU'!$B$5:$B$504,MATCH(B156,'MASTER MENU'!$A$5:$A$504,0))))</f>
        <v/>
      </c>
      <c r="D156" s="0" t="str">
        <f aca="false">IF(B156="","",IF(COUNTIFS('MASTER MENU'!$A$5:$A$504,B156)=0,"BELUM ADA",INDEX('MASTER MENU'!$E$5:$E$504,MATCH(B156,'MASTER MENU'!$A$5:$A$504,0))))</f>
        <v/>
      </c>
      <c r="F156" s="0" t="str">
        <f aca="false">IF(B156="","",IF(COUNTIFS('MASTER MENU'!$A$5:$A$504,B156)=0,"BELUM ADA",INDEX('MASTER MENU'!$F$5:$F$504,MATCH(B156,'MASTER MENU'!$A$5:$A$504,0))))</f>
        <v/>
      </c>
      <c r="G156" s="0" t="str">
        <f aca="false">IF(A156="","",IF(OR(NOT(ISNUMBER(E156)),NOT(ISNUMBER(F156))),"BELUM LENGKAP",ROUND(E156*F156,0)))</f>
        <v/>
      </c>
      <c r="J156" s="0" t="str">
        <f aca="false">IF(A156="","",IF(NOT(ISNUMBER(G156)),"BELUM LENGKAP",G156-H156-I156))</f>
        <v/>
      </c>
      <c r="L156" s="0" t="str">
        <f aca="false">IF(A156="","",IF(NOT(ISNUMBER(K156)),"ISI SNAPSHOT HPP",ROUND(E156*K156,0)))</f>
        <v/>
      </c>
      <c r="M156" s="0" t="str">
        <f aca="false">IF(A156="","",IF(NOT(ISNUMBER(L156)),"BELUM LENGKAP",J156-L156))</f>
        <v/>
      </c>
      <c r="N156" s="0" t="str">
        <f aca="false">IF(B156="","",IF(COUNTIFS('RESEP DAN HPP'!$A$5:$A$504,B156,'RESEP DAN HPP'!$N$5:$N$504,"LENGKAP")=0,"BELUM LENGKAP",INDEX('RESEP DAN HPP'!$J$5:$J$504,MATCH(B156,'RESEP DAN HPP'!$A$5:$A$504,0))))</f>
        <v/>
      </c>
      <c r="P156" s="0" t="str">
        <f aca="false">IF(A156="","",IF(COUNTIFS('TRANSAKSI PENJUALAN'!$A$5:$A$504,A156)=0,"BELUM ADA",INDEX('TRANSAKSI PENJUALAN'!$B$5:$B$504,MATCH(A156,'TRANSAKSI PENJUALAN'!$A$5:$A$504,0))))</f>
        <v/>
      </c>
      <c r="Q156" s="0" t="str">
        <f aca="false">IF(A156="","",IF(COUNTIFS('TRANSAKSI PENJUALAN'!$A$5:$A$504,A156)=0,"BELUM ADA",INDEX('TRANSAKSI PENJUALAN'!$M$5:$M$504,MATCH(A156,'TRANSAKSI PENJUALAN'!$A$5:$A$504,0))))</f>
        <v/>
      </c>
      <c r="R156" s="24" t="str">
        <f aca="false">IF(A156="","",COUNTIF($A$5:A156,A156))</f>
        <v/>
      </c>
      <c r="S156" s="24" t="str">
        <f aca="false">IF(A156="","",A156&amp;"|"&amp;R156)</f>
        <v/>
      </c>
    </row>
    <row r="157" customFormat="false" ht="15" hidden="false" customHeight="false" outlineLevel="0" collapsed="false">
      <c r="C157" s="0" t="str">
        <f aca="false">IF(B157="","",IF(COUNTIFS('MASTER MENU'!$A$5:$A$504,B157)=0,"BELUM ADA",INDEX('MASTER MENU'!$B$5:$B$504,MATCH(B157,'MASTER MENU'!$A$5:$A$504,0))))</f>
        <v/>
      </c>
      <c r="D157" s="0" t="str">
        <f aca="false">IF(B157="","",IF(COUNTIFS('MASTER MENU'!$A$5:$A$504,B157)=0,"BELUM ADA",INDEX('MASTER MENU'!$E$5:$E$504,MATCH(B157,'MASTER MENU'!$A$5:$A$504,0))))</f>
        <v/>
      </c>
      <c r="F157" s="0" t="str">
        <f aca="false">IF(B157="","",IF(COUNTIFS('MASTER MENU'!$A$5:$A$504,B157)=0,"BELUM ADA",INDEX('MASTER MENU'!$F$5:$F$504,MATCH(B157,'MASTER MENU'!$A$5:$A$504,0))))</f>
        <v/>
      </c>
      <c r="G157" s="0" t="str">
        <f aca="false">IF(A157="","",IF(OR(NOT(ISNUMBER(E157)),NOT(ISNUMBER(F157))),"BELUM LENGKAP",ROUND(E157*F157,0)))</f>
        <v/>
      </c>
      <c r="J157" s="0" t="str">
        <f aca="false">IF(A157="","",IF(NOT(ISNUMBER(G157)),"BELUM LENGKAP",G157-H157-I157))</f>
        <v/>
      </c>
      <c r="L157" s="0" t="str">
        <f aca="false">IF(A157="","",IF(NOT(ISNUMBER(K157)),"ISI SNAPSHOT HPP",ROUND(E157*K157,0)))</f>
        <v/>
      </c>
      <c r="M157" s="0" t="str">
        <f aca="false">IF(A157="","",IF(NOT(ISNUMBER(L157)),"BELUM LENGKAP",J157-L157))</f>
        <v/>
      </c>
      <c r="N157" s="0" t="str">
        <f aca="false">IF(B157="","",IF(COUNTIFS('RESEP DAN HPP'!$A$5:$A$504,B157,'RESEP DAN HPP'!$N$5:$N$504,"LENGKAP")=0,"BELUM LENGKAP",INDEX('RESEP DAN HPP'!$J$5:$J$504,MATCH(B157,'RESEP DAN HPP'!$A$5:$A$504,0))))</f>
        <v/>
      </c>
      <c r="P157" s="0" t="str">
        <f aca="false">IF(A157="","",IF(COUNTIFS('TRANSAKSI PENJUALAN'!$A$5:$A$504,A157)=0,"BELUM ADA",INDEX('TRANSAKSI PENJUALAN'!$B$5:$B$504,MATCH(A157,'TRANSAKSI PENJUALAN'!$A$5:$A$504,0))))</f>
        <v/>
      </c>
      <c r="Q157" s="0" t="str">
        <f aca="false">IF(A157="","",IF(COUNTIFS('TRANSAKSI PENJUALAN'!$A$5:$A$504,A157)=0,"BELUM ADA",INDEX('TRANSAKSI PENJUALAN'!$M$5:$M$504,MATCH(A157,'TRANSAKSI PENJUALAN'!$A$5:$A$504,0))))</f>
        <v/>
      </c>
      <c r="R157" s="24" t="str">
        <f aca="false">IF(A157="","",COUNTIF($A$5:A157,A157))</f>
        <v/>
      </c>
      <c r="S157" s="24" t="str">
        <f aca="false">IF(A157="","",A157&amp;"|"&amp;R157)</f>
        <v/>
      </c>
    </row>
    <row r="158" customFormat="false" ht="15" hidden="false" customHeight="false" outlineLevel="0" collapsed="false">
      <c r="C158" s="0" t="str">
        <f aca="false">IF(B158="","",IF(COUNTIFS('MASTER MENU'!$A$5:$A$504,B158)=0,"BELUM ADA",INDEX('MASTER MENU'!$B$5:$B$504,MATCH(B158,'MASTER MENU'!$A$5:$A$504,0))))</f>
        <v/>
      </c>
      <c r="D158" s="0" t="str">
        <f aca="false">IF(B158="","",IF(COUNTIFS('MASTER MENU'!$A$5:$A$504,B158)=0,"BELUM ADA",INDEX('MASTER MENU'!$E$5:$E$504,MATCH(B158,'MASTER MENU'!$A$5:$A$504,0))))</f>
        <v/>
      </c>
      <c r="F158" s="0" t="str">
        <f aca="false">IF(B158="","",IF(COUNTIFS('MASTER MENU'!$A$5:$A$504,B158)=0,"BELUM ADA",INDEX('MASTER MENU'!$F$5:$F$504,MATCH(B158,'MASTER MENU'!$A$5:$A$504,0))))</f>
        <v/>
      </c>
      <c r="G158" s="0" t="str">
        <f aca="false">IF(A158="","",IF(OR(NOT(ISNUMBER(E158)),NOT(ISNUMBER(F158))),"BELUM LENGKAP",ROUND(E158*F158,0)))</f>
        <v/>
      </c>
      <c r="J158" s="0" t="str">
        <f aca="false">IF(A158="","",IF(NOT(ISNUMBER(G158)),"BELUM LENGKAP",G158-H158-I158))</f>
        <v/>
      </c>
      <c r="L158" s="0" t="str">
        <f aca="false">IF(A158="","",IF(NOT(ISNUMBER(K158)),"ISI SNAPSHOT HPP",ROUND(E158*K158,0)))</f>
        <v/>
      </c>
      <c r="M158" s="0" t="str">
        <f aca="false">IF(A158="","",IF(NOT(ISNUMBER(L158)),"BELUM LENGKAP",J158-L158))</f>
        <v/>
      </c>
      <c r="N158" s="0" t="str">
        <f aca="false">IF(B158="","",IF(COUNTIFS('RESEP DAN HPP'!$A$5:$A$504,B158,'RESEP DAN HPP'!$N$5:$N$504,"LENGKAP")=0,"BELUM LENGKAP",INDEX('RESEP DAN HPP'!$J$5:$J$504,MATCH(B158,'RESEP DAN HPP'!$A$5:$A$504,0))))</f>
        <v/>
      </c>
      <c r="P158" s="0" t="str">
        <f aca="false">IF(A158="","",IF(COUNTIFS('TRANSAKSI PENJUALAN'!$A$5:$A$504,A158)=0,"BELUM ADA",INDEX('TRANSAKSI PENJUALAN'!$B$5:$B$504,MATCH(A158,'TRANSAKSI PENJUALAN'!$A$5:$A$504,0))))</f>
        <v/>
      </c>
      <c r="Q158" s="0" t="str">
        <f aca="false">IF(A158="","",IF(COUNTIFS('TRANSAKSI PENJUALAN'!$A$5:$A$504,A158)=0,"BELUM ADA",INDEX('TRANSAKSI PENJUALAN'!$M$5:$M$504,MATCH(A158,'TRANSAKSI PENJUALAN'!$A$5:$A$504,0))))</f>
        <v/>
      </c>
      <c r="R158" s="24" t="str">
        <f aca="false">IF(A158="","",COUNTIF($A$5:A158,A158))</f>
        <v/>
      </c>
      <c r="S158" s="24" t="str">
        <f aca="false">IF(A158="","",A158&amp;"|"&amp;R158)</f>
        <v/>
      </c>
    </row>
    <row r="159" customFormat="false" ht="15" hidden="false" customHeight="false" outlineLevel="0" collapsed="false">
      <c r="C159" s="0" t="str">
        <f aca="false">IF(B159="","",IF(COUNTIFS('MASTER MENU'!$A$5:$A$504,B159)=0,"BELUM ADA",INDEX('MASTER MENU'!$B$5:$B$504,MATCH(B159,'MASTER MENU'!$A$5:$A$504,0))))</f>
        <v/>
      </c>
      <c r="D159" s="0" t="str">
        <f aca="false">IF(B159="","",IF(COUNTIFS('MASTER MENU'!$A$5:$A$504,B159)=0,"BELUM ADA",INDEX('MASTER MENU'!$E$5:$E$504,MATCH(B159,'MASTER MENU'!$A$5:$A$504,0))))</f>
        <v/>
      </c>
      <c r="F159" s="0" t="str">
        <f aca="false">IF(B159="","",IF(COUNTIFS('MASTER MENU'!$A$5:$A$504,B159)=0,"BELUM ADA",INDEX('MASTER MENU'!$F$5:$F$504,MATCH(B159,'MASTER MENU'!$A$5:$A$504,0))))</f>
        <v/>
      </c>
      <c r="G159" s="0" t="str">
        <f aca="false">IF(A159="","",IF(OR(NOT(ISNUMBER(E159)),NOT(ISNUMBER(F159))),"BELUM LENGKAP",ROUND(E159*F159,0)))</f>
        <v/>
      </c>
      <c r="J159" s="0" t="str">
        <f aca="false">IF(A159="","",IF(NOT(ISNUMBER(G159)),"BELUM LENGKAP",G159-H159-I159))</f>
        <v/>
      </c>
      <c r="L159" s="0" t="str">
        <f aca="false">IF(A159="","",IF(NOT(ISNUMBER(K159)),"ISI SNAPSHOT HPP",ROUND(E159*K159,0)))</f>
        <v/>
      </c>
      <c r="M159" s="0" t="str">
        <f aca="false">IF(A159="","",IF(NOT(ISNUMBER(L159)),"BELUM LENGKAP",J159-L159))</f>
        <v/>
      </c>
      <c r="N159" s="0" t="str">
        <f aca="false">IF(B159="","",IF(COUNTIFS('RESEP DAN HPP'!$A$5:$A$504,B159,'RESEP DAN HPP'!$N$5:$N$504,"LENGKAP")=0,"BELUM LENGKAP",INDEX('RESEP DAN HPP'!$J$5:$J$504,MATCH(B159,'RESEP DAN HPP'!$A$5:$A$504,0))))</f>
        <v/>
      </c>
      <c r="P159" s="0" t="str">
        <f aca="false">IF(A159="","",IF(COUNTIFS('TRANSAKSI PENJUALAN'!$A$5:$A$504,A159)=0,"BELUM ADA",INDEX('TRANSAKSI PENJUALAN'!$B$5:$B$504,MATCH(A159,'TRANSAKSI PENJUALAN'!$A$5:$A$504,0))))</f>
        <v/>
      </c>
      <c r="Q159" s="0" t="str">
        <f aca="false">IF(A159="","",IF(COUNTIFS('TRANSAKSI PENJUALAN'!$A$5:$A$504,A159)=0,"BELUM ADA",INDEX('TRANSAKSI PENJUALAN'!$M$5:$M$504,MATCH(A159,'TRANSAKSI PENJUALAN'!$A$5:$A$504,0))))</f>
        <v/>
      </c>
      <c r="R159" s="24" t="str">
        <f aca="false">IF(A159="","",COUNTIF($A$5:A159,A159))</f>
        <v/>
      </c>
      <c r="S159" s="24" t="str">
        <f aca="false">IF(A159="","",A159&amp;"|"&amp;R159)</f>
        <v/>
      </c>
    </row>
    <row r="160" customFormat="false" ht="15" hidden="false" customHeight="false" outlineLevel="0" collapsed="false">
      <c r="C160" s="0" t="str">
        <f aca="false">IF(B160="","",IF(COUNTIFS('MASTER MENU'!$A$5:$A$504,B160)=0,"BELUM ADA",INDEX('MASTER MENU'!$B$5:$B$504,MATCH(B160,'MASTER MENU'!$A$5:$A$504,0))))</f>
        <v/>
      </c>
      <c r="D160" s="0" t="str">
        <f aca="false">IF(B160="","",IF(COUNTIFS('MASTER MENU'!$A$5:$A$504,B160)=0,"BELUM ADA",INDEX('MASTER MENU'!$E$5:$E$504,MATCH(B160,'MASTER MENU'!$A$5:$A$504,0))))</f>
        <v/>
      </c>
      <c r="F160" s="0" t="str">
        <f aca="false">IF(B160="","",IF(COUNTIFS('MASTER MENU'!$A$5:$A$504,B160)=0,"BELUM ADA",INDEX('MASTER MENU'!$F$5:$F$504,MATCH(B160,'MASTER MENU'!$A$5:$A$504,0))))</f>
        <v/>
      </c>
      <c r="G160" s="0" t="str">
        <f aca="false">IF(A160="","",IF(OR(NOT(ISNUMBER(E160)),NOT(ISNUMBER(F160))),"BELUM LENGKAP",ROUND(E160*F160,0)))</f>
        <v/>
      </c>
      <c r="J160" s="0" t="str">
        <f aca="false">IF(A160="","",IF(NOT(ISNUMBER(G160)),"BELUM LENGKAP",G160-H160-I160))</f>
        <v/>
      </c>
      <c r="L160" s="0" t="str">
        <f aca="false">IF(A160="","",IF(NOT(ISNUMBER(K160)),"ISI SNAPSHOT HPP",ROUND(E160*K160,0)))</f>
        <v/>
      </c>
      <c r="M160" s="0" t="str">
        <f aca="false">IF(A160="","",IF(NOT(ISNUMBER(L160)),"BELUM LENGKAP",J160-L160))</f>
        <v/>
      </c>
      <c r="N160" s="0" t="str">
        <f aca="false">IF(B160="","",IF(COUNTIFS('RESEP DAN HPP'!$A$5:$A$504,B160,'RESEP DAN HPP'!$N$5:$N$504,"LENGKAP")=0,"BELUM LENGKAP",INDEX('RESEP DAN HPP'!$J$5:$J$504,MATCH(B160,'RESEP DAN HPP'!$A$5:$A$504,0))))</f>
        <v/>
      </c>
      <c r="P160" s="0" t="str">
        <f aca="false">IF(A160="","",IF(COUNTIFS('TRANSAKSI PENJUALAN'!$A$5:$A$504,A160)=0,"BELUM ADA",INDEX('TRANSAKSI PENJUALAN'!$B$5:$B$504,MATCH(A160,'TRANSAKSI PENJUALAN'!$A$5:$A$504,0))))</f>
        <v/>
      </c>
      <c r="Q160" s="0" t="str">
        <f aca="false">IF(A160="","",IF(COUNTIFS('TRANSAKSI PENJUALAN'!$A$5:$A$504,A160)=0,"BELUM ADA",INDEX('TRANSAKSI PENJUALAN'!$M$5:$M$504,MATCH(A160,'TRANSAKSI PENJUALAN'!$A$5:$A$504,0))))</f>
        <v/>
      </c>
      <c r="R160" s="24" t="str">
        <f aca="false">IF(A160="","",COUNTIF($A$5:A160,A160))</f>
        <v/>
      </c>
      <c r="S160" s="24" t="str">
        <f aca="false">IF(A160="","",A160&amp;"|"&amp;R160)</f>
        <v/>
      </c>
    </row>
    <row r="161" customFormat="false" ht="15" hidden="false" customHeight="false" outlineLevel="0" collapsed="false">
      <c r="C161" s="0" t="str">
        <f aca="false">IF(B161="","",IF(COUNTIFS('MASTER MENU'!$A$5:$A$504,B161)=0,"BELUM ADA",INDEX('MASTER MENU'!$B$5:$B$504,MATCH(B161,'MASTER MENU'!$A$5:$A$504,0))))</f>
        <v/>
      </c>
      <c r="D161" s="0" t="str">
        <f aca="false">IF(B161="","",IF(COUNTIFS('MASTER MENU'!$A$5:$A$504,B161)=0,"BELUM ADA",INDEX('MASTER MENU'!$E$5:$E$504,MATCH(B161,'MASTER MENU'!$A$5:$A$504,0))))</f>
        <v/>
      </c>
      <c r="F161" s="0" t="str">
        <f aca="false">IF(B161="","",IF(COUNTIFS('MASTER MENU'!$A$5:$A$504,B161)=0,"BELUM ADA",INDEX('MASTER MENU'!$F$5:$F$504,MATCH(B161,'MASTER MENU'!$A$5:$A$504,0))))</f>
        <v/>
      </c>
      <c r="G161" s="0" t="str">
        <f aca="false">IF(A161="","",IF(OR(NOT(ISNUMBER(E161)),NOT(ISNUMBER(F161))),"BELUM LENGKAP",ROUND(E161*F161,0)))</f>
        <v/>
      </c>
      <c r="J161" s="0" t="str">
        <f aca="false">IF(A161="","",IF(NOT(ISNUMBER(G161)),"BELUM LENGKAP",G161-H161-I161))</f>
        <v/>
      </c>
      <c r="L161" s="0" t="str">
        <f aca="false">IF(A161="","",IF(NOT(ISNUMBER(K161)),"ISI SNAPSHOT HPP",ROUND(E161*K161,0)))</f>
        <v/>
      </c>
      <c r="M161" s="0" t="str">
        <f aca="false">IF(A161="","",IF(NOT(ISNUMBER(L161)),"BELUM LENGKAP",J161-L161))</f>
        <v/>
      </c>
      <c r="N161" s="0" t="str">
        <f aca="false">IF(B161="","",IF(COUNTIFS('RESEP DAN HPP'!$A$5:$A$504,B161,'RESEP DAN HPP'!$N$5:$N$504,"LENGKAP")=0,"BELUM LENGKAP",INDEX('RESEP DAN HPP'!$J$5:$J$504,MATCH(B161,'RESEP DAN HPP'!$A$5:$A$504,0))))</f>
        <v/>
      </c>
      <c r="P161" s="0" t="str">
        <f aca="false">IF(A161="","",IF(COUNTIFS('TRANSAKSI PENJUALAN'!$A$5:$A$504,A161)=0,"BELUM ADA",INDEX('TRANSAKSI PENJUALAN'!$B$5:$B$504,MATCH(A161,'TRANSAKSI PENJUALAN'!$A$5:$A$504,0))))</f>
        <v/>
      </c>
      <c r="Q161" s="0" t="str">
        <f aca="false">IF(A161="","",IF(COUNTIFS('TRANSAKSI PENJUALAN'!$A$5:$A$504,A161)=0,"BELUM ADA",INDEX('TRANSAKSI PENJUALAN'!$M$5:$M$504,MATCH(A161,'TRANSAKSI PENJUALAN'!$A$5:$A$504,0))))</f>
        <v/>
      </c>
      <c r="R161" s="24" t="str">
        <f aca="false">IF(A161="","",COUNTIF($A$5:A161,A161))</f>
        <v/>
      </c>
      <c r="S161" s="24" t="str">
        <f aca="false">IF(A161="","",A161&amp;"|"&amp;R161)</f>
        <v/>
      </c>
    </row>
    <row r="162" customFormat="false" ht="15" hidden="false" customHeight="false" outlineLevel="0" collapsed="false">
      <c r="C162" s="0" t="str">
        <f aca="false">IF(B162="","",IF(COUNTIFS('MASTER MENU'!$A$5:$A$504,B162)=0,"BELUM ADA",INDEX('MASTER MENU'!$B$5:$B$504,MATCH(B162,'MASTER MENU'!$A$5:$A$504,0))))</f>
        <v/>
      </c>
      <c r="D162" s="0" t="str">
        <f aca="false">IF(B162="","",IF(COUNTIFS('MASTER MENU'!$A$5:$A$504,B162)=0,"BELUM ADA",INDEX('MASTER MENU'!$E$5:$E$504,MATCH(B162,'MASTER MENU'!$A$5:$A$504,0))))</f>
        <v/>
      </c>
      <c r="F162" s="0" t="str">
        <f aca="false">IF(B162="","",IF(COUNTIFS('MASTER MENU'!$A$5:$A$504,B162)=0,"BELUM ADA",INDEX('MASTER MENU'!$F$5:$F$504,MATCH(B162,'MASTER MENU'!$A$5:$A$504,0))))</f>
        <v/>
      </c>
      <c r="G162" s="0" t="str">
        <f aca="false">IF(A162="","",IF(OR(NOT(ISNUMBER(E162)),NOT(ISNUMBER(F162))),"BELUM LENGKAP",ROUND(E162*F162,0)))</f>
        <v/>
      </c>
      <c r="J162" s="0" t="str">
        <f aca="false">IF(A162="","",IF(NOT(ISNUMBER(G162)),"BELUM LENGKAP",G162-H162-I162))</f>
        <v/>
      </c>
      <c r="L162" s="0" t="str">
        <f aca="false">IF(A162="","",IF(NOT(ISNUMBER(K162)),"ISI SNAPSHOT HPP",ROUND(E162*K162,0)))</f>
        <v/>
      </c>
      <c r="M162" s="0" t="str">
        <f aca="false">IF(A162="","",IF(NOT(ISNUMBER(L162)),"BELUM LENGKAP",J162-L162))</f>
        <v/>
      </c>
      <c r="N162" s="0" t="str">
        <f aca="false">IF(B162="","",IF(COUNTIFS('RESEP DAN HPP'!$A$5:$A$504,B162,'RESEP DAN HPP'!$N$5:$N$504,"LENGKAP")=0,"BELUM LENGKAP",INDEX('RESEP DAN HPP'!$J$5:$J$504,MATCH(B162,'RESEP DAN HPP'!$A$5:$A$504,0))))</f>
        <v/>
      </c>
      <c r="P162" s="0" t="str">
        <f aca="false">IF(A162="","",IF(COUNTIFS('TRANSAKSI PENJUALAN'!$A$5:$A$504,A162)=0,"BELUM ADA",INDEX('TRANSAKSI PENJUALAN'!$B$5:$B$504,MATCH(A162,'TRANSAKSI PENJUALAN'!$A$5:$A$504,0))))</f>
        <v/>
      </c>
      <c r="Q162" s="0" t="str">
        <f aca="false">IF(A162="","",IF(COUNTIFS('TRANSAKSI PENJUALAN'!$A$5:$A$504,A162)=0,"BELUM ADA",INDEX('TRANSAKSI PENJUALAN'!$M$5:$M$504,MATCH(A162,'TRANSAKSI PENJUALAN'!$A$5:$A$504,0))))</f>
        <v/>
      </c>
      <c r="R162" s="24" t="str">
        <f aca="false">IF(A162="","",COUNTIF($A$5:A162,A162))</f>
        <v/>
      </c>
      <c r="S162" s="24" t="str">
        <f aca="false">IF(A162="","",A162&amp;"|"&amp;R162)</f>
        <v/>
      </c>
    </row>
    <row r="163" customFormat="false" ht="15" hidden="false" customHeight="false" outlineLevel="0" collapsed="false">
      <c r="C163" s="0" t="str">
        <f aca="false">IF(B163="","",IF(COUNTIFS('MASTER MENU'!$A$5:$A$504,B163)=0,"BELUM ADA",INDEX('MASTER MENU'!$B$5:$B$504,MATCH(B163,'MASTER MENU'!$A$5:$A$504,0))))</f>
        <v/>
      </c>
      <c r="D163" s="0" t="str">
        <f aca="false">IF(B163="","",IF(COUNTIFS('MASTER MENU'!$A$5:$A$504,B163)=0,"BELUM ADA",INDEX('MASTER MENU'!$E$5:$E$504,MATCH(B163,'MASTER MENU'!$A$5:$A$504,0))))</f>
        <v/>
      </c>
      <c r="F163" s="0" t="str">
        <f aca="false">IF(B163="","",IF(COUNTIFS('MASTER MENU'!$A$5:$A$504,B163)=0,"BELUM ADA",INDEX('MASTER MENU'!$F$5:$F$504,MATCH(B163,'MASTER MENU'!$A$5:$A$504,0))))</f>
        <v/>
      </c>
      <c r="G163" s="0" t="str">
        <f aca="false">IF(A163="","",IF(OR(NOT(ISNUMBER(E163)),NOT(ISNUMBER(F163))),"BELUM LENGKAP",ROUND(E163*F163,0)))</f>
        <v/>
      </c>
      <c r="J163" s="0" t="str">
        <f aca="false">IF(A163="","",IF(NOT(ISNUMBER(G163)),"BELUM LENGKAP",G163-H163-I163))</f>
        <v/>
      </c>
      <c r="L163" s="0" t="str">
        <f aca="false">IF(A163="","",IF(NOT(ISNUMBER(K163)),"ISI SNAPSHOT HPP",ROUND(E163*K163,0)))</f>
        <v/>
      </c>
      <c r="M163" s="0" t="str">
        <f aca="false">IF(A163="","",IF(NOT(ISNUMBER(L163)),"BELUM LENGKAP",J163-L163))</f>
        <v/>
      </c>
      <c r="N163" s="0" t="str">
        <f aca="false">IF(B163="","",IF(COUNTIFS('RESEP DAN HPP'!$A$5:$A$504,B163,'RESEP DAN HPP'!$N$5:$N$504,"LENGKAP")=0,"BELUM LENGKAP",INDEX('RESEP DAN HPP'!$J$5:$J$504,MATCH(B163,'RESEP DAN HPP'!$A$5:$A$504,0))))</f>
        <v/>
      </c>
      <c r="P163" s="0" t="str">
        <f aca="false">IF(A163="","",IF(COUNTIFS('TRANSAKSI PENJUALAN'!$A$5:$A$504,A163)=0,"BELUM ADA",INDEX('TRANSAKSI PENJUALAN'!$B$5:$B$504,MATCH(A163,'TRANSAKSI PENJUALAN'!$A$5:$A$504,0))))</f>
        <v/>
      </c>
      <c r="Q163" s="0" t="str">
        <f aca="false">IF(A163="","",IF(COUNTIFS('TRANSAKSI PENJUALAN'!$A$5:$A$504,A163)=0,"BELUM ADA",INDEX('TRANSAKSI PENJUALAN'!$M$5:$M$504,MATCH(A163,'TRANSAKSI PENJUALAN'!$A$5:$A$504,0))))</f>
        <v/>
      </c>
      <c r="R163" s="24" t="str">
        <f aca="false">IF(A163="","",COUNTIF($A$5:A163,A163))</f>
        <v/>
      </c>
      <c r="S163" s="24" t="str">
        <f aca="false">IF(A163="","",A163&amp;"|"&amp;R163)</f>
        <v/>
      </c>
    </row>
    <row r="164" customFormat="false" ht="15" hidden="false" customHeight="false" outlineLevel="0" collapsed="false">
      <c r="C164" s="0" t="str">
        <f aca="false">IF(B164="","",IF(COUNTIFS('MASTER MENU'!$A$5:$A$504,B164)=0,"BELUM ADA",INDEX('MASTER MENU'!$B$5:$B$504,MATCH(B164,'MASTER MENU'!$A$5:$A$504,0))))</f>
        <v/>
      </c>
      <c r="D164" s="0" t="str">
        <f aca="false">IF(B164="","",IF(COUNTIFS('MASTER MENU'!$A$5:$A$504,B164)=0,"BELUM ADA",INDEX('MASTER MENU'!$E$5:$E$504,MATCH(B164,'MASTER MENU'!$A$5:$A$504,0))))</f>
        <v/>
      </c>
      <c r="F164" s="0" t="str">
        <f aca="false">IF(B164="","",IF(COUNTIFS('MASTER MENU'!$A$5:$A$504,B164)=0,"BELUM ADA",INDEX('MASTER MENU'!$F$5:$F$504,MATCH(B164,'MASTER MENU'!$A$5:$A$504,0))))</f>
        <v/>
      </c>
      <c r="G164" s="0" t="str">
        <f aca="false">IF(A164="","",IF(OR(NOT(ISNUMBER(E164)),NOT(ISNUMBER(F164))),"BELUM LENGKAP",ROUND(E164*F164,0)))</f>
        <v/>
      </c>
      <c r="J164" s="0" t="str">
        <f aca="false">IF(A164="","",IF(NOT(ISNUMBER(G164)),"BELUM LENGKAP",G164-H164-I164))</f>
        <v/>
      </c>
      <c r="L164" s="0" t="str">
        <f aca="false">IF(A164="","",IF(NOT(ISNUMBER(K164)),"ISI SNAPSHOT HPP",ROUND(E164*K164,0)))</f>
        <v/>
      </c>
      <c r="M164" s="0" t="str">
        <f aca="false">IF(A164="","",IF(NOT(ISNUMBER(L164)),"BELUM LENGKAP",J164-L164))</f>
        <v/>
      </c>
      <c r="N164" s="0" t="str">
        <f aca="false">IF(B164="","",IF(COUNTIFS('RESEP DAN HPP'!$A$5:$A$504,B164,'RESEP DAN HPP'!$N$5:$N$504,"LENGKAP")=0,"BELUM LENGKAP",INDEX('RESEP DAN HPP'!$J$5:$J$504,MATCH(B164,'RESEP DAN HPP'!$A$5:$A$504,0))))</f>
        <v/>
      </c>
      <c r="P164" s="0" t="str">
        <f aca="false">IF(A164="","",IF(COUNTIFS('TRANSAKSI PENJUALAN'!$A$5:$A$504,A164)=0,"BELUM ADA",INDEX('TRANSAKSI PENJUALAN'!$B$5:$B$504,MATCH(A164,'TRANSAKSI PENJUALAN'!$A$5:$A$504,0))))</f>
        <v/>
      </c>
      <c r="Q164" s="0" t="str">
        <f aca="false">IF(A164="","",IF(COUNTIFS('TRANSAKSI PENJUALAN'!$A$5:$A$504,A164)=0,"BELUM ADA",INDEX('TRANSAKSI PENJUALAN'!$M$5:$M$504,MATCH(A164,'TRANSAKSI PENJUALAN'!$A$5:$A$504,0))))</f>
        <v/>
      </c>
      <c r="R164" s="24" t="str">
        <f aca="false">IF(A164="","",COUNTIF($A$5:A164,A164))</f>
        <v/>
      </c>
      <c r="S164" s="24" t="str">
        <f aca="false">IF(A164="","",A164&amp;"|"&amp;R164)</f>
        <v/>
      </c>
    </row>
    <row r="165" customFormat="false" ht="15" hidden="false" customHeight="false" outlineLevel="0" collapsed="false">
      <c r="C165" s="0" t="str">
        <f aca="false">IF(B165="","",IF(COUNTIFS('MASTER MENU'!$A$5:$A$504,B165)=0,"BELUM ADA",INDEX('MASTER MENU'!$B$5:$B$504,MATCH(B165,'MASTER MENU'!$A$5:$A$504,0))))</f>
        <v/>
      </c>
      <c r="D165" s="0" t="str">
        <f aca="false">IF(B165="","",IF(COUNTIFS('MASTER MENU'!$A$5:$A$504,B165)=0,"BELUM ADA",INDEX('MASTER MENU'!$E$5:$E$504,MATCH(B165,'MASTER MENU'!$A$5:$A$504,0))))</f>
        <v/>
      </c>
      <c r="F165" s="0" t="str">
        <f aca="false">IF(B165="","",IF(COUNTIFS('MASTER MENU'!$A$5:$A$504,B165)=0,"BELUM ADA",INDEX('MASTER MENU'!$F$5:$F$504,MATCH(B165,'MASTER MENU'!$A$5:$A$504,0))))</f>
        <v/>
      </c>
      <c r="G165" s="0" t="str">
        <f aca="false">IF(A165="","",IF(OR(NOT(ISNUMBER(E165)),NOT(ISNUMBER(F165))),"BELUM LENGKAP",ROUND(E165*F165,0)))</f>
        <v/>
      </c>
      <c r="J165" s="0" t="str">
        <f aca="false">IF(A165="","",IF(NOT(ISNUMBER(G165)),"BELUM LENGKAP",G165-H165-I165))</f>
        <v/>
      </c>
      <c r="L165" s="0" t="str">
        <f aca="false">IF(A165="","",IF(NOT(ISNUMBER(K165)),"ISI SNAPSHOT HPP",ROUND(E165*K165,0)))</f>
        <v/>
      </c>
      <c r="M165" s="0" t="str">
        <f aca="false">IF(A165="","",IF(NOT(ISNUMBER(L165)),"BELUM LENGKAP",J165-L165))</f>
        <v/>
      </c>
      <c r="N165" s="0" t="str">
        <f aca="false">IF(B165="","",IF(COUNTIFS('RESEP DAN HPP'!$A$5:$A$504,B165,'RESEP DAN HPP'!$N$5:$N$504,"LENGKAP")=0,"BELUM LENGKAP",INDEX('RESEP DAN HPP'!$J$5:$J$504,MATCH(B165,'RESEP DAN HPP'!$A$5:$A$504,0))))</f>
        <v/>
      </c>
      <c r="P165" s="0" t="str">
        <f aca="false">IF(A165="","",IF(COUNTIFS('TRANSAKSI PENJUALAN'!$A$5:$A$504,A165)=0,"BELUM ADA",INDEX('TRANSAKSI PENJUALAN'!$B$5:$B$504,MATCH(A165,'TRANSAKSI PENJUALAN'!$A$5:$A$504,0))))</f>
        <v/>
      </c>
      <c r="Q165" s="0" t="str">
        <f aca="false">IF(A165="","",IF(COUNTIFS('TRANSAKSI PENJUALAN'!$A$5:$A$504,A165)=0,"BELUM ADA",INDEX('TRANSAKSI PENJUALAN'!$M$5:$M$504,MATCH(A165,'TRANSAKSI PENJUALAN'!$A$5:$A$504,0))))</f>
        <v/>
      </c>
      <c r="R165" s="24" t="str">
        <f aca="false">IF(A165="","",COUNTIF($A$5:A165,A165))</f>
        <v/>
      </c>
      <c r="S165" s="24" t="str">
        <f aca="false">IF(A165="","",A165&amp;"|"&amp;R165)</f>
        <v/>
      </c>
    </row>
    <row r="166" customFormat="false" ht="15" hidden="false" customHeight="false" outlineLevel="0" collapsed="false">
      <c r="C166" s="0" t="str">
        <f aca="false">IF(B166="","",IF(COUNTIFS('MASTER MENU'!$A$5:$A$504,B166)=0,"BELUM ADA",INDEX('MASTER MENU'!$B$5:$B$504,MATCH(B166,'MASTER MENU'!$A$5:$A$504,0))))</f>
        <v/>
      </c>
      <c r="D166" s="0" t="str">
        <f aca="false">IF(B166="","",IF(COUNTIFS('MASTER MENU'!$A$5:$A$504,B166)=0,"BELUM ADA",INDEX('MASTER MENU'!$E$5:$E$504,MATCH(B166,'MASTER MENU'!$A$5:$A$504,0))))</f>
        <v/>
      </c>
      <c r="F166" s="0" t="str">
        <f aca="false">IF(B166="","",IF(COUNTIFS('MASTER MENU'!$A$5:$A$504,B166)=0,"BELUM ADA",INDEX('MASTER MENU'!$F$5:$F$504,MATCH(B166,'MASTER MENU'!$A$5:$A$504,0))))</f>
        <v/>
      </c>
      <c r="G166" s="0" t="str">
        <f aca="false">IF(A166="","",IF(OR(NOT(ISNUMBER(E166)),NOT(ISNUMBER(F166))),"BELUM LENGKAP",ROUND(E166*F166,0)))</f>
        <v/>
      </c>
      <c r="J166" s="0" t="str">
        <f aca="false">IF(A166="","",IF(NOT(ISNUMBER(G166)),"BELUM LENGKAP",G166-H166-I166))</f>
        <v/>
      </c>
      <c r="L166" s="0" t="str">
        <f aca="false">IF(A166="","",IF(NOT(ISNUMBER(K166)),"ISI SNAPSHOT HPP",ROUND(E166*K166,0)))</f>
        <v/>
      </c>
      <c r="M166" s="0" t="str">
        <f aca="false">IF(A166="","",IF(NOT(ISNUMBER(L166)),"BELUM LENGKAP",J166-L166))</f>
        <v/>
      </c>
      <c r="N166" s="0" t="str">
        <f aca="false">IF(B166="","",IF(COUNTIFS('RESEP DAN HPP'!$A$5:$A$504,B166,'RESEP DAN HPP'!$N$5:$N$504,"LENGKAP")=0,"BELUM LENGKAP",INDEX('RESEP DAN HPP'!$J$5:$J$504,MATCH(B166,'RESEP DAN HPP'!$A$5:$A$504,0))))</f>
        <v/>
      </c>
      <c r="P166" s="0" t="str">
        <f aca="false">IF(A166="","",IF(COUNTIFS('TRANSAKSI PENJUALAN'!$A$5:$A$504,A166)=0,"BELUM ADA",INDEX('TRANSAKSI PENJUALAN'!$B$5:$B$504,MATCH(A166,'TRANSAKSI PENJUALAN'!$A$5:$A$504,0))))</f>
        <v/>
      </c>
      <c r="Q166" s="0" t="str">
        <f aca="false">IF(A166="","",IF(COUNTIFS('TRANSAKSI PENJUALAN'!$A$5:$A$504,A166)=0,"BELUM ADA",INDEX('TRANSAKSI PENJUALAN'!$M$5:$M$504,MATCH(A166,'TRANSAKSI PENJUALAN'!$A$5:$A$504,0))))</f>
        <v/>
      </c>
      <c r="R166" s="24" t="str">
        <f aca="false">IF(A166="","",COUNTIF($A$5:A166,A166))</f>
        <v/>
      </c>
      <c r="S166" s="24" t="str">
        <f aca="false">IF(A166="","",A166&amp;"|"&amp;R166)</f>
        <v/>
      </c>
    </row>
    <row r="167" customFormat="false" ht="15" hidden="false" customHeight="false" outlineLevel="0" collapsed="false">
      <c r="C167" s="0" t="str">
        <f aca="false">IF(B167="","",IF(COUNTIFS('MASTER MENU'!$A$5:$A$504,B167)=0,"BELUM ADA",INDEX('MASTER MENU'!$B$5:$B$504,MATCH(B167,'MASTER MENU'!$A$5:$A$504,0))))</f>
        <v/>
      </c>
      <c r="D167" s="0" t="str">
        <f aca="false">IF(B167="","",IF(COUNTIFS('MASTER MENU'!$A$5:$A$504,B167)=0,"BELUM ADA",INDEX('MASTER MENU'!$E$5:$E$504,MATCH(B167,'MASTER MENU'!$A$5:$A$504,0))))</f>
        <v/>
      </c>
      <c r="F167" s="0" t="str">
        <f aca="false">IF(B167="","",IF(COUNTIFS('MASTER MENU'!$A$5:$A$504,B167)=0,"BELUM ADA",INDEX('MASTER MENU'!$F$5:$F$504,MATCH(B167,'MASTER MENU'!$A$5:$A$504,0))))</f>
        <v/>
      </c>
      <c r="G167" s="0" t="str">
        <f aca="false">IF(A167="","",IF(OR(NOT(ISNUMBER(E167)),NOT(ISNUMBER(F167))),"BELUM LENGKAP",ROUND(E167*F167,0)))</f>
        <v/>
      </c>
      <c r="J167" s="0" t="str">
        <f aca="false">IF(A167="","",IF(NOT(ISNUMBER(G167)),"BELUM LENGKAP",G167-H167-I167))</f>
        <v/>
      </c>
      <c r="L167" s="0" t="str">
        <f aca="false">IF(A167="","",IF(NOT(ISNUMBER(K167)),"ISI SNAPSHOT HPP",ROUND(E167*K167,0)))</f>
        <v/>
      </c>
      <c r="M167" s="0" t="str">
        <f aca="false">IF(A167="","",IF(NOT(ISNUMBER(L167)),"BELUM LENGKAP",J167-L167))</f>
        <v/>
      </c>
      <c r="N167" s="0" t="str">
        <f aca="false">IF(B167="","",IF(COUNTIFS('RESEP DAN HPP'!$A$5:$A$504,B167,'RESEP DAN HPP'!$N$5:$N$504,"LENGKAP")=0,"BELUM LENGKAP",INDEX('RESEP DAN HPP'!$J$5:$J$504,MATCH(B167,'RESEP DAN HPP'!$A$5:$A$504,0))))</f>
        <v/>
      </c>
      <c r="P167" s="0" t="str">
        <f aca="false">IF(A167="","",IF(COUNTIFS('TRANSAKSI PENJUALAN'!$A$5:$A$504,A167)=0,"BELUM ADA",INDEX('TRANSAKSI PENJUALAN'!$B$5:$B$504,MATCH(A167,'TRANSAKSI PENJUALAN'!$A$5:$A$504,0))))</f>
        <v/>
      </c>
      <c r="Q167" s="0" t="str">
        <f aca="false">IF(A167="","",IF(COUNTIFS('TRANSAKSI PENJUALAN'!$A$5:$A$504,A167)=0,"BELUM ADA",INDEX('TRANSAKSI PENJUALAN'!$M$5:$M$504,MATCH(A167,'TRANSAKSI PENJUALAN'!$A$5:$A$504,0))))</f>
        <v/>
      </c>
      <c r="R167" s="24" t="str">
        <f aca="false">IF(A167="","",COUNTIF($A$5:A167,A167))</f>
        <v/>
      </c>
      <c r="S167" s="24" t="str">
        <f aca="false">IF(A167="","",A167&amp;"|"&amp;R167)</f>
        <v/>
      </c>
    </row>
    <row r="168" customFormat="false" ht="15" hidden="false" customHeight="false" outlineLevel="0" collapsed="false">
      <c r="C168" s="0" t="str">
        <f aca="false">IF(B168="","",IF(COUNTIFS('MASTER MENU'!$A$5:$A$504,B168)=0,"BELUM ADA",INDEX('MASTER MENU'!$B$5:$B$504,MATCH(B168,'MASTER MENU'!$A$5:$A$504,0))))</f>
        <v/>
      </c>
      <c r="D168" s="0" t="str">
        <f aca="false">IF(B168="","",IF(COUNTIFS('MASTER MENU'!$A$5:$A$504,B168)=0,"BELUM ADA",INDEX('MASTER MENU'!$E$5:$E$504,MATCH(B168,'MASTER MENU'!$A$5:$A$504,0))))</f>
        <v/>
      </c>
      <c r="F168" s="0" t="str">
        <f aca="false">IF(B168="","",IF(COUNTIFS('MASTER MENU'!$A$5:$A$504,B168)=0,"BELUM ADA",INDEX('MASTER MENU'!$F$5:$F$504,MATCH(B168,'MASTER MENU'!$A$5:$A$504,0))))</f>
        <v/>
      </c>
      <c r="G168" s="0" t="str">
        <f aca="false">IF(A168="","",IF(OR(NOT(ISNUMBER(E168)),NOT(ISNUMBER(F168))),"BELUM LENGKAP",ROUND(E168*F168,0)))</f>
        <v/>
      </c>
      <c r="J168" s="0" t="str">
        <f aca="false">IF(A168="","",IF(NOT(ISNUMBER(G168)),"BELUM LENGKAP",G168-H168-I168))</f>
        <v/>
      </c>
      <c r="L168" s="0" t="str">
        <f aca="false">IF(A168="","",IF(NOT(ISNUMBER(K168)),"ISI SNAPSHOT HPP",ROUND(E168*K168,0)))</f>
        <v/>
      </c>
      <c r="M168" s="0" t="str">
        <f aca="false">IF(A168="","",IF(NOT(ISNUMBER(L168)),"BELUM LENGKAP",J168-L168))</f>
        <v/>
      </c>
      <c r="N168" s="0" t="str">
        <f aca="false">IF(B168="","",IF(COUNTIFS('RESEP DAN HPP'!$A$5:$A$504,B168,'RESEP DAN HPP'!$N$5:$N$504,"LENGKAP")=0,"BELUM LENGKAP",INDEX('RESEP DAN HPP'!$J$5:$J$504,MATCH(B168,'RESEP DAN HPP'!$A$5:$A$504,0))))</f>
        <v/>
      </c>
      <c r="P168" s="0" t="str">
        <f aca="false">IF(A168="","",IF(COUNTIFS('TRANSAKSI PENJUALAN'!$A$5:$A$504,A168)=0,"BELUM ADA",INDEX('TRANSAKSI PENJUALAN'!$B$5:$B$504,MATCH(A168,'TRANSAKSI PENJUALAN'!$A$5:$A$504,0))))</f>
        <v/>
      </c>
      <c r="Q168" s="0" t="str">
        <f aca="false">IF(A168="","",IF(COUNTIFS('TRANSAKSI PENJUALAN'!$A$5:$A$504,A168)=0,"BELUM ADA",INDEX('TRANSAKSI PENJUALAN'!$M$5:$M$504,MATCH(A168,'TRANSAKSI PENJUALAN'!$A$5:$A$504,0))))</f>
        <v/>
      </c>
      <c r="R168" s="24" t="str">
        <f aca="false">IF(A168="","",COUNTIF($A$5:A168,A168))</f>
        <v/>
      </c>
      <c r="S168" s="24" t="str">
        <f aca="false">IF(A168="","",A168&amp;"|"&amp;R168)</f>
        <v/>
      </c>
    </row>
    <row r="169" customFormat="false" ht="15" hidden="false" customHeight="false" outlineLevel="0" collapsed="false">
      <c r="C169" s="0" t="str">
        <f aca="false">IF(B169="","",IF(COUNTIFS('MASTER MENU'!$A$5:$A$504,B169)=0,"BELUM ADA",INDEX('MASTER MENU'!$B$5:$B$504,MATCH(B169,'MASTER MENU'!$A$5:$A$504,0))))</f>
        <v/>
      </c>
      <c r="D169" s="0" t="str">
        <f aca="false">IF(B169="","",IF(COUNTIFS('MASTER MENU'!$A$5:$A$504,B169)=0,"BELUM ADA",INDEX('MASTER MENU'!$E$5:$E$504,MATCH(B169,'MASTER MENU'!$A$5:$A$504,0))))</f>
        <v/>
      </c>
      <c r="F169" s="0" t="str">
        <f aca="false">IF(B169="","",IF(COUNTIFS('MASTER MENU'!$A$5:$A$504,B169)=0,"BELUM ADA",INDEX('MASTER MENU'!$F$5:$F$504,MATCH(B169,'MASTER MENU'!$A$5:$A$504,0))))</f>
        <v/>
      </c>
      <c r="G169" s="0" t="str">
        <f aca="false">IF(A169="","",IF(OR(NOT(ISNUMBER(E169)),NOT(ISNUMBER(F169))),"BELUM LENGKAP",ROUND(E169*F169,0)))</f>
        <v/>
      </c>
      <c r="J169" s="0" t="str">
        <f aca="false">IF(A169="","",IF(NOT(ISNUMBER(G169)),"BELUM LENGKAP",G169-H169-I169))</f>
        <v/>
      </c>
      <c r="L169" s="0" t="str">
        <f aca="false">IF(A169="","",IF(NOT(ISNUMBER(K169)),"ISI SNAPSHOT HPP",ROUND(E169*K169,0)))</f>
        <v/>
      </c>
      <c r="M169" s="0" t="str">
        <f aca="false">IF(A169="","",IF(NOT(ISNUMBER(L169)),"BELUM LENGKAP",J169-L169))</f>
        <v/>
      </c>
      <c r="N169" s="0" t="str">
        <f aca="false">IF(B169="","",IF(COUNTIFS('RESEP DAN HPP'!$A$5:$A$504,B169,'RESEP DAN HPP'!$N$5:$N$504,"LENGKAP")=0,"BELUM LENGKAP",INDEX('RESEP DAN HPP'!$J$5:$J$504,MATCH(B169,'RESEP DAN HPP'!$A$5:$A$504,0))))</f>
        <v/>
      </c>
      <c r="P169" s="0" t="str">
        <f aca="false">IF(A169="","",IF(COUNTIFS('TRANSAKSI PENJUALAN'!$A$5:$A$504,A169)=0,"BELUM ADA",INDEX('TRANSAKSI PENJUALAN'!$B$5:$B$504,MATCH(A169,'TRANSAKSI PENJUALAN'!$A$5:$A$504,0))))</f>
        <v/>
      </c>
      <c r="Q169" s="0" t="str">
        <f aca="false">IF(A169="","",IF(COUNTIFS('TRANSAKSI PENJUALAN'!$A$5:$A$504,A169)=0,"BELUM ADA",INDEX('TRANSAKSI PENJUALAN'!$M$5:$M$504,MATCH(A169,'TRANSAKSI PENJUALAN'!$A$5:$A$504,0))))</f>
        <v/>
      </c>
      <c r="R169" s="24" t="str">
        <f aca="false">IF(A169="","",COUNTIF($A$5:A169,A169))</f>
        <v/>
      </c>
      <c r="S169" s="24" t="str">
        <f aca="false">IF(A169="","",A169&amp;"|"&amp;R169)</f>
        <v/>
      </c>
    </row>
    <row r="170" customFormat="false" ht="15" hidden="false" customHeight="false" outlineLevel="0" collapsed="false">
      <c r="C170" s="0" t="str">
        <f aca="false">IF(B170="","",IF(COUNTIFS('MASTER MENU'!$A$5:$A$504,B170)=0,"BELUM ADA",INDEX('MASTER MENU'!$B$5:$B$504,MATCH(B170,'MASTER MENU'!$A$5:$A$504,0))))</f>
        <v/>
      </c>
      <c r="D170" s="0" t="str">
        <f aca="false">IF(B170="","",IF(COUNTIFS('MASTER MENU'!$A$5:$A$504,B170)=0,"BELUM ADA",INDEX('MASTER MENU'!$E$5:$E$504,MATCH(B170,'MASTER MENU'!$A$5:$A$504,0))))</f>
        <v/>
      </c>
      <c r="F170" s="0" t="str">
        <f aca="false">IF(B170="","",IF(COUNTIFS('MASTER MENU'!$A$5:$A$504,B170)=0,"BELUM ADA",INDEX('MASTER MENU'!$F$5:$F$504,MATCH(B170,'MASTER MENU'!$A$5:$A$504,0))))</f>
        <v/>
      </c>
      <c r="G170" s="0" t="str">
        <f aca="false">IF(A170="","",IF(OR(NOT(ISNUMBER(E170)),NOT(ISNUMBER(F170))),"BELUM LENGKAP",ROUND(E170*F170,0)))</f>
        <v/>
      </c>
      <c r="J170" s="0" t="str">
        <f aca="false">IF(A170="","",IF(NOT(ISNUMBER(G170)),"BELUM LENGKAP",G170-H170-I170))</f>
        <v/>
      </c>
      <c r="L170" s="0" t="str">
        <f aca="false">IF(A170="","",IF(NOT(ISNUMBER(K170)),"ISI SNAPSHOT HPP",ROUND(E170*K170,0)))</f>
        <v/>
      </c>
      <c r="M170" s="0" t="str">
        <f aca="false">IF(A170="","",IF(NOT(ISNUMBER(L170)),"BELUM LENGKAP",J170-L170))</f>
        <v/>
      </c>
      <c r="N170" s="0" t="str">
        <f aca="false">IF(B170="","",IF(COUNTIFS('RESEP DAN HPP'!$A$5:$A$504,B170,'RESEP DAN HPP'!$N$5:$N$504,"LENGKAP")=0,"BELUM LENGKAP",INDEX('RESEP DAN HPP'!$J$5:$J$504,MATCH(B170,'RESEP DAN HPP'!$A$5:$A$504,0))))</f>
        <v/>
      </c>
      <c r="P170" s="0" t="str">
        <f aca="false">IF(A170="","",IF(COUNTIFS('TRANSAKSI PENJUALAN'!$A$5:$A$504,A170)=0,"BELUM ADA",INDEX('TRANSAKSI PENJUALAN'!$B$5:$B$504,MATCH(A170,'TRANSAKSI PENJUALAN'!$A$5:$A$504,0))))</f>
        <v/>
      </c>
      <c r="Q170" s="0" t="str">
        <f aca="false">IF(A170="","",IF(COUNTIFS('TRANSAKSI PENJUALAN'!$A$5:$A$504,A170)=0,"BELUM ADA",INDEX('TRANSAKSI PENJUALAN'!$M$5:$M$504,MATCH(A170,'TRANSAKSI PENJUALAN'!$A$5:$A$504,0))))</f>
        <v/>
      </c>
      <c r="R170" s="24" t="str">
        <f aca="false">IF(A170="","",COUNTIF($A$5:A170,A170))</f>
        <v/>
      </c>
      <c r="S170" s="24" t="str">
        <f aca="false">IF(A170="","",A170&amp;"|"&amp;R170)</f>
        <v/>
      </c>
    </row>
    <row r="171" customFormat="false" ht="15" hidden="false" customHeight="false" outlineLevel="0" collapsed="false">
      <c r="C171" s="0" t="str">
        <f aca="false">IF(B171="","",IF(COUNTIFS('MASTER MENU'!$A$5:$A$504,B171)=0,"BELUM ADA",INDEX('MASTER MENU'!$B$5:$B$504,MATCH(B171,'MASTER MENU'!$A$5:$A$504,0))))</f>
        <v/>
      </c>
      <c r="D171" s="0" t="str">
        <f aca="false">IF(B171="","",IF(COUNTIFS('MASTER MENU'!$A$5:$A$504,B171)=0,"BELUM ADA",INDEX('MASTER MENU'!$E$5:$E$504,MATCH(B171,'MASTER MENU'!$A$5:$A$504,0))))</f>
        <v/>
      </c>
      <c r="F171" s="0" t="str">
        <f aca="false">IF(B171="","",IF(COUNTIFS('MASTER MENU'!$A$5:$A$504,B171)=0,"BELUM ADA",INDEX('MASTER MENU'!$F$5:$F$504,MATCH(B171,'MASTER MENU'!$A$5:$A$504,0))))</f>
        <v/>
      </c>
      <c r="G171" s="0" t="str">
        <f aca="false">IF(A171="","",IF(OR(NOT(ISNUMBER(E171)),NOT(ISNUMBER(F171))),"BELUM LENGKAP",ROUND(E171*F171,0)))</f>
        <v/>
      </c>
      <c r="J171" s="0" t="str">
        <f aca="false">IF(A171="","",IF(NOT(ISNUMBER(G171)),"BELUM LENGKAP",G171-H171-I171))</f>
        <v/>
      </c>
      <c r="L171" s="0" t="str">
        <f aca="false">IF(A171="","",IF(NOT(ISNUMBER(K171)),"ISI SNAPSHOT HPP",ROUND(E171*K171,0)))</f>
        <v/>
      </c>
      <c r="M171" s="0" t="str">
        <f aca="false">IF(A171="","",IF(NOT(ISNUMBER(L171)),"BELUM LENGKAP",J171-L171))</f>
        <v/>
      </c>
      <c r="N171" s="0" t="str">
        <f aca="false">IF(B171="","",IF(COUNTIFS('RESEP DAN HPP'!$A$5:$A$504,B171,'RESEP DAN HPP'!$N$5:$N$504,"LENGKAP")=0,"BELUM LENGKAP",INDEX('RESEP DAN HPP'!$J$5:$J$504,MATCH(B171,'RESEP DAN HPP'!$A$5:$A$504,0))))</f>
        <v/>
      </c>
      <c r="P171" s="0" t="str">
        <f aca="false">IF(A171="","",IF(COUNTIFS('TRANSAKSI PENJUALAN'!$A$5:$A$504,A171)=0,"BELUM ADA",INDEX('TRANSAKSI PENJUALAN'!$B$5:$B$504,MATCH(A171,'TRANSAKSI PENJUALAN'!$A$5:$A$504,0))))</f>
        <v/>
      </c>
      <c r="Q171" s="0" t="str">
        <f aca="false">IF(A171="","",IF(COUNTIFS('TRANSAKSI PENJUALAN'!$A$5:$A$504,A171)=0,"BELUM ADA",INDEX('TRANSAKSI PENJUALAN'!$M$5:$M$504,MATCH(A171,'TRANSAKSI PENJUALAN'!$A$5:$A$504,0))))</f>
        <v/>
      </c>
      <c r="R171" s="24" t="str">
        <f aca="false">IF(A171="","",COUNTIF($A$5:A171,A171))</f>
        <v/>
      </c>
      <c r="S171" s="24" t="str">
        <f aca="false">IF(A171="","",A171&amp;"|"&amp;R171)</f>
        <v/>
      </c>
    </row>
    <row r="172" customFormat="false" ht="15" hidden="false" customHeight="false" outlineLevel="0" collapsed="false">
      <c r="C172" s="0" t="str">
        <f aca="false">IF(B172="","",IF(COUNTIFS('MASTER MENU'!$A$5:$A$504,B172)=0,"BELUM ADA",INDEX('MASTER MENU'!$B$5:$B$504,MATCH(B172,'MASTER MENU'!$A$5:$A$504,0))))</f>
        <v/>
      </c>
      <c r="D172" s="0" t="str">
        <f aca="false">IF(B172="","",IF(COUNTIFS('MASTER MENU'!$A$5:$A$504,B172)=0,"BELUM ADA",INDEX('MASTER MENU'!$E$5:$E$504,MATCH(B172,'MASTER MENU'!$A$5:$A$504,0))))</f>
        <v/>
      </c>
      <c r="F172" s="0" t="str">
        <f aca="false">IF(B172="","",IF(COUNTIFS('MASTER MENU'!$A$5:$A$504,B172)=0,"BELUM ADA",INDEX('MASTER MENU'!$F$5:$F$504,MATCH(B172,'MASTER MENU'!$A$5:$A$504,0))))</f>
        <v/>
      </c>
      <c r="G172" s="0" t="str">
        <f aca="false">IF(A172="","",IF(OR(NOT(ISNUMBER(E172)),NOT(ISNUMBER(F172))),"BELUM LENGKAP",ROUND(E172*F172,0)))</f>
        <v/>
      </c>
      <c r="J172" s="0" t="str">
        <f aca="false">IF(A172="","",IF(NOT(ISNUMBER(G172)),"BELUM LENGKAP",G172-H172-I172))</f>
        <v/>
      </c>
      <c r="L172" s="0" t="str">
        <f aca="false">IF(A172="","",IF(NOT(ISNUMBER(K172)),"ISI SNAPSHOT HPP",ROUND(E172*K172,0)))</f>
        <v/>
      </c>
      <c r="M172" s="0" t="str">
        <f aca="false">IF(A172="","",IF(NOT(ISNUMBER(L172)),"BELUM LENGKAP",J172-L172))</f>
        <v/>
      </c>
      <c r="N172" s="0" t="str">
        <f aca="false">IF(B172="","",IF(COUNTIFS('RESEP DAN HPP'!$A$5:$A$504,B172,'RESEP DAN HPP'!$N$5:$N$504,"LENGKAP")=0,"BELUM LENGKAP",INDEX('RESEP DAN HPP'!$J$5:$J$504,MATCH(B172,'RESEP DAN HPP'!$A$5:$A$504,0))))</f>
        <v/>
      </c>
      <c r="P172" s="0" t="str">
        <f aca="false">IF(A172="","",IF(COUNTIFS('TRANSAKSI PENJUALAN'!$A$5:$A$504,A172)=0,"BELUM ADA",INDEX('TRANSAKSI PENJUALAN'!$B$5:$B$504,MATCH(A172,'TRANSAKSI PENJUALAN'!$A$5:$A$504,0))))</f>
        <v/>
      </c>
      <c r="Q172" s="0" t="str">
        <f aca="false">IF(A172="","",IF(COUNTIFS('TRANSAKSI PENJUALAN'!$A$5:$A$504,A172)=0,"BELUM ADA",INDEX('TRANSAKSI PENJUALAN'!$M$5:$M$504,MATCH(A172,'TRANSAKSI PENJUALAN'!$A$5:$A$504,0))))</f>
        <v/>
      </c>
      <c r="R172" s="24" t="str">
        <f aca="false">IF(A172="","",COUNTIF($A$5:A172,A172))</f>
        <v/>
      </c>
      <c r="S172" s="24" t="str">
        <f aca="false">IF(A172="","",A172&amp;"|"&amp;R172)</f>
        <v/>
      </c>
    </row>
    <row r="173" customFormat="false" ht="15" hidden="false" customHeight="false" outlineLevel="0" collapsed="false">
      <c r="C173" s="0" t="str">
        <f aca="false">IF(B173="","",IF(COUNTIFS('MASTER MENU'!$A$5:$A$504,B173)=0,"BELUM ADA",INDEX('MASTER MENU'!$B$5:$B$504,MATCH(B173,'MASTER MENU'!$A$5:$A$504,0))))</f>
        <v/>
      </c>
      <c r="D173" s="0" t="str">
        <f aca="false">IF(B173="","",IF(COUNTIFS('MASTER MENU'!$A$5:$A$504,B173)=0,"BELUM ADA",INDEX('MASTER MENU'!$E$5:$E$504,MATCH(B173,'MASTER MENU'!$A$5:$A$504,0))))</f>
        <v/>
      </c>
      <c r="F173" s="0" t="str">
        <f aca="false">IF(B173="","",IF(COUNTIFS('MASTER MENU'!$A$5:$A$504,B173)=0,"BELUM ADA",INDEX('MASTER MENU'!$F$5:$F$504,MATCH(B173,'MASTER MENU'!$A$5:$A$504,0))))</f>
        <v/>
      </c>
      <c r="G173" s="0" t="str">
        <f aca="false">IF(A173="","",IF(OR(NOT(ISNUMBER(E173)),NOT(ISNUMBER(F173))),"BELUM LENGKAP",ROUND(E173*F173,0)))</f>
        <v/>
      </c>
      <c r="J173" s="0" t="str">
        <f aca="false">IF(A173="","",IF(NOT(ISNUMBER(G173)),"BELUM LENGKAP",G173-H173-I173))</f>
        <v/>
      </c>
      <c r="L173" s="0" t="str">
        <f aca="false">IF(A173="","",IF(NOT(ISNUMBER(K173)),"ISI SNAPSHOT HPP",ROUND(E173*K173,0)))</f>
        <v/>
      </c>
      <c r="M173" s="0" t="str">
        <f aca="false">IF(A173="","",IF(NOT(ISNUMBER(L173)),"BELUM LENGKAP",J173-L173))</f>
        <v/>
      </c>
      <c r="N173" s="0" t="str">
        <f aca="false">IF(B173="","",IF(COUNTIFS('RESEP DAN HPP'!$A$5:$A$504,B173,'RESEP DAN HPP'!$N$5:$N$504,"LENGKAP")=0,"BELUM LENGKAP",INDEX('RESEP DAN HPP'!$J$5:$J$504,MATCH(B173,'RESEP DAN HPP'!$A$5:$A$504,0))))</f>
        <v/>
      </c>
      <c r="P173" s="0" t="str">
        <f aca="false">IF(A173="","",IF(COUNTIFS('TRANSAKSI PENJUALAN'!$A$5:$A$504,A173)=0,"BELUM ADA",INDEX('TRANSAKSI PENJUALAN'!$B$5:$B$504,MATCH(A173,'TRANSAKSI PENJUALAN'!$A$5:$A$504,0))))</f>
        <v/>
      </c>
      <c r="Q173" s="0" t="str">
        <f aca="false">IF(A173="","",IF(COUNTIFS('TRANSAKSI PENJUALAN'!$A$5:$A$504,A173)=0,"BELUM ADA",INDEX('TRANSAKSI PENJUALAN'!$M$5:$M$504,MATCH(A173,'TRANSAKSI PENJUALAN'!$A$5:$A$504,0))))</f>
        <v/>
      </c>
      <c r="R173" s="24" t="str">
        <f aca="false">IF(A173="","",COUNTIF($A$5:A173,A173))</f>
        <v/>
      </c>
      <c r="S173" s="24" t="str">
        <f aca="false">IF(A173="","",A173&amp;"|"&amp;R173)</f>
        <v/>
      </c>
    </row>
    <row r="174" customFormat="false" ht="15" hidden="false" customHeight="false" outlineLevel="0" collapsed="false">
      <c r="C174" s="0" t="str">
        <f aca="false">IF(B174="","",IF(COUNTIFS('MASTER MENU'!$A$5:$A$504,B174)=0,"BELUM ADA",INDEX('MASTER MENU'!$B$5:$B$504,MATCH(B174,'MASTER MENU'!$A$5:$A$504,0))))</f>
        <v/>
      </c>
      <c r="D174" s="0" t="str">
        <f aca="false">IF(B174="","",IF(COUNTIFS('MASTER MENU'!$A$5:$A$504,B174)=0,"BELUM ADA",INDEX('MASTER MENU'!$E$5:$E$504,MATCH(B174,'MASTER MENU'!$A$5:$A$504,0))))</f>
        <v/>
      </c>
      <c r="F174" s="0" t="str">
        <f aca="false">IF(B174="","",IF(COUNTIFS('MASTER MENU'!$A$5:$A$504,B174)=0,"BELUM ADA",INDEX('MASTER MENU'!$F$5:$F$504,MATCH(B174,'MASTER MENU'!$A$5:$A$504,0))))</f>
        <v/>
      </c>
      <c r="G174" s="0" t="str">
        <f aca="false">IF(A174="","",IF(OR(NOT(ISNUMBER(E174)),NOT(ISNUMBER(F174))),"BELUM LENGKAP",ROUND(E174*F174,0)))</f>
        <v/>
      </c>
      <c r="J174" s="0" t="str">
        <f aca="false">IF(A174="","",IF(NOT(ISNUMBER(G174)),"BELUM LENGKAP",G174-H174-I174))</f>
        <v/>
      </c>
      <c r="L174" s="0" t="str">
        <f aca="false">IF(A174="","",IF(NOT(ISNUMBER(K174)),"ISI SNAPSHOT HPP",ROUND(E174*K174,0)))</f>
        <v/>
      </c>
      <c r="M174" s="0" t="str">
        <f aca="false">IF(A174="","",IF(NOT(ISNUMBER(L174)),"BELUM LENGKAP",J174-L174))</f>
        <v/>
      </c>
      <c r="N174" s="0" t="str">
        <f aca="false">IF(B174="","",IF(COUNTIFS('RESEP DAN HPP'!$A$5:$A$504,B174,'RESEP DAN HPP'!$N$5:$N$504,"LENGKAP")=0,"BELUM LENGKAP",INDEX('RESEP DAN HPP'!$J$5:$J$504,MATCH(B174,'RESEP DAN HPP'!$A$5:$A$504,0))))</f>
        <v/>
      </c>
      <c r="P174" s="0" t="str">
        <f aca="false">IF(A174="","",IF(COUNTIFS('TRANSAKSI PENJUALAN'!$A$5:$A$504,A174)=0,"BELUM ADA",INDEX('TRANSAKSI PENJUALAN'!$B$5:$B$504,MATCH(A174,'TRANSAKSI PENJUALAN'!$A$5:$A$504,0))))</f>
        <v/>
      </c>
      <c r="Q174" s="0" t="str">
        <f aca="false">IF(A174="","",IF(COUNTIFS('TRANSAKSI PENJUALAN'!$A$5:$A$504,A174)=0,"BELUM ADA",INDEX('TRANSAKSI PENJUALAN'!$M$5:$M$504,MATCH(A174,'TRANSAKSI PENJUALAN'!$A$5:$A$504,0))))</f>
        <v/>
      </c>
      <c r="R174" s="24" t="str">
        <f aca="false">IF(A174="","",COUNTIF($A$5:A174,A174))</f>
        <v/>
      </c>
      <c r="S174" s="24" t="str">
        <f aca="false">IF(A174="","",A174&amp;"|"&amp;R174)</f>
        <v/>
      </c>
    </row>
    <row r="175" customFormat="false" ht="15" hidden="false" customHeight="false" outlineLevel="0" collapsed="false">
      <c r="C175" s="0" t="str">
        <f aca="false">IF(B175="","",IF(COUNTIFS('MASTER MENU'!$A$5:$A$504,B175)=0,"BELUM ADA",INDEX('MASTER MENU'!$B$5:$B$504,MATCH(B175,'MASTER MENU'!$A$5:$A$504,0))))</f>
        <v/>
      </c>
      <c r="D175" s="0" t="str">
        <f aca="false">IF(B175="","",IF(COUNTIFS('MASTER MENU'!$A$5:$A$504,B175)=0,"BELUM ADA",INDEX('MASTER MENU'!$E$5:$E$504,MATCH(B175,'MASTER MENU'!$A$5:$A$504,0))))</f>
        <v/>
      </c>
      <c r="F175" s="0" t="str">
        <f aca="false">IF(B175="","",IF(COUNTIFS('MASTER MENU'!$A$5:$A$504,B175)=0,"BELUM ADA",INDEX('MASTER MENU'!$F$5:$F$504,MATCH(B175,'MASTER MENU'!$A$5:$A$504,0))))</f>
        <v/>
      </c>
      <c r="G175" s="0" t="str">
        <f aca="false">IF(A175="","",IF(OR(NOT(ISNUMBER(E175)),NOT(ISNUMBER(F175))),"BELUM LENGKAP",ROUND(E175*F175,0)))</f>
        <v/>
      </c>
      <c r="J175" s="0" t="str">
        <f aca="false">IF(A175="","",IF(NOT(ISNUMBER(G175)),"BELUM LENGKAP",G175-H175-I175))</f>
        <v/>
      </c>
      <c r="L175" s="0" t="str">
        <f aca="false">IF(A175="","",IF(NOT(ISNUMBER(K175)),"ISI SNAPSHOT HPP",ROUND(E175*K175,0)))</f>
        <v/>
      </c>
      <c r="M175" s="0" t="str">
        <f aca="false">IF(A175="","",IF(NOT(ISNUMBER(L175)),"BELUM LENGKAP",J175-L175))</f>
        <v/>
      </c>
      <c r="N175" s="0" t="str">
        <f aca="false">IF(B175="","",IF(COUNTIFS('RESEP DAN HPP'!$A$5:$A$504,B175,'RESEP DAN HPP'!$N$5:$N$504,"LENGKAP")=0,"BELUM LENGKAP",INDEX('RESEP DAN HPP'!$J$5:$J$504,MATCH(B175,'RESEP DAN HPP'!$A$5:$A$504,0))))</f>
        <v/>
      </c>
      <c r="P175" s="0" t="str">
        <f aca="false">IF(A175="","",IF(COUNTIFS('TRANSAKSI PENJUALAN'!$A$5:$A$504,A175)=0,"BELUM ADA",INDEX('TRANSAKSI PENJUALAN'!$B$5:$B$504,MATCH(A175,'TRANSAKSI PENJUALAN'!$A$5:$A$504,0))))</f>
        <v/>
      </c>
      <c r="Q175" s="0" t="str">
        <f aca="false">IF(A175="","",IF(COUNTIFS('TRANSAKSI PENJUALAN'!$A$5:$A$504,A175)=0,"BELUM ADA",INDEX('TRANSAKSI PENJUALAN'!$M$5:$M$504,MATCH(A175,'TRANSAKSI PENJUALAN'!$A$5:$A$504,0))))</f>
        <v/>
      </c>
      <c r="R175" s="24" t="str">
        <f aca="false">IF(A175="","",COUNTIF($A$5:A175,A175))</f>
        <v/>
      </c>
      <c r="S175" s="24" t="str">
        <f aca="false">IF(A175="","",A175&amp;"|"&amp;R175)</f>
        <v/>
      </c>
    </row>
    <row r="176" customFormat="false" ht="15" hidden="false" customHeight="false" outlineLevel="0" collapsed="false">
      <c r="C176" s="0" t="str">
        <f aca="false">IF(B176="","",IF(COUNTIFS('MASTER MENU'!$A$5:$A$504,B176)=0,"BELUM ADA",INDEX('MASTER MENU'!$B$5:$B$504,MATCH(B176,'MASTER MENU'!$A$5:$A$504,0))))</f>
        <v/>
      </c>
      <c r="D176" s="0" t="str">
        <f aca="false">IF(B176="","",IF(COUNTIFS('MASTER MENU'!$A$5:$A$504,B176)=0,"BELUM ADA",INDEX('MASTER MENU'!$E$5:$E$504,MATCH(B176,'MASTER MENU'!$A$5:$A$504,0))))</f>
        <v/>
      </c>
      <c r="F176" s="0" t="str">
        <f aca="false">IF(B176="","",IF(COUNTIFS('MASTER MENU'!$A$5:$A$504,B176)=0,"BELUM ADA",INDEX('MASTER MENU'!$F$5:$F$504,MATCH(B176,'MASTER MENU'!$A$5:$A$504,0))))</f>
        <v/>
      </c>
      <c r="G176" s="0" t="str">
        <f aca="false">IF(A176="","",IF(OR(NOT(ISNUMBER(E176)),NOT(ISNUMBER(F176))),"BELUM LENGKAP",ROUND(E176*F176,0)))</f>
        <v/>
      </c>
      <c r="J176" s="0" t="str">
        <f aca="false">IF(A176="","",IF(NOT(ISNUMBER(G176)),"BELUM LENGKAP",G176-H176-I176))</f>
        <v/>
      </c>
      <c r="L176" s="0" t="str">
        <f aca="false">IF(A176="","",IF(NOT(ISNUMBER(K176)),"ISI SNAPSHOT HPP",ROUND(E176*K176,0)))</f>
        <v/>
      </c>
      <c r="M176" s="0" t="str">
        <f aca="false">IF(A176="","",IF(NOT(ISNUMBER(L176)),"BELUM LENGKAP",J176-L176))</f>
        <v/>
      </c>
      <c r="N176" s="0" t="str">
        <f aca="false">IF(B176="","",IF(COUNTIFS('RESEP DAN HPP'!$A$5:$A$504,B176,'RESEP DAN HPP'!$N$5:$N$504,"LENGKAP")=0,"BELUM LENGKAP",INDEX('RESEP DAN HPP'!$J$5:$J$504,MATCH(B176,'RESEP DAN HPP'!$A$5:$A$504,0))))</f>
        <v/>
      </c>
      <c r="P176" s="0" t="str">
        <f aca="false">IF(A176="","",IF(COUNTIFS('TRANSAKSI PENJUALAN'!$A$5:$A$504,A176)=0,"BELUM ADA",INDEX('TRANSAKSI PENJUALAN'!$B$5:$B$504,MATCH(A176,'TRANSAKSI PENJUALAN'!$A$5:$A$504,0))))</f>
        <v/>
      </c>
      <c r="Q176" s="0" t="str">
        <f aca="false">IF(A176="","",IF(COUNTIFS('TRANSAKSI PENJUALAN'!$A$5:$A$504,A176)=0,"BELUM ADA",INDEX('TRANSAKSI PENJUALAN'!$M$5:$M$504,MATCH(A176,'TRANSAKSI PENJUALAN'!$A$5:$A$504,0))))</f>
        <v/>
      </c>
      <c r="R176" s="24" t="str">
        <f aca="false">IF(A176="","",COUNTIF($A$5:A176,A176))</f>
        <v/>
      </c>
      <c r="S176" s="24" t="str">
        <f aca="false">IF(A176="","",A176&amp;"|"&amp;R176)</f>
        <v/>
      </c>
    </row>
    <row r="177" customFormat="false" ht="15" hidden="false" customHeight="false" outlineLevel="0" collapsed="false">
      <c r="C177" s="0" t="str">
        <f aca="false">IF(B177="","",IF(COUNTIFS('MASTER MENU'!$A$5:$A$504,B177)=0,"BELUM ADA",INDEX('MASTER MENU'!$B$5:$B$504,MATCH(B177,'MASTER MENU'!$A$5:$A$504,0))))</f>
        <v/>
      </c>
      <c r="D177" s="0" t="str">
        <f aca="false">IF(B177="","",IF(COUNTIFS('MASTER MENU'!$A$5:$A$504,B177)=0,"BELUM ADA",INDEX('MASTER MENU'!$E$5:$E$504,MATCH(B177,'MASTER MENU'!$A$5:$A$504,0))))</f>
        <v/>
      </c>
      <c r="F177" s="0" t="str">
        <f aca="false">IF(B177="","",IF(COUNTIFS('MASTER MENU'!$A$5:$A$504,B177)=0,"BELUM ADA",INDEX('MASTER MENU'!$F$5:$F$504,MATCH(B177,'MASTER MENU'!$A$5:$A$504,0))))</f>
        <v/>
      </c>
      <c r="G177" s="0" t="str">
        <f aca="false">IF(A177="","",IF(OR(NOT(ISNUMBER(E177)),NOT(ISNUMBER(F177))),"BELUM LENGKAP",ROUND(E177*F177,0)))</f>
        <v/>
      </c>
      <c r="J177" s="0" t="str">
        <f aca="false">IF(A177="","",IF(NOT(ISNUMBER(G177)),"BELUM LENGKAP",G177-H177-I177))</f>
        <v/>
      </c>
      <c r="L177" s="0" t="str">
        <f aca="false">IF(A177="","",IF(NOT(ISNUMBER(K177)),"ISI SNAPSHOT HPP",ROUND(E177*K177,0)))</f>
        <v/>
      </c>
      <c r="M177" s="0" t="str">
        <f aca="false">IF(A177="","",IF(NOT(ISNUMBER(L177)),"BELUM LENGKAP",J177-L177))</f>
        <v/>
      </c>
      <c r="N177" s="0" t="str">
        <f aca="false">IF(B177="","",IF(COUNTIFS('RESEP DAN HPP'!$A$5:$A$504,B177,'RESEP DAN HPP'!$N$5:$N$504,"LENGKAP")=0,"BELUM LENGKAP",INDEX('RESEP DAN HPP'!$J$5:$J$504,MATCH(B177,'RESEP DAN HPP'!$A$5:$A$504,0))))</f>
        <v/>
      </c>
      <c r="P177" s="0" t="str">
        <f aca="false">IF(A177="","",IF(COUNTIFS('TRANSAKSI PENJUALAN'!$A$5:$A$504,A177)=0,"BELUM ADA",INDEX('TRANSAKSI PENJUALAN'!$B$5:$B$504,MATCH(A177,'TRANSAKSI PENJUALAN'!$A$5:$A$504,0))))</f>
        <v/>
      </c>
      <c r="Q177" s="0" t="str">
        <f aca="false">IF(A177="","",IF(COUNTIFS('TRANSAKSI PENJUALAN'!$A$5:$A$504,A177)=0,"BELUM ADA",INDEX('TRANSAKSI PENJUALAN'!$M$5:$M$504,MATCH(A177,'TRANSAKSI PENJUALAN'!$A$5:$A$504,0))))</f>
        <v/>
      </c>
      <c r="R177" s="24" t="str">
        <f aca="false">IF(A177="","",COUNTIF($A$5:A177,A177))</f>
        <v/>
      </c>
      <c r="S177" s="24" t="str">
        <f aca="false">IF(A177="","",A177&amp;"|"&amp;R177)</f>
        <v/>
      </c>
    </row>
    <row r="178" customFormat="false" ht="15" hidden="false" customHeight="false" outlineLevel="0" collapsed="false">
      <c r="C178" s="0" t="str">
        <f aca="false">IF(B178="","",IF(COUNTIFS('MASTER MENU'!$A$5:$A$504,B178)=0,"BELUM ADA",INDEX('MASTER MENU'!$B$5:$B$504,MATCH(B178,'MASTER MENU'!$A$5:$A$504,0))))</f>
        <v/>
      </c>
      <c r="D178" s="0" t="str">
        <f aca="false">IF(B178="","",IF(COUNTIFS('MASTER MENU'!$A$5:$A$504,B178)=0,"BELUM ADA",INDEX('MASTER MENU'!$E$5:$E$504,MATCH(B178,'MASTER MENU'!$A$5:$A$504,0))))</f>
        <v/>
      </c>
      <c r="F178" s="0" t="str">
        <f aca="false">IF(B178="","",IF(COUNTIFS('MASTER MENU'!$A$5:$A$504,B178)=0,"BELUM ADA",INDEX('MASTER MENU'!$F$5:$F$504,MATCH(B178,'MASTER MENU'!$A$5:$A$504,0))))</f>
        <v/>
      </c>
      <c r="G178" s="0" t="str">
        <f aca="false">IF(A178="","",IF(OR(NOT(ISNUMBER(E178)),NOT(ISNUMBER(F178))),"BELUM LENGKAP",ROUND(E178*F178,0)))</f>
        <v/>
      </c>
      <c r="J178" s="0" t="str">
        <f aca="false">IF(A178="","",IF(NOT(ISNUMBER(G178)),"BELUM LENGKAP",G178-H178-I178))</f>
        <v/>
      </c>
      <c r="L178" s="0" t="str">
        <f aca="false">IF(A178="","",IF(NOT(ISNUMBER(K178)),"ISI SNAPSHOT HPP",ROUND(E178*K178,0)))</f>
        <v/>
      </c>
      <c r="M178" s="0" t="str">
        <f aca="false">IF(A178="","",IF(NOT(ISNUMBER(L178)),"BELUM LENGKAP",J178-L178))</f>
        <v/>
      </c>
      <c r="N178" s="0" t="str">
        <f aca="false">IF(B178="","",IF(COUNTIFS('RESEP DAN HPP'!$A$5:$A$504,B178,'RESEP DAN HPP'!$N$5:$N$504,"LENGKAP")=0,"BELUM LENGKAP",INDEX('RESEP DAN HPP'!$J$5:$J$504,MATCH(B178,'RESEP DAN HPP'!$A$5:$A$504,0))))</f>
        <v/>
      </c>
      <c r="P178" s="0" t="str">
        <f aca="false">IF(A178="","",IF(COUNTIFS('TRANSAKSI PENJUALAN'!$A$5:$A$504,A178)=0,"BELUM ADA",INDEX('TRANSAKSI PENJUALAN'!$B$5:$B$504,MATCH(A178,'TRANSAKSI PENJUALAN'!$A$5:$A$504,0))))</f>
        <v/>
      </c>
      <c r="Q178" s="0" t="str">
        <f aca="false">IF(A178="","",IF(COUNTIFS('TRANSAKSI PENJUALAN'!$A$5:$A$504,A178)=0,"BELUM ADA",INDEX('TRANSAKSI PENJUALAN'!$M$5:$M$504,MATCH(A178,'TRANSAKSI PENJUALAN'!$A$5:$A$504,0))))</f>
        <v/>
      </c>
      <c r="R178" s="24" t="str">
        <f aca="false">IF(A178="","",COUNTIF($A$5:A178,A178))</f>
        <v/>
      </c>
      <c r="S178" s="24" t="str">
        <f aca="false">IF(A178="","",A178&amp;"|"&amp;R178)</f>
        <v/>
      </c>
    </row>
    <row r="179" customFormat="false" ht="15" hidden="false" customHeight="false" outlineLevel="0" collapsed="false">
      <c r="C179" s="0" t="str">
        <f aca="false">IF(B179="","",IF(COUNTIFS('MASTER MENU'!$A$5:$A$504,B179)=0,"BELUM ADA",INDEX('MASTER MENU'!$B$5:$B$504,MATCH(B179,'MASTER MENU'!$A$5:$A$504,0))))</f>
        <v/>
      </c>
      <c r="D179" s="0" t="str">
        <f aca="false">IF(B179="","",IF(COUNTIFS('MASTER MENU'!$A$5:$A$504,B179)=0,"BELUM ADA",INDEX('MASTER MENU'!$E$5:$E$504,MATCH(B179,'MASTER MENU'!$A$5:$A$504,0))))</f>
        <v/>
      </c>
      <c r="F179" s="0" t="str">
        <f aca="false">IF(B179="","",IF(COUNTIFS('MASTER MENU'!$A$5:$A$504,B179)=0,"BELUM ADA",INDEX('MASTER MENU'!$F$5:$F$504,MATCH(B179,'MASTER MENU'!$A$5:$A$504,0))))</f>
        <v/>
      </c>
      <c r="G179" s="0" t="str">
        <f aca="false">IF(A179="","",IF(OR(NOT(ISNUMBER(E179)),NOT(ISNUMBER(F179))),"BELUM LENGKAP",ROUND(E179*F179,0)))</f>
        <v/>
      </c>
      <c r="J179" s="0" t="str">
        <f aca="false">IF(A179="","",IF(NOT(ISNUMBER(G179)),"BELUM LENGKAP",G179-H179-I179))</f>
        <v/>
      </c>
      <c r="L179" s="0" t="str">
        <f aca="false">IF(A179="","",IF(NOT(ISNUMBER(K179)),"ISI SNAPSHOT HPP",ROUND(E179*K179,0)))</f>
        <v/>
      </c>
      <c r="M179" s="0" t="str">
        <f aca="false">IF(A179="","",IF(NOT(ISNUMBER(L179)),"BELUM LENGKAP",J179-L179))</f>
        <v/>
      </c>
      <c r="N179" s="0" t="str">
        <f aca="false">IF(B179="","",IF(COUNTIFS('RESEP DAN HPP'!$A$5:$A$504,B179,'RESEP DAN HPP'!$N$5:$N$504,"LENGKAP")=0,"BELUM LENGKAP",INDEX('RESEP DAN HPP'!$J$5:$J$504,MATCH(B179,'RESEP DAN HPP'!$A$5:$A$504,0))))</f>
        <v/>
      </c>
      <c r="P179" s="0" t="str">
        <f aca="false">IF(A179="","",IF(COUNTIFS('TRANSAKSI PENJUALAN'!$A$5:$A$504,A179)=0,"BELUM ADA",INDEX('TRANSAKSI PENJUALAN'!$B$5:$B$504,MATCH(A179,'TRANSAKSI PENJUALAN'!$A$5:$A$504,0))))</f>
        <v/>
      </c>
      <c r="Q179" s="0" t="str">
        <f aca="false">IF(A179="","",IF(COUNTIFS('TRANSAKSI PENJUALAN'!$A$5:$A$504,A179)=0,"BELUM ADA",INDEX('TRANSAKSI PENJUALAN'!$M$5:$M$504,MATCH(A179,'TRANSAKSI PENJUALAN'!$A$5:$A$504,0))))</f>
        <v/>
      </c>
      <c r="R179" s="24" t="str">
        <f aca="false">IF(A179="","",COUNTIF($A$5:A179,A179))</f>
        <v/>
      </c>
      <c r="S179" s="24" t="str">
        <f aca="false">IF(A179="","",A179&amp;"|"&amp;R179)</f>
        <v/>
      </c>
    </row>
    <row r="180" customFormat="false" ht="15" hidden="false" customHeight="false" outlineLevel="0" collapsed="false">
      <c r="C180" s="0" t="str">
        <f aca="false">IF(B180="","",IF(COUNTIFS('MASTER MENU'!$A$5:$A$504,B180)=0,"BELUM ADA",INDEX('MASTER MENU'!$B$5:$B$504,MATCH(B180,'MASTER MENU'!$A$5:$A$504,0))))</f>
        <v/>
      </c>
      <c r="D180" s="0" t="str">
        <f aca="false">IF(B180="","",IF(COUNTIFS('MASTER MENU'!$A$5:$A$504,B180)=0,"BELUM ADA",INDEX('MASTER MENU'!$E$5:$E$504,MATCH(B180,'MASTER MENU'!$A$5:$A$504,0))))</f>
        <v/>
      </c>
      <c r="F180" s="0" t="str">
        <f aca="false">IF(B180="","",IF(COUNTIFS('MASTER MENU'!$A$5:$A$504,B180)=0,"BELUM ADA",INDEX('MASTER MENU'!$F$5:$F$504,MATCH(B180,'MASTER MENU'!$A$5:$A$504,0))))</f>
        <v/>
      </c>
      <c r="G180" s="0" t="str">
        <f aca="false">IF(A180="","",IF(OR(NOT(ISNUMBER(E180)),NOT(ISNUMBER(F180))),"BELUM LENGKAP",ROUND(E180*F180,0)))</f>
        <v/>
      </c>
      <c r="J180" s="0" t="str">
        <f aca="false">IF(A180="","",IF(NOT(ISNUMBER(G180)),"BELUM LENGKAP",G180-H180-I180))</f>
        <v/>
      </c>
      <c r="L180" s="0" t="str">
        <f aca="false">IF(A180="","",IF(NOT(ISNUMBER(K180)),"ISI SNAPSHOT HPP",ROUND(E180*K180,0)))</f>
        <v/>
      </c>
      <c r="M180" s="0" t="str">
        <f aca="false">IF(A180="","",IF(NOT(ISNUMBER(L180)),"BELUM LENGKAP",J180-L180))</f>
        <v/>
      </c>
      <c r="N180" s="0" t="str">
        <f aca="false">IF(B180="","",IF(COUNTIFS('RESEP DAN HPP'!$A$5:$A$504,B180,'RESEP DAN HPP'!$N$5:$N$504,"LENGKAP")=0,"BELUM LENGKAP",INDEX('RESEP DAN HPP'!$J$5:$J$504,MATCH(B180,'RESEP DAN HPP'!$A$5:$A$504,0))))</f>
        <v/>
      </c>
      <c r="P180" s="0" t="str">
        <f aca="false">IF(A180="","",IF(COUNTIFS('TRANSAKSI PENJUALAN'!$A$5:$A$504,A180)=0,"BELUM ADA",INDEX('TRANSAKSI PENJUALAN'!$B$5:$B$504,MATCH(A180,'TRANSAKSI PENJUALAN'!$A$5:$A$504,0))))</f>
        <v/>
      </c>
      <c r="Q180" s="0" t="str">
        <f aca="false">IF(A180="","",IF(COUNTIFS('TRANSAKSI PENJUALAN'!$A$5:$A$504,A180)=0,"BELUM ADA",INDEX('TRANSAKSI PENJUALAN'!$M$5:$M$504,MATCH(A180,'TRANSAKSI PENJUALAN'!$A$5:$A$504,0))))</f>
        <v/>
      </c>
      <c r="R180" s="24" t="str">
        <f aca="false">IF(A180="","",COUNTIF($A$5:A180,A180))</f>
        <v/>
      </c>
      <c r="S180" s="24" t="str">
        <f aca="false">IF(A180="","",A180&amp;"|"&amp;R180)</f>
        <v/>
      </c>
    </row>
    <row r="181" customFormat="false" ht="15" hidden="false" customHeight="false" outlineLevel="0" collapsed="false">
      <c r="C181" s="0" t="str">
        <f aca="false">IF(B181="","",IF(COUNTIFS('MASTER MENU'!$A$5:$A$504,B181)=0,"BELUM ADA",INDEX('MASTER MENU'!$B$5:$B$504,MATCH(B181,'MASTER MENU'!$A$5:$A$504,0))))</f>
        <v/>
      </c>
      <c r="D181" s="0" t="str">
        <f aca="false">IF(B181="","",IF(COUNTIFS('MASTER MENU'!$A$5:$A$504,B181)=0,"BELUM ADA",INDEX('MASTER MENU'!$E$5:$E$504,MATCH(B181,'MASTER MENU'!$A$5:$A$504,0))))</f>
        <v/>
      </c>
      <c r="F181" s="0" t="str">
        <f aca="false">IF(B181="","",IF(COUNTIFS('MASTER MENU'!$A$5:$A$504,B181)=0,"BELUM ADA",INDEX('MASTER MENU'!$F$5:$F$504,MATCH(B181,'MASTER MENU'!$A$5:$A$504,0))))</f>
        <v/>
      </c>
      <c r="G181" s="0" t="str">
        <f aca="false">IF(A181="","",IF(OR(NOT(ISNUMBER(E181)),NOT(ISNUMBER(F181))),"BELUM LENGKAP",ROUND(E181*F181,0)))</f>
        <v/>
      </c>
      <c r="J181" s="0" t="str">
        <f aca="false">IF(A181="","",IF(NOT(ISNUMBER(G181)),"BELUM LENGKAP",G181-H181-I181))</f>
        <v/>
      </c>
      <c r="L181" s="0" t="str">
        <f aca="false">IF(A181="","",IF(NOT(ISNUMBER(K181)),"ISI SNAPSHOT HPP",ROUND(E181*K181,0)))</f>
        <v/>
      </c>
      <c r="M181" s="0" t="str">
        <f aca="false">IF(A181="","",IF(NOT(ISNUMBER(L181)),"BELUM LENGKAP",J181-L181))</f>
        <v/>
      </c>
      <c r="N181" s="0" t="str">
        <f aca="false">IF(B181="","",IF(COUNTIFS('RESEP DAN HPP'!$A$5:$A$504,B181,'RESEP DAN HPP'!$N$5:$N$504,"LENGKAP")=0,"BELUM LENGKAP",INDEX('RESEP DAN HPP'!$J$5:$J$504,MATCH(B181,'RESEP DAN HPP'!$A$5:$A$504,0))))</f>
        <v/>
      </c>
      <c r="P181" s="0" t="str">
        <f aca="false">IF(A181="","",IF(COUNTIFS('TRANSAKSI PENJUALAN'!$A$5:$A$504,A181)=0,"BELUM ADA",INDEX('TRANSAKSI PENJUALAN'!$B$5:$B$504,MATCH(A181,'TRANSAKSI PENJUALAN'!$A$5:$A$504,0))))</f>
        <v/>
      </c>
      <c r="Q181" s="0" t="str">
        <f aca="false">IF(A181="","",IF(COUNTIFS('TRANSAKSI PENJUALAN'!$A$5:$A$504,A181)=0,"BELUM ADA",INDEX('TRANSAKSI PENJUALAN'!$M$5:$M$504,MATCH(A181,'TRANSAKSI PENJUALAN'!$A$5:$A$504,0))))</f>
        <v/>
      </c>
      <c r="R181" s="24" t="str">
        <f aca="false">IF(A181="","",COUNTIF($A$5:A181,A181))</f>
        <v/>
      </c>
      <c r="S181" s="24" t="str">
        <f aca="false">IF(A181="","",A181&amp;"|"&amp;R181)</f>
        <v/>
      </c>
    </row>
    <row r="182" customFormat="false" ht="15" hidden="false" customHeight="false" outlineLevel="0" collapsed="false">
      <c r="C182" s="0" t="str">
        <f aca="false">IF(B182="","",IF(COUNTIFS('MASTER MENU'!$A$5:$A$504,B182)=0,"BELUM ADA",INDEX('MASTER MENU'!$B$5:$B$504,MATCH(B182,'MASTER MENU'!$A$5:$A$504,0))))</f>
        <v/>
      </c>
      <c r="D182" s="0" t="str">
        <f aca="false">IF(B182="","",IF(COUNTIFS('MASTER MENU'!$A$5:$A$504,B182)=0,"BELUM ADA",INDEX('MASTER MENU'!$E$5:$E$504,MATCH(B182,'MASTER MENU'!$A$5:$A$504,0))))</f>
        <v/>
      </c>
      <c r="F182" s="0" t="str">
        <f aca="false">IF(B182="","",IF(COUNTIFS('MASTER MENU'!$A$5:$A$504,B182)=0,"BELUM ADA",INDEX('MASTER MENU'!$F$5:$F$504,MATCH(B182,'MASTER MENU'!$A$5:$A$504,0))))</f>
        <v/>
      </c>
      <c r="G182" s="0" t="str">
        <f aca="false">IF(A182="","",IF(OR(NOT(ISNUMBER(E182)),NOT(ISNUMBER(F182))),"BELUM LENGKAP",ROUND(E182*F182,0)))</f>
        <v/>
      </c>
      <c r="J182" s="0" t="str">
        <f aca="false">IF(A182="","",IF(NOT(ISNUMBER(G182)),"BELUM LENGKAP",G182-H182-I182))</f>
        <v/>
      </c>
      <c r="L182" s="0" t="str">
        <f aca="false">IF(A182="","",IF(NOT(ISNUMBER(K182)),"ISI SNAPSHOT HPP",ROUND(E182*K182,0)))</f>
        <v/>
      </c>
      <c r="M182" s="0" t="str">
        <f aca="false">IF(A182="","",IF(NOT(ISNUMBER(L182)),"BELUM LENGKAP",J182-L182))</f>
        <v/>
      </c>
      <c r="N182" s="0" t="str">
        <f aca="false">IF(B182="","",IF(COUNTIFS('RESEP DAN HPP'!$A$5:$A$504,B182,'RESEP DAN HPP'!$N$5:$N$504,"LENGKAP")=0,"BELUM LENGKAP",INDEX('RESEP DAN HPP'!$J$5:$J$504,MATCH(B182,'RESEP DAN HPP'!$A$5:$A$504,0))))</f>
        <v/>
      </c>
      <c r="P182" s="0" t="str">
        <f aca="false">IF(A182="","",IF(COUNTIFS('TRANSAKSI PENJUALAN'!$A$5:$A$504,A182)=0,"BELUM ADA",INDEX('TRANSAKSI PENJUALAN'!$B$5:$B$504,MATCH(A182,'TRANSAKSI PENJUALAN'!$A$5:$A$504,0))))</f>
        <v/>
      </c>
      <c r="Q182" s="0" t="str">
        <f aca="false">IF(A182="","",IF(COUNTIFS('TRANSAKSI PENJUALAN'!$A$5:$A$504,A182)=0,"BELUM ADA",INDEX('TRANSAKSI PENJUALAN'!$M$5:$M$504,MATCH(A182,'TRANSAKSI PENJUALAN'!$A$5:$A$504,0))))</f>
        <v/>
      </c>
      <c r="R182" s="24" t="str">
        <f aca="false">IF(A182="","",COUNTIF($A$5:A182,A182))</f>
        <v/>
      </c>
      <c r="S182" s="24" t="str">
        <f aca="false">IF(A182="","",A182&amp;"|"&amp;R182)</f>
        <v/>
      </c>
    </row>
    <row r="183" customFormat="false" ht="15" hidden="false" customHeight="false" outlineLevel="0" collapsed="false">
      <c r="C183" s="0" t="str">
        <f aca="false">IF(B183="","",IF(COUNTIFS('MASTER MENU'!$A$5:$A$504,B183)=0,"BELUM ADA",INDEX('MASTER MENU'!$B$5:$B$504,MATCH(B183,'MASTER MENU'!$A$5:$A$504,0))))</f>
        <v/>
      </c>
      <c r="D183" s="0" t="str">
        <f aca="false">IF(B183="","",IF(COUNTIFS('MASTER MENU'!$A$5:$A$504,B183)=0,"BELUM ADA",INDEX('MASTER MENU'!$E$5:$E$504,MATCH(B183,'MASTER MENU'!$A$5:$A$504,0))))</f>
        <v/>
      </c>
      <c r="F183" s="0" t="str">
        <f aca="false">IF(B183="","",IF(COUNTIFS('MASTER MENU'!$A$5:$A$504,B183)=0,"BELUM ADA",INDEX('MASTER MENU'!$F$5:$F$504,MATCH(B183,'MASTER MENU'!$A$5:$A$504,0))))</f>
        <v/>
      </c>
      <c r="G183" s="0" t="str">
        <f aca="false">IF(A183="","",IF(OR(NOT(ISNUMBER(E183)),NOT(ISNUMBER(F183))),"BELUM LENGKAP",ROUND(E183*F183,0)))</f>
        <v/>
      </c>
      <c r="J183" s="0" t="str">
        <f aca="false">IF(A183="","",IF(NOT(ISNUMBER(G183)),"BELUM LENGKAP",G183-H183-I183))</f>
        <v/>
      </c>
      <c r="L183" s="0" t="str">
        <f aca="false">IF(A183="","",IF(NOT(ISNUMBER(K183)),"ISI SNAPSHOT HPP",ROUND(E183*K183,0)))</f>
        <v/>
      </c>
      <c r="M183" s="0" t="str">
        <f aca="false">IF(A183="","",IF(NOT(ISNUMBER(L183)),"BELUM LENGKAP",J183-L183))</f>
        <v/>
      </c>
      <c r="N183" s="0" t="str">
        <f aca="false">IF(B183="","",IF(COUNTIFS('RESEP DAN HPP'!$A$5:$A$504,B183,'RESEP DAN HPP'!$N$5:$N$504,"LENGKAP")=0,"BELUM LENGKAP",INDEX('RESEP DAN HPP'!$J$5:$J$504,MATCH(B183,'RESEP DAN HPP'!$A$5:$A$504,0))))</f>
        <v/>
      </c>
      <c r="P183" s="0" t="str">
        <f aca="false">IF(A183="","",IF(COUNTIFS('TRANSAKSI PENJUALAN'!$A$5:$A$504,A183)=0,"BELUM ADA",INDEX('TRANSAKSI PENJUALAN'!$B$5:$B$504,MATCH(A183,'TRANSAKSI PENJUALAN'!$A$5:$A$504,0))))</f>
        <v/>
      </c>
      <c r="Q183" s="0" t="str">
        <f aca="false">IF(A183="","",IF(COUNTIFS('TRANSAKSI PENJUALAN'!$A$5:$A$504,A183)=0,"BELUM ADA",INDEX('TRANSAKSI PENJUALAN'!$M$5:$M$504,MATCH(A183,'TRANSAKSI PENJUALAN'!$A$5:$A$504,0))))</f>
        <v/>
      </c>
      <c r="R183" s="24" t="str">
        <f aca="false">IF(A183="","",COUNTIF($A$5:A183,A183))</f>
        <v/>
      </c>
      <c r="S183" s="24" t="str">
        <f aca="false">IF(A183="","",A183&amp;"|"&amp;R183)</f>
        <v/>
      </c>
    </row>
    <row r="184" customFormat="false" ht="15" hidden="false" customHeight="false" outlineLevel="0" collapsed="false">
      <c r="C184" s="0" t="str">
        <f aca="false">IF(B184="","",IF(COUNTIFS('MASTER MENU'!$A$5:$A$504,B184)=0,"BELUM ADA",INDEX('MASTER MENU'!$B$5:$B$504,MATCH(B184,'MASTER MENU'!$A$5:$A$504,0))))</f>
        <v/>
      </c>
      <c r="D184" s="0" t="str">
        <f aca="false">IF(B184="","",IF(COUNTIFS('MASTER MENU'!$A$5:$A$504,B184)=0,"BELUM ADA",INDEX('MASTER MENU'!$E$5:$E$504,MATCH(B184,'MASTER MENU'!$A$5:$A$504,0))))</f>
        <v/>
      </c>
      <c r="F184" s="0" t="str">
        <f aca="false">IF(B184="","",IF(COUNTIFS('MASTER MENU'!$A$5:$A$504,B184)=0,"BELUM ADA",INDEX('MASTER MENU'!$F$5:$F$504,MATCH(B184,'MASTER MENU'!$A$5:$A$504,0))))</f>
        <v/>
      </c>
      <c r="G184" s="0" t="str">
        <f aca="false">IF(A184="","",IF(OR(NOT(ISNUMBER(E184)),NOT(ISNUMBER(F184))),"BELUM LENGKAP",ROUND(E184*F184,0)))</f>
        <v/>
      </c>
      <c r="J184" s="0" t="str">
        <f aca="false">IF(A184="","",IF(NOT(ISNUMBER(G184)),"BELUM LENGKAP",G184-H184-I184))</f>
        <v/>
      </c>
      <c r="L184" s="0" t="str">
        <f aca="false">IF(A184="","",IF(NOT(ISNUMBER(K184)),"ISI SNAPSHOT HPP",ROUND(E184*K184,0)))</f>
        <v/>
      </c>
      <c r="M184" s="0" t="str">
        <f aca="false">IF(A184="","",IF(NOT(ISNUMBER(L184)),"BELUM LENGKAP",J184-L184))</f>
        <v/>
      </c>
      <c r="N184" s="0" t="str">
        <f aca="false">IF(B184="","",IF(COUNTIFS('RESEP DAN HPP'!$A$5:$A$504,B184,'RESEP DAN HPP'!$N$5:$N$504,"LENGKAP")=0,"BELUM LENGKAP",INDEX('RESEP DAN HPP'!$J$5:$J$504,MATCH(B184,'RESEP DAN HPP'!$A$5:$A$504,0))))</f>
        <v/>
      </c>
      <c r="P184" s="0" t="str">
        <f aca="false">IF(A184="","",IF(COUNTIFS('TRANSAKSI PENJUALAN'!$A$5:$A$504,A184)=0,"BELUM ADA",INDEX('TRANSAKSI PENJUALAN'!$B$5:$B$504,MATCH(A184,'TRANSAKSI PENJUALAN'!$A$5:$A$504,0))))</f>
        <v/>
      </c>
      <c r="Q184" s="0" t="str">
        <f aca="false">IF(A184="","",IF(COUNTIFS('TRANSAKSI PENJUALAN'!$A$5:$A$504,A184)=0,"BELUM ADA",INDEX('TRANSAKSI PENJUALAN'!$M$5:$M$504,MATCH(A184,'TRANSAKSI PENJUALAN'!$A$5:$A$504,0))))</f>
        <v/>
      </c>
      <c r="R184" s="24" t="str">
        <f aca="false">IF(A184="","",COUNTIF($A$5:A184,A184))</f>
        <v/>
      </c>
      <c r="S184" s="24" t="str">
        <f aca="false">IF(A184="","",A184&amp;"|"&amp;R184)</f>
        <v/>
      </c>
    </row>
    <row r="185" customFormat="false" ht="15" hidden="false" customHeight="false" outlineLevel="0" collapsed="false">
      <c r="C185" s="0" t="str">
        <f aca="false">IF(B185="","",IF(COUNTIFS('MASTER MENU'!$A$5:$A$504,B185)=0,"BELUM ADA",INDEX('MASTER MENU'!$B$5:$B$504,MATCH(B185,'MASTER MENU'!$A$5:$A$504,0))))</f>
        <v/>
      </c>
      <c r="D185" s="0" t="str">
        <f aca="false">IF(B185="","",IF(COUNTIFS('MASTER MENU'!$A$5:$A$504,B185)=0,"BELUM ADA",INDEX('MASTER MENU'!$E$5:$E$504,MATCH(B185,'MASTER MENU'!$A$5:$A$504,0))))</f>
        <v/>
      </c>
      <c r="F185" s="0" t="str">
        <f aca="false">IF(B185="","",IF(COUNTIFS('MASTER MENU'!$A$5:$A$504,B185)=0,"BELUM ADA",INDEX('MASTER MENU'!$F$5:$F$504,MATCH(B185,'MASTER MENU'!$A$5:$A$504,0))))</f>
        <v/>
      </c>
      <c r="G185" s="0" t="str">
        <f aca="false">IF(A185="","",IF(OR(NOT(ISNUMBER(E185)),NOT(ISNUMBER(F185))),"BELUM LENGKAP",ROUND(E185*F185,0)))</f>
        <v/>
      </c>
      <c r="J185" s="0" t="str">
        <f aca="false">IF(A185="","",IF(NOT(ISNUMBER(G185)),"BELUM LENGKAP",G185-H185-I185))</f>
        <v/>
      </c>
      <c r="L185" s="0" t="str">
        <f aca="false">IF(A185="","",IF(NOT(ISNUMBER(K185)),"ISI SNAPSHOT HPP",ROUND(E185*K185,0)))</f>
        <v/>
      </c>
      <c r="M185" s="0" t="str">
        <f aca="false">IF(A185="","",IF(NOT(ISNUMBER(L185)),"BELUM LENGKAP",J185-L185))</f>
        <v/>
      </c>
      <c r="N185" s="0" t="str">
        <f aca="false">IF(B185="","",IF(COUNTIFS('RESEP DAN HPP'!$A$5:$A$504,B185,'RESEP DAN HPP'!$N$5:$N$504,"LENGKAP")=0,"BELUM LENGKAP",INDEX('RESEP DAN HPP'!$J$5:$J$504,MATCH(B185,'RESEP DAN HPP'!$A$5:$A$504,0))))</f>
        <v/>
      </c>
      <c r="P185" s="0" t="str">
        <f aca="false">IF(A185="","",IF(COUNTIFS('TRANSAKSI PENJUALAN'!$A$5:$A$504,A185)=0,"BELUM ADA",INDEX('TRANSAKSI PENJUALAN'!$B$5:$B$504,MATCH(A185,'TRANSAKSI PENJUALAN'!$A$5:$A$504,0))))</f>
        <v/>
      </c>
      <c r="Q185" s="0" t="str">
        <f aca="false">IF(A185="","",IF(COUNTIFS('TRANSAKSI PENJUALAN'!$A$5:$A$504,A185)=0,"BELUM ADA",INDEX('TRANSAKSI PENJUALAN'!$M$5:$M$504,MATCH(A185,'TRANSAKSI PENJUALAN'!$A$5:$A$504,0))))</f>
        <v/>
      </c>
      <c r="R185" s="24" t="str">
        <f aca="false">IF(A185="","",COUNTIF($A$5:A185,A185))</f>
        <v/>
      </c>
      <c r="S185" s="24" t="str">
        <f aca="false">IF(A185="","",A185&amp;"|"&amp;R185)</f>
        <v/>
      </c>
    </row>
    <row r="186" customFormat="false" ht="15" hidden="false" customHeight="false" outlineLevel="0" collapsed="false">
      <c r="C186" s="0" t="str">
        <f aca="false">IF(B186="","",IF(COUNTIFS('MASTER MENU'!$A$5:$A$504,B186)=0,"BELUM ADA",INDEX('MASTER MENU'!$B$5:$B$504,MATCH(B186,'MASTER MENU'!$A$5:$A$504,0))))</f>
        <v/>
      </c>
      <c r="D186" s="0" t="str">
        <f aca="false">IF(B186="","",IF(COUNTIFS('MASTER MENU'!$A$5:$A$504,B186)=0,"BELUM ADA",INDEX('MASTER MENU'!$E$5:$E$504,MATCH(B186,'MASTER MENU'!$A$5:$A$504,0))))</f>
        <v/>
      </c>
      <c r="F186" s="0" t="str">
        <f aca="false">IF(B186="","",IF(COUNTIFS('MASTER MENU'!$A$5:$A$504,B186)=0,"BELUM ADA",INDEX('MASTER MENU'!$F$5:$F$504,MATCH(B186,'MASTER MENU'!$A$5:$A$504,0))))</f>
        <v/>
      </c>
      <c r="G186" s="0" t="str">
        <f aca="false">IF(A186="","",IF(OR(NOT(ISNUMBER(E186)),NOT(ISNUMBER(F186))),"BELUM LENGKAP",ROUND(E186*F186,0)))</f>
        <v/>
      </c>
      <c r="J186" s="0" t="str">
        <f aca="false">IF(A186="","",IF(NOT(ISNUMBER(G186)),"BELUM LENGKAP",G186-H186-I186))</f>
        <v/>
      </c>
      <c r="L186" s="0" t="str">
        <f aca="false">IF(A186="","",IF(NOT(ISNUMBER(K186)),"ISI SNAPSHOT HPP",ROUND(E186*K186,0)))</f>
        <v/>
      </c>
      <c r="M186" s="0" t="str">
        <f aca="false">IF(A186="","",IF(NOT(ISNUMBER(L186)),"BELUM LENGKAP",J186-L186))</f>
        <v/>
      </c>
      <c r="N186" s="0" t="str">
        <f aca="false">IF(B186="","",IF(COUNTIFS('RESEP DAN HPP'!$A$5:$A$504,B186,'RESEP DAN HPP'!$N$5:$N$504,"LENGKAP")=0,"BELUM LENGKAP",INDEX('RESEP DAN HPP'!$J$5:$J$504,MATCH(B186,'RESEP DAN HPP'!$A$5:$A$504,0))))</f>
        <v/>
      </c>
      <c r="P186" s="0" t="str">
        <f aca="false">IF(A186="","",IF(COUNTIFS('TRANSAKSI PENJUALAN'!$A$5:$A$504,A186)=0,"BELUM ADA",INDEX('TRANSAKSI PENJUALAN'!$B$5:$B$504,MATCH(A186,'TRANSAKSI PENJUALAN'!$A$5:$A$504,0))))</f>
        <v/>
      </c>
      <c r="Q186" s="0" t="str">
        <f aca="false">IF(A186="","",IF(COUNTIFS('TRANSAKSI PENJUALAN'!$A$5:$A$504,A186)=0,"BELUM ADA",INDEX('TRANSAKSI PENJUALAN'!$M$5:$M$504,MATCH(A186,'TRANSAKSI PENJUALAN'!$A$5:$A$504,0))))</f>
        <v/>
      </c>
      <c r="R186" s="24" t="str">
        <f aca="false">IF(A186="","",COUNTIF($A$5:A186,A186))</f>
        <v/>
      </c>
      <c r="S186" s="24" t="str">
        <f aca="false">IF(A186="","",A186&amp;"|"&amp;R186)</f>
        <v/>
      </c>
    </row>
    <row r="187" customFormat="false" ht="15" hidden="false" customHeight="false" outlineLevel="0" collapsed="false">
      <c r="C187" s="0" t="str">
        <f aca="false">IF(B187="","",IF(COUNTIFS('MASTER MENU'!$A$5:$A$504,B187)=0,"BELUM ADA",INDEX('MASTER MENU'!$B$5:$B$504,MATCH(B187,'MASTER MENU'!$A$5:$A$504,0))))</f>
        <v/>
      </c>
      <c r="D187" s="0" t="str">
        <f aca="false">IF(B187="","",IF(COUNTIFS('MASTER MENU'!$A$5:$A$504,B187)=0,"BELUM ADA",INDEX('MASTER MENU'!$E$5:$E$504,MATCH(B187,'MASTER MENU'!$A$5:$A$504,0))))</f>
        <v/>
      </c>
      <c r="F187" s="0" t="str">
        <f aca="false">IF(B187="","",IF(COUNTIFS('MASTER MENU'!$A$5:$A$504,B187)=0,"BELUM ADA",INDEX('MASTER MENU'!$F$5:$F$504,MATCH(B187,'MASTER MENU'!$A$5:$A$504,0))))</f>
        <v/>
      </c>
      <c r="G187" s="0" t="str">
        <f aca="false">IF(A187="","",IF(OR(NOT(ISNUMBER(E187)),NOT(ISNUMBER(F187))),"BELUM LENGKAP",ROUND(E187*F187,0)))</f>
        <v/>
      </c>
      <c r="J187" s="0" t="str">
        <f aca="false">IF(A187="","",IF(NOT(ISNUMBER(G187)),"BELUM LENGKAP",G187-H187-I187))</f>
        <v/>
      </c>
      <c r="L187" s="0" t="str">
        <f aca="false">IF(A187="","",IF(NOT(ISNUMBER(K187)),"ISI SNAPSHOT HPP",ROUND(E187*K187,0)))</f>
        <v/>
      </c>
      <c r="M187" s="0" t="str">
        <f aca="false">IF(A187="","",IF(NOT(ISNUMBER(L187)),"BELUM LENGKAP",J187-L187))</f>
        <v/>
      </c>
      <c r="N187" s="0" t="str">
        <f aca="false">IF(B187="","",IF(COUNTIFS('RESEP DAN HPP'!$A$5:$A$504,B187,'RESEP DAN HPP'!$N$5:$N$504,"LENGKAP")=0,"BELUM LENGKAP",INDEX('RESEP DAN HPP'!$J$5:$J$504,MATCH(B187,'RESEP DAN HPP'!$A$5:$A$504,0))))</f>
        <v/>
      </c>
      <c r="P187" s="0" t="str">
        <f aca="false">IF(A187="","",IF(COUNTIFS('TRANSAKSI PENJUALAN'!$A$5:$A$504,A187)=0,"BELUM ADA",INDEX('TRANSAKSI PENJUALAN'!$B$5:$B$504,MATCH(A187,'TRANSAKSI PENJUALAN'!$A$5:$A$504,0))))</f>
        <v/>
      </c>
      <c r="Q187" s="0" t="str">
        <f aca="false">IF(A187="","",IF(COUNTIFS('TRANSAKSI PENJUALAN'!$A$5:$A$504,A187)=0,"BELUM ADA",INDEX('TRANSAKSI PENJUALAN'!$M$5:$M$504,MATCH(A187,'TRANSAKSI PENJUALAN'!$A$5:$A$504,0))))</f>
        <v/>
      </c>
      <c r="R187" s="24" t="str">
        <f aca="false">IF(A187="","",COUNTIF($A$5:A187,A187))</f>
        <v/>
      </c>
      <c r="S187" s="24" t="str">
        <f aca="false">IF(A187="","",A187&amp;"|"&amp;R187)</f>
        <v/>
      </c>
    </row>
    <row r="188" customFormat="false" ht="15" hidden="false" customHeight="false" outlineLevel="0" collapsed="false">
      <c r="C188" s="0" t="str">
        <f aca="false">IF(B188="","",IF(COUNTIFS('MASTER MENU'!$A$5:$A$504,B188)=0,"BELUM ADA",INDEX('MASTER MENU'!$B$5:$B$504,MATCH(B188,'MASTER MENU'!$A$5:$A$504,0))))</f>
        <v/>
      </c>
      <c r="D188" s="0" t="str">
        <f aca="false">IF(B188="","",IF(COUNTIFS('MASTER MENU'!$A$5:$A$504,B188)=0,"BELUM ADA",INDEX('MASTER MENU'!$E$5:$E$504,MATCH(B188,'MASTER MENU'!$A$5:$A$504,0))))</f>
        <v/>
      </c>
      <c r="F188" s="0" t="str">
        <f aca="false">IF(B188="","",IF(COUNTIFS('MASTER MENU'!$A$5:$A$504,B188)=0,"BELUM ADA",INDEX('MASTER MENU'!$F$5:$F$504,MATCH(B188,'MASTER MENU'!$A$5:$A$504,0))))</f>
        <v/>
      </c>
      <c r="G188" s="0" t="str">
        <f aca="false">IF(A188="","",IF(OR(NOT(ISNUMBER(E188)),NOT(ISNUMBER(F188))),"BELUM LENGKAP",ROUND(E188*F188,0)))</f>
        <v/>
      </c>
      <c r="J188" s="0" t="str">
        <f aca="false">IF(A188="","",IF(NOT(ISNUMBER(G188)),"BELUM LENGKAP",G188-H188-I188))</f>
        <v/>
      </c>
      <c r="L188" s="0" t="str">
        <f aca="false">IF(A188="","",IF(NOT(ISNUMBER(K188)),"ISI SNAPSHOT HPP",ROUND(E188*K188,0)))</f>
        <v/>
      </c>
      <c r="M188" s="0" t="str">
        <f aca="false">IF(A188="","",IF(NOT(ISNUMBER(L188)),"BELUM LENGKAP",J188-L188))</f>
        <v/>
      </c>
      <c r="N188" s="0" t="str">
        <f aca="false">IF(B188="","",IF(COUNTIFS('RESEP DAN HPP'!$A$5:$A$504,B188,'RESEP DAN HPP'!$N$5:$N$504,"LENGKAP")=0,"BELUM LENGKAP",INDEX('RESEP DAN HPP'!$J$5:$J$504,MATCH(B188,'RESEP DAN HPP'!$A$5:$A$504,0))))</f>
        <v/>
      </c>
      <c r="P188" s="0" t="str">
        <f aca="false">IF(A188="","",IF(COUNTIFS('TRANSAKSI PENJUALAN'!$A$5:$A$504,A188)=0,"BELUM ADA",INDEX('TRANSAKSI PENJUALAN'!$B$5:$B$504,MATCH(A188,'TRANSAKSI PENJUALAN'!$A$5:$A$504,0))))</f>
        <v/>
      </c>
      <c r="Q188" s="0" t="str">
        <f aca="false">IF(A188="","",IF(COUNTIFS('TRANSAKSI PENJUALAN'!$A$5:$A$504,A188)=0,"BELUM ADA",INDEX('TRANSAKSI PENJUALAN'!$M$5:$M$504,MATCH(A188,'TRANSAKSI PENJUALAN'!$A$5:$A$504,0))))</f>
        <v/>
      </c>
      <c r="R188" s="24" t="str">
        <f aca="false">IF(A188="","",COUNTIF($A$5:A188,A188))</f>
        <v/>
      </c>
      <c r="S188" s="24" t="str">
        <f aca="false">IF(A188="","",A188&amp;"|"&amp;R188)</f>
        <v/>
      </c>
    </row>
    <row r="189" customFormat="false" ht="15" hidden="false" customHeight="false" outlineLevel="0" collapsed="false">
      <c r="C189" s="0" t="str">
        <f aca="false">IF(B189="","",IF(COUNTIFS('MASTER MENU'!$A$5:$A$504,B189)=0,"BELUM ADA",INDEX('MASTER MENU'!$B$5:$B$504,MATCH(B189,'MASTER MENU'!$A$5:$A$504,0))))</f>
        <v/>
      </c>
      <c r="D189" s="0" t="str">
        <f aca="false">IF(B189="","",IF(COUNTIFS('MASTER MENU'!$A$5:$A$504,B189)=0,"BELUM ADA",INDEX('MASTER MENU'!$E$5:$E$504,MATCH(B189,'MASTER MENU'!$A$5:$A$504,0))))</f>
        <v/>
      </c>
      <c r="F189" s="0" t="str">
        <f aca="false">IF(B189="","",IF(COUNTIFS('MASTER MENU'!$A$5:$A$504,B189)=0,"BELUM ADA",INDEX('MASTER MENU'!$F$5:$F$504,MATCH(B189,'MASTER MENU'!$A$5:$A$504,0))))</f>
        <v/>
      </c>
      <c r="G189" s="0" t="str">
        <f aca="false">IF(A189="","",IF(OR(NOT(ISNUMBER(E189)),NOT(ISNUMBER(F189))),"BELUM LENGKAP",ROUND(E189*F189,0)))</f>
        <v/>
      </c>
      <c r="J189" s="0" t="str">
        <f aca="false">IF(A189="","",IF(NOT(ISNUMBER(G189)),"BELUM LENGKAP",G189-H189-I189))</f>
        <v/>
      </c>
      <c r="L189" s="0" t="str">
        <f aca="false">IF(A189="","",IF(NOT(ISNUMBER(K189)),"ISI SNAPSHOT HPP",ROUND(E189*K189,0)))</f>
        <v/>
      </c>
      <c r="M189" s="0" t="str">
        <f aca="false">IF(A189="","",IF(NOT(ISNUMBER(L189)),"BELUM LENGKAP",J189-L189))</f>
        <v/>
      </c>
      <c r="N189" s="0" t="str">
        <f aca="false">IF(B189="","",IF(COUNTIFS('RESEP DAN HPP'!$A$5:$A$504,B189,'RESEP DAN HPP'!$N$5:$N$504,"LENGKAP")=0,"BELUM LENGKAP",INDEX('RESEP DAN HPP'!$J$5:$J$504,MATCH(B189,'RESEP DAN HPP'!$A$5:$A$504,0))))</f>
        <v/>
      </c>
      <c r="P189" s="0" t="str">
        <f aca="false">IF(A189="","",IF(COUNTIFS('TRANSAKSI PENJUALAN'!$A$5:$A$504,A189)=0,"BELUM ADA",INDEX('TRANSAKSI PENJUALAN'!$B$5:$B$504,MATCH(A189,'TRANSAKSI PENJUALAN'!$A$5:$A$504,0))))</f>
        <v/>
      </c>
      <c r="Q189" s="0" t="str">
        <f aca="false">IF(A189="","",IF(COUNTIFS('TRANSAKSI PENJUALAN'!$A$5:$A$504,A189)=0,"BELUM ADA",INDEX('TRANSAKSI PENJUALAN'!$M$5:$M$504,MATCH(A189,'TRANSAKSI PENJUALAN'!$A$5:$A$504,0))))</f>
        <v/>
      </c>
      <c r="R189" s="24" t="str">
        <f aca="false">IF(A189="","",COUNTIF($A$5:A189,A189))</f>
        <v/>
      </c>
      <c r="S189" s="24" t="str">
        <f aca="false">IF(A189="","",A189&amp;"|"&amp;R189)</f>
        <v/>
      </c>
    </row>
    <row r="190" customFormat="false" ht="15" hidden="false" customHeight="false" outlineLevel="0" collapsed="false">
      <c r="C190" s="0" t="str">
        <f aca="false">IF(B190="","",IF(COUNTIFS('MASTER MENU'!$A$5:$A$504,B190)=0,"BELUM ADA",INDEX('MASTER MENU'!$B$5:$B$504,MATCH(B190,'MASTER MENU'!$A$5:$A$504,0))))</f>
        <v/>
      </c>
      <c r="D190" s="0" t="str">
        <f aca="false">IF(B190="","",IF(COUNTIFS('MASTER MENU'!$A$5:$A$504,B190)=0,"BELUM ADA",INDEX('MASTER MENU'!$E$5:$E$504,MATCH(B190,'MASTER MENU'!$A$5:$A$504,0))))</f>
        <v/>
      </c>
      <c r="F190" s="0" t="str">
        <f aca="false">IF(B190="","",IF(COUNTIFS('MASTER MENU'!$A$5:$A$504,B190)=0,"BELUM ADA",INDEX('MASTER MENU'!$F$5:$F$504,MATCH(B190,'MASTER MENU'!$A$5:$A$504,0))))</f>
        <v/>
      </c>
      <c r="G190" s="0" t="str">
        <f aca="false">IF(A190="","",IF(OR(NOT(ISNUMBER(E190)),NOT(ISNUMBER(F190))),"BELUM LENGKAP",ROUND(E190*F190,0)))</f>
        <v/>
      </c>
      <c r="J190" s="0" t="str">
        <f aca="false">IF(A190="","",IF(NOT(ISNUMBER(G190)),"BELUM LENGKAP",G190-H190-I190))</f>
        <v/>
      </c>
      <c r="L190" s="0" t="str">
        <f aca="false">IF(A190="","",IF(NOT(ISNUMBER(K190)),"ISI SNAPSHOT HPP",ROUND(E190*K190,0)))</f>
        <v/>
      </c>
      <c r="M190" s="0" t="str">
        <f aca="false">IF(A190="","",IF(NOT(ISNUMBER(L190)),"BELUM LENGKAP",J190-L190))</f>
        <v/>
      </c>
      <c r="N190" s="0" t="str">
        <f aca="false">IF(B190="","",IF(COUNTIFS('RESEP DAN HPP'!$A$5:$A$504,B190,'RESEP DAN HPP'!$N$5:$N$504,"LENGKAP")=0,"BELUM LENGKAP",INDEX('RESEP DAN HPP'!$J$5:$J$504,MATCH(B190,'RESEP DAN HPP'!$A$5:$A$504,0))))</f>
        <v/>
      </c>
      <c r="P190" s="0" t="str">
        <f aca="false">IF(A190="","",IF(COUNTIFS('TRANSAKSI PENJUALAN'!$A$5:$A$504,A190)=0,"BELUM ADA",INDEX('TRANSAKSI PENJUALAN'!$B$5:$B$504,MATCH(A190,'TRANSAKSI PENJUALAN'!$A$5:$A$504,0))))</f>
        <v/>
      </c>
      <c r="Q190" s="0" t="str">
        <f aca="false">IF(A190="","",IF(COUNTIFS('TRANSAKSI PENJUALAN'!$A$5:$A$504,A190)=0,"BELUM ADA",INDEX('TRANSAKSI PENJUALAN'!$M$5:$M$504,MATCH(A190,'TRANSAKSI PENJUALAN'!$A$5:$A$504,0))))</f>
        <v/>
      </c>
      <c r="R190" s="24" t="str">
        <f aca="false">IF(A190="","",COUNTIF($A$5:A190,A190))</f>
        <v/>
      </c>
      <c r="S190" s="24" t="str">
        <f aca="false">IF(A190="","",A190&amp;"|"&amp;R190)</f>
        <v/>
      </c>
    </row>
    <row r="191" customFormat="false" ht="15" hidden="false" customHeight="false" outlineLevel="0" collapsed="false">
      <c r="C191" s="0" t="str">
        <f aca="false">IF(B191="","",IF(COUNTIFS('MASTER MENU'!$A$5:$A$504,B191)=0,"BELUM ADA",INDEX('MASTER MENU'!$B$5:$B$504,MATCH(B191,'MASTER MENU'!$A$5:$A$504,0))))</f>
        <v/>
      </c>
      <c r="D191" s="0" t="str">
        <f aca="false">IF(B191="","",IF(COUNTIFS('MASTER MENU'!$A$5:$A$504,B191)=0,"BELUM ADA",INDEX('MASTER MENU'!$E$5:$E$504,MATCH(B191,'MASTER MENU'!$A$5:$A$504,0))))</f>
        <v/>
      </c>
      <c r="F191" s="0" t="str">
        <f aca="false">IF(B191="","",IF(COUNTIFS('MASTER MENU'!$A$5:$A$504,B191)=0,"BELUM ADA",INDEX('MASTER MENU'!$F$5:$F$504,MATCH(B191,'MASTER MENU'!$A$5:$A$504,0))))</f>
        <v/>
      </c>
      <c r="G191" s="0" t="str">
        <f aca="false">IF(A191="","",IF(OR(NOT(ISNUMBER(E191)),NOT(ISNUMBER(F191))),"BELUM LENGKAP",ROUND(E191*F191,0)))</f>
        <v/>
      </c>
      <c r="J191" s="0" t="str">
        <f aca="false">IF(A191="","",IF(NOT(ISNUMBER(G191)),"BELUM LENGKAP",G191-H191-I191))</f>
        <v/>
      </c>
      <c r="L191" s="0" t="str">
        <f aca="false">IF(A191="","",IF(NOT(ISNUMBER(K191)),"ISI SNAPSHOT HPP",ROUND(E191*K191,0)))</f>
        <v/>
      </c>
      <c r="M191" s="0" t="str">
        <f aca="false">IF(A191="","",IF(NOT(ISNUMBER(L191)),"BELUM LENGKAP",J191-L191))</f>
        <v/>
      </c>
      <c r="N191" s="0" t="str">
        <f aca="false">IF(B191="","",IF(COUNTIFS('RESEP DAN HPP'!$A$5:$A$504,B191,'RESEP DAN HPP'!$N$5:$N$504,"LENGKAP")=0,"BELUM LENGKAP",INDEX('RESEP DAN HPP'!$J$5:$J$504,MATCH(B191,'RESEP DAN HPP'!$A$5:$A$504,0))))</f>
        <v/>
      </c>
      <c r="P191" s="0" t="str">
        <f aca="false">IF(A191="","",IF(COUNTIFS('TRANSAKSI PENJUALAN'!$A$5:$A$504,A191)=0,"BELUM ADA",INDEX('TRANSAKSI PENJUALAN'!$B$5:$B$504,MATCH(A191,'TRANSAKSI PENJUALAN'!$A$5:$A$504,0))))</f>
        <v/>
      </c>
      <c r="Q191" s="0" t="str">
        <f aca="false">IF(A191="","",IF(COUNTIFS('TRANSAKSI PENJUALAN'!$A$5:$A$504,A191)=0,"BELUM ADA",INDEX('TRANSAKSI PENJUALAN'!$M$5:$M$504,MATCH(A191,'TRANSAKSI PENJUALAN'!$A$5:$A$504,0))))</f>
        <v/>
      </c>
      <c r="R191" s="24" t="str">
        <f aca="false">IF(A191="","",COUNTIF($A$5:A191,A191))</f>
        <v/>
      </c>
      <c r="S191" s="24" t="str">
        <f aca="false">IF(A191="","",A191&amp;"|"&amp;R191)</f>
        <v/>
      </c>
    </row>
    <row r="192" customFormat="false" ht="15" hidden="false" customHeight="false" outlineLevel="0" collapsed="false">
      <c r="C192" s="0" t="str">
        <f aca="false">IF(B192="","",IF(COUNTIFS('MASTER MENU'!$A$5:$A$504,B192)=0,"BELUM ADA",INDEX('MASTER MENU'!$B$5:$B$504,MATCH(B192,'MASTER MENU'!$A$5:$A$504,0))))</f>
        <v/>
      </c>
      <c r="D192" s="0" t="str">
        <f aca="false">IF(B192="","",IF(COUNTIFS('MASTER MENU'!$A$5:$A$504,B192)=0,"BELUM ADA",INDEX('MASTER MENU'!$E$5:$E$504,MATCH(B192,'MASTER MENU'!$A$5:$A$504,0))))</f>
        <v/>
      </c>
      <c r="F192" s="0" t="str">
        <f aca="false">IF(B192="","",IF(COUNTIFS('MASTER MENU'!$A$5:$A$504,B192)=0,"BELUM ADA",INDEX('MASTER MENU'!$F$5:$F$504,MATCH(B192,'MASTER MENU'!$A$5:$A$504,0))))</f>
        <v/>
      </c>
      <c r="G192" s="0" t="str">
        <f aca="false">IF(A192="","",IF(OR(NOT(ISNUMBER(E192)),NOT(ISNUMBER(F192))),"BELUM LENGKAP",ROUND(E192*F192,0)))</f>
        <v/>
      </c>
      <c r="J192" s="0" t="str">
        <f aca="false">IF(A192="","",IF(NOT(ISNUMBER(G192)),"BELUM LENGKAP",G192-H192-I192))</f>
        <v/>
      </c>
      <c r="L192" s="0" t="str">
        <f aca="false">IF(A192="","",IF(NOT(ISNUMBER(K192)),"ISI SNAPSHOT HPP",ROUND(E192*K192,0)))</f>
        <v/>
      </c>
      <c r="M192" s="0" t="str">
        <f aca="false">IF(A192="","",IF(NOT(ISNUMBER(L192)),"BELUM LENGKAP",J192-L192))</f>
        <v/>
      </c>
      <c r="N192" s="0" t="str">
        <f aca="false">IF(B192="","",IF(COUNTIFS('RESEP DAN HPP'!$A$5:$A$504,B192,'RESEP DAN HPP'!$N$5:$N$504,"LENGKAP")=0,"BELUM LENGKAP",INDEX('RESEP DAN HPP'!$J$5:$J$504,MATCH(B192,'RESEP DAN HPP'!$A$5:$A$504,0))))</f>
        <v/>
      </c>
      <c r="P192" s="0" t="str">
        <f aca="false">IF(A192="","",IF(COUNTIFS('TRANSAKSI PENJUALAN'!$A$5:$A$504,A192)=0,"BELUM ADA",INDEX('TRANSAKSI PENJUALAN'!$B$5:$B$504,MATCH(A192,'TRANSAKSI PENJUALAN'!$A$5:$A$504,0))))</f>
        <v/>
      </c>
      <c r="Q192" s="0" t="str">
        <f aca="false">IF(A192="","",IF(COUNTIFS('TRANSAKSI PENJUALAN'!$A$5:$A$504,A192)=0,"BELUM ADA",INDEX('TRANSAKSI PENJUALAN'!$M$5:$M$504,MATCH(A192,'TRANSAKSI PENJUALAN'!$A$5:$A$504,0))))</f>
        <v/>
      </c>
      <c r="R192" s="24" t="str">
        <f aca="false">IF(A192="","",COUNTIF($A$5:A192,A192))</f>
        <v/>
      </c>
      <c r="S192" s="24" t="str">
        <f aca="false">IF(A192="","",A192&amp;"|"&amp;R192)</f>
        <v/>
      </c>
    </row>
    <row r="193" customFormat="false" ht="15" hidden="false" customHeight="false" outlineLevel="0" collapsed="false">
      <c r="C193" s="0" t="str">
        <f aca="false">IF(B193="","",IF(COUNTIFS('MASTER MENU'!$A$5:$A$504,B193)=0,"BELUM ADA",INDEX('MASTER MENU'!$B$5:$B$504,MATCH(B193,'MASTER MENU'!$A$5:$A$504,0))))</f>
        <v/>
      </c>
      <c r="D193" s="0" t="str">
        <f aca="false">IF(B193="","",IF(COUNTIFS('MASTER MENU'!$A$5:$A$504,B193)=0,"BELUM ADA",INDEX('MASTER MENU'!$E$5:$E$504,MATCH(B193,'MASTER MENU'!$A$5:$A$504,0))))</f>
        <v/>
      </c>
      <c r="F193" s="0" t="str">
        <f aca="false">IF(B193="","",IF(COUNTIFS('MASTER MENU'!$A$5:$A$504,B193)=0,"BELUM ADA",INDEX('MASTER MENU'!$F$5:$F$504,MATCH(B193,'MASTER MENU'!$A$5:$A$504,0))))</f>
        <v/>
      </c>
      <c r="G193" s="0" t="str">
        <f aca="false">IF(A193="","",IF(OR(NOT(ISNUMBER(E193)),NOT(ISNUMBER(F193))),"BELUM LENGKAP",ROUND(E193*F193,0)))</f>
        <v/>
      </c>
      <c r="J193" s="0" t="str">
        <f aca="false">IF(A193="","",IF(NOT(ISNUMBER(G193)),"BELUM LENGKAP",G193-H193-I193))</f>
        <v/>
      </c>
      <c r="L193" s="0" t="str">
        <f aca="false">IF(A193="","",IF(NOT(ISNUMBER(K193)),"ISI SNAPSHOT HPP",ROUND(E193*K193,0)))</f>
        <v/>
      </c>
      <c r="M193" s="0" t="str">
        <f aca="false">IF(A193="","",IF(NOT(ISNUMBER(L193)),"BELUM LENGKAP",J193-L193))</f>
        <v/>
      </c>
      <c r="N193" s="0" t="str">
        <f aca="false">IF(B193="","",IF(COUNTIFS('RESEP DAN HPP'!$A$5:$A$504,B193,'RESEP DAN HPP'!$N$5:$N$504,"LENGKAP")=0,"BELUM LENGKAP",INDEX('RESEP DAN HPP'!$J$5:$J$504,MATCH(B193,'RESEP DAN HPP'!$A$5:$A$504,0))))</f>
        <v/>
      </c>
      <c r="P193" s="0" t="str">
        <f aca="false">IF(A193="","",IF(COUNTIFS('TRANSAKSI PENJUALAN'!$A$5:$A$504,A193)=0,"BELUM ADA",INDEX('TRANSAKSI PENJUALAN'!$B$5:$B$504,MATCH(A193,'TRANSAKSI PENJUALAN'!$A$5:$A$504,0))))</f>
        <v/>
      </c>
      <c r="Q193" s="0" t="str">
        <f aca="false">IF(A193="","",IF(COUNTIFS('TRANSAKSI PENJUALAN'!$A$5:$A$504,A193)=0,"BELUM ADA",INDEX('TRANSAKSI PENJUALAN'!$M$5:$M$504,MATCH(A193,'TRANSAKSI PENJUALAN'!$A$5:$A$504,0))))</f>
        <v/>
      </c>
      <c r="R193" s="24" t="str">
        <f aca="false">IF(A193="","",COUNTIF($A$5:A193,A193))</f>
        <v/>
      </c>
      <c r="S193" s="24" t="str">
        <f aca="false">IF(A193="","",A193&amp;"|"&amp;R193)</f>
        <v/>
      </c>
    </row>
    <row r="194" customFormat="false" ht="15" hidden="false" customHeight="false" outlineLevel="0" collapsed="false">
      <c r="C194" s="0" t="str">
        <f aca="false">IF(B194="","",IF(COUNTIFS('MASTER MENU'!$A$5:$A$504,B194)=0,"BELUM ADA",INDEX('MASTER MENU'!$B$5:$B$504,MATCH(B194,'MASTER MENU'!$A$5:$A$504,0))))</f>
        <v/>
      </c>
      <c r="D194" s="0" t="str">
        <f aca="false">IF(B194="","",IF(COUNTIFS('MASTER MENU'!$A$5:$A$504,B194)=0,"BELUM ADA",INDEX('MASTER MENU'!$E$5:$E$504,MATCH(B194,'MASTER MENU'!$A$5:$A$504,0))))</f>
        <v/>
      </c>
      <c r="F194" s="0" t="str">
        <f aca="false">IF(B194="","",IF(COUNTIFS('MASTER MENU'!$A$5:$A$504,B194)=0,"BELUM ADA",INDEX('MASTER MENU'!$F$5:$F$504,MATCH(B194,'MASTER MENU'!$A$5:$A$504,0))))</f>
        <v/>
      </c>
      <c r="G194" s="0" t="str">
        <f aca="false">IF(A194="","",IF(OR(NOT(ISNUMBER(E194)),NOT(ISNUMBER(F194))),"BELUM LENGKAP",ROUND(E194*F194,0)))</f>
        <v/>
      </c>
      <c r="J194" s="0" t="str">
        <f aca="false">IF(A194="","",IF(NOT(ISNUMBER(G194)),"BELUM LENGKAP",G194-H194-I194))</f>
        <v/>
      </c>
      <c r="L194" s="0" t="str">
        <f aca="false">IF(A194="","",IF(NOT(ISNUMBER(K194)),"ISI SNAPSHOT HPP",ROUND(E194*K194,0)))</f>
        <v/>
      </c>
      <c r="M194" s="0" t="str">
        <f aca="false">IF(A194="","",IF(NOT(ISNUMBER(L194)),"BELUM LENGKAP",J194-L194))</f>
        <v/>
      </c>
      <c r="N194" s="0" t="str">
        <f aca="false">IF(B194="","",IF(COUNTIFS('RESEP DAN HPP'!$A$5:$A$504,B194,'RESEP DAN HPP'!$N$5:$N$504,"LENGKAP")=0,"BELUM LENGKAP",INDEX('RESEP DAN HPP'!$J$5:$J$504,MATCH(B194,'RESEP DAN HPP'!$A$5:$A$504,0))))</f>
        <v/>
      </c>
      <c r="P194" s="0" t="str">
        <f aca="false">IF(A194="","",IF(COUNTIFS('TRANSAKSI PENJUALAN'!$A$5:$A$504,A194)=0,"BELUM ADA",INDEX('TRANSAKSI PENJUALAN'!$B$5:$B$504,MATCH(A194,'TRANSAKSI PENJUALAN'!$A$5:$A$504,0))))</f>
        <v/>
      </c>
      <c r="Q194" s="0" t="str">
        <f aca="false">IF(A194="","",IF(COUNTIFS('TRANSAKSI PENJUALAN'!$A$5:$A$504,A194)=0,"BELUM ADA",INDEX('TRANSAKSI PENJUALAN'!$M$5:$M$504,MATCH(A194,'TRANSAKSI PENJUALAN'!$A$5:$A$504,0))))</f>
        <v/>
      </c>
      <c r="R194" s="24" t="str">
        <f aca="false">IF(A194="","",COUNTIF($A$5:A194,A194))</f>
        <v/>
      </c>
      <c r="S194" s="24" t="str">
        <f aca="false">IF(A194="","",A194&amp;"|"&amp;R194)</f>
        <v/>
      </c>
    </row>
    <row r="195" customFormat="false" ht="15" hidden="false" customHeight="false" outlineLevel="0" collapsed="false">
      <c r="C195" s="0" t="str">
        <f aca="false">IF(B195="","",IF(COUNTIFS('MASTER MENU'!$A$5:$A$504,B195)=0,"BELUM ADA",INDEX('MASTER MENU'!$B$5:$B$504,MATCH(B195,'MASTER MENU'!$A$5:$A$504,0))))</f>
        <v/>
      </c>
      <c r="D195" s="0" t="str">
        <f aca="false">IF(B195="","",IF(COUNTIFS('MASTER MENU'!$A$5:$A$504,B195)=0,"BELUM ADA",INDEX('MASTER MENU'!$E$5:$E$504,MATCH(B195,'MASTER MENU'!$A$5:$A$504,0))))</f>
        <v/>
      </c>
      <c r="F195" s="0" t="str">
        <f aca="false">IF(B195="","",IF(COUNTIFS('MASTER MENU'!$A$5:$A$504,B195)=0,"BELUM ADA",INDEX('MASTER MENU'!$F$5:$F$504,MATCH(B195,'MASTER MENU'!$A$5:$A$504,0))))</f>
        <v/>
      </c>
      <c r="G195" s="0" t="str">
        <f aca="false">IF(A195="","",IF(OR(NOT(ISNUMBER(E195)),NOT(ISNUMBER(F195))),"BELUM LENGKAP",ROUND(E195*F195,0)))</f>
        <v/>
      </c>
      <c r="J195" s="0" t="str">
        <f aca="false">IF(A195="","",IF(NOT(ISNUMBER(G195)),"BELUM LENGKAP",G195-H195-I195))</f>
        <v/>
      </c>
      <c r="L195" s="0" t="str">
        <f aca="false">IF(A195="","",IF(NOT(ISNUMBER(K195)),"ISI SNAPSHOT HPP",ROUND(E195*K195,0)))</f>
        <v/>
      </c>
      <c r="M195" s="0" t="str">
        <f aca="false">IF(A195="","",IF(NOT(ISNUMBER(L195)),"BELUM LENGKAP",J195-L195))</f>
        <v/>
      </c>
      <c r="N195" s="0" t="str">
        <f aca="false">IF(B195="","",IF(COUNTIFS('RESEP DAN HPP'!$A$5:$A$504,B195,'RESEP DAN HPP'!$N$5:$N$504,"LENGKAP")=0,"BELUM LENGKAP",INDEX('RESEP DAN HPP'!$J$5:$J$504,MATCH(B195,'RESEP DAN HPP'!$A$5:$A$504,0))))</f>
        <v/>
      </c>
      <c r="P195" s="0" t="str">
        <f aca="false">IF(A195="","",IF(COUNTIFS('TRANSAKSI PENJUALAN'!$A$5:$A$504,A195)=0,"BELUM ADA",INDEX('TRANSAKSI PENJUALAN'!$B$5:$B$504,MATCH(A195,'TRANSAKSI PENJUALAN'!$A$5:$A$504,0))))</f>
        <v/>
      </c>
      <c r="Q195" s="0" t="str">
        <f aca="false">IF(A195="","",IF(COUNTIFS('TRANSAKSI PENJUALAN'!$A$5:$A$504,A195)=0,"BELUM ADA",INDEX('TRANSAKSI PENJUALAN'!$M$5:$M$504,MATCH(A195,'TRANSAKSI PENJUALAN'!$A$5:$A$504,0))))</f>
        <v/>
      </c>
      <c r="R195" s="24" t="str">
        <f aca="false">IF(A195="","",COUNTIF($A$5:A195,A195))</f>
        <v/>
      </c>
      <c r="S195" s="24" t="str">
        <f aca="false">IF(A195="","",A195&amp;"|"&amp;R195)</f>
        <v/>
      </c>
    </row>
    <row r="196" customFormat="false" ht="15" hidden="false" customHeight="false" outlineLevel="0" collapsed="false">
      <c r="C196" s="0" t="str">
        <f aca="false">IF(B196="","",IF(COUNTIFS('MASTER MENU'!$A$5:$A$504,B196)=0,"BELUM ADA",INDEX('MASTER MENU'!$B$5:$B$504,MATCH(B196,'MASTER MENU'!$A$5:$A$504,0))))</f>
        <v/>
      </c>
      <c r="D196" s="0" t="str">
        <f aca="false">IF(B196="","",IF(COUNTIFS('MASTER MENU'!$A$5:$A$504,B196)=0,"BELUM ADA",INDEX('MASTER MENU'!$E$5:$E$504,MATCH(B196,'MASTER MENU'!$A$5:$A$504,0))))</f>
        <v/>
      </c>
      <c r="F196" s="0" t="str">
        <f aca="false">IF(B196="","",IF(COUNTIFS('MASTER MENU'!$A$5:$A$504,B196)=0,"BELUM ADA",INDEX('MASTER MENU'!$F$5:$F$504,MATCH(B196,'MASTER MENU'!$A$5:$A$504,0))))</f>
        <v/>
      </c>
      <c r="G196" s="0" t="str">
        <f aca="false">IF(A196="","",IF(OR(NOT(ISNUMBER(E196)),NOT(ISNUMBER(F196))),"BELUM LENGKAP",ROUND(E196*F196,0)))</f>
        <v/>
      </c>
      <c r="J196" s="0" t="str">
        <f aca="false">IF(A196="","",IF(NOT(ISNUMBER(G196)),"BELUM LENGKAP",G196-H196-I196))</f>
        <v/>
      </c>
      <c r="L196" s="0" t="str">
        <f aca="false">IF(A196="","",IF(NOT(ISNUMBER(K196)),"ISI SNAPSHOT HPP",ROUND(E196*K196,0)))</f>
        <v/>
      </c>
      <c r="M196" s="0" t="str">
        <f aca="false">IF(A196="","",IF(NOT(ISNUMBER(L196)),"BELUM LENGKAP",J196-L196))</f>
        <v/>
      </c>
      <c r="N196" s="0" t="str">
        <f aca="false">IF(B196="","",IF(COUNTIFS('RESEP DAN HPP'!$A$5:$A$504,B196,'RESEP DAN HPP'!$N$5:$N$504,"LENGKAP")=0,"BELUM LENGKAP",INDEX('RESEP DAN HPP'!$J$5:$J$504,MATCH(B196,'RESEP DAN HPP'!$A$5:$A$504,0))))</f>
        <v/>
      </c>
      <c r="P196" s="0" t="str">
        <f aca="false">IF(A196="","",IF(COUNTIFS('TRANSAKSI PENJUALAN'!$A$5:$A$504,A196)=0,"BELUM ADA",INDEX('TRANSAKSI PENJUALAN'!$B$5:$B$504,MATCH(A196,'TRANSAKSI PENJUALAN'!$A$5:$A$504,0))))</f>
        <v/>
      </c>
      <c r="Q196" s="0" t="str">
        <f aca="false">IF(A196="","",IF(COUNTIFS('TRANSAKSI PENJUALAN'!$A$5:$A$504,A196)=0,"BELUM ADA",INDEX('TRANSAKSI PENJUALAN'!$M$5:$M$504,MATCH(A196,'TRANSAKSI PENJUALAN'!$A$5:$A$504,0))))</f>
        <v/>
      </c>
      <c r="R196" s="24" t="str">
        <f aca="false">IF(A196="","",COUNTIF($A$5:A196,A196))</f>
        <v/>
      </c>
      <c r="S196" s="24" t="str">
        <f aca="false">IF(A196="","",A196&amp;"|"&amp;R196)</f>
        <v/>
      </c>
    </row>
    <row r="197" customFormat="false" ht="15" hidden="false" customHeight="false" outlineLevel="0" collapsed="false">
      <c r="C197" s="0" t="str">
        <f aca="false">IF(B197="","",IF(COUNTIFS('MASTER MENU'!$A$5:$A$504,B197)=0,"BELUM ADA",INDEX('MASTER MENU'!$B$5:$B$504,MATCH(B197,'MASTER MENU'!$A$5:$A$504,0))))</f>
        <v/>
      </c>
      <c r="D197" s="0" t="str">
        <f aca="false">IF(B197="","",IF(COUNTIFS('MASTER MENU'!$A$5:$A$504,B197)=0,"BELUM ADA",INDEX('MASTER MENU'!$E$5:$E$504,MATCH(B197,'MASTER MENU'!$A$5:$A$504,0))))</f>
        <v/>
      </c>
      <c r="F197" s="0" t="str">
        <f aca="false">IF(B197="","",IF(COUNTIFS('MASTER MENU'!$A$5:$A$504,B197)=0,"BELUM ADA",INDEX('MASTER MENU'!$F$5:$F$504,MATCH(B197,'MASTER MENU'!$A$5:$A$504,0))))</f>
        <v/>
      </c>
      <c r="G197" s="0" t="str">
        <f aca="false">IF(A197="","",IF(OR(NOT(ISNUMBER(E197)),NOT(ISNUMBER(F197))),"BELUM LENGKAP",ROUND(E197*F197,0)))</f>
        <v/>
      </c>
      <c r="J197" s="0" t="str">
        <f aca="false">IF(A197="","",IF(NOT(ISNUMBER(G197)),"BELUM LENGKAP",G197-H197-I197))</f>
        <v/>
      </c>
      <c r="L197" s="0" t="str">
        <f aca="false">IF(A197="","",IF(NOT(ISNUMBER(K197)),"ISI SNAPSHOT HPP",ROUND(E197*K197,0)))</f>
        <v/>
      </c>
      <c r="M197" s="0" t="str">
        <f aca="false">IF(A197="","",IF(NOT(ISNUMBER(L197)),"BELUM LENGKAP",J197-L197))</f>
        <v/>
      </c>
      <c r="N197" s="0" t="str">
        <f aca="false">IF(B197="","",IF(COUNTIFS('RESEP DAN HPP'!$A$5:$A$504,B197,'RESEP DAN HPP'!$N$5:$N$504,"LENGKAP")=0,"BELUM LENGKAP",INDEX('RESEP DAN HPP'!$J$5:$J$504,MATCH(B197,'RESEP DAN HPP'!$A$5:$A$504,0))))</f>
        <v/>
      </c>
      <c r="P197" s="0" t="str">
        <f aca="false">IF(A197="","",IF(COUNTIFS('TRANSAKSI PENJUALAN'!$A$5:$A$504,A197)=0,"BELUM ADA",INDEX('TRANSAKSI PENJUALAN'!$B$5:$B$504,MATCH(A197,'TRANSAKSI PENJUALAN'!$A$5:$A$504,0))))</f>
        <v/>
      </c>
      <c r="Q197" s="0" t="str">
        <f aca="false">IF(A197="","",IF(COUNTIFS('TRANSAKSI PENJUALAN'!$A$5:$A$504,A197)=0,"BELUM ADA",INDEX('TRANSAKSI PENJUALAN'!$M$5:$M$504,MATCH(A197,'TRANSAKSI PENJUALAN'!$A$5:$A$504,0))))</f>
        <v/>
      </c>
      <c r="R197" s="24" t="str">
        <f aca="false">IF(A197="","",COUNTIF($A$5:A197,A197))</f>
        <v/>
      </c>
      <c r="S197" s="24" t="str">
        <f aca="false">IF(A197="","",A197&amp;"|"&amp;R197)</f>
        <v/>
      </c>
    </row>
    <row r="198" customFormat="false" ht="15" hidden="false" customHeight="false" outlineLevel="0" collapsed="false">
      <c r="C198" s="0" t="str">
        <f aca="false">IF(B198="","",IF(COUNTIFS('MASTER MENU'!$A$5:$A$504,B198)=0,"BELUM ADA",INDEX('MASTER MENU'!$B$5:$B$504,MATCH(B198,'MASTER MENU'!$A$5:$A$504,0))))</f>
        <v/>
      </c>
      <c r="D198" s="0" t="str">
        <f aca="false">IF(B198="","",IF(COUNTIFS('MASTER MENU'!$A$5:$A$504,B198)=0,"BELUM ADA",INDEX('MASTER MENU'!$E$5:$E$504,MATCH(B198,'MASTER MENU'!$A$5:$A$504,0))))</f>
        <v/>
      </c>
      <c r="F198" s="0" t="str">
        <f aca="false">IF(B198="","",IF(COUNTIFS('MASTER MENU'!$A$5:$A$504,B198)=0,"BELUM ADA",INDEX('MASTER MENU'!$F$5:$F$504,MATCH(B198,'MASTER MENU'!$A$5:$A$504,0))))</f>
        <v/>
      </c>
      <c r="G198" s="0" t="str">
        <f aca="false">IF(A198="","",IF(OR(NOT(ISNUMBER(E198)),NOT(ISNUMBER(F198))),"BELUM LENGKAP",ROUND(E198*F198,0)))</f>
        <v/>
      </c>
      <c r="J198" s="0" t="str">
        <f aca="false">IF(A198="","",IF(NOT(ISNUMBER(G198)),"BELUM LENGKAP",G198-H198-I198))</f>
        <v/>
      </c>
      <c r="L198" s="0" t="str">
        <f aca="false">IF(A198="","",IF(NOT(ISNUMBER(K198)),"ISI SNAPSHOT HPP",ROUND(E198*K198,0)))</f>
        <v/>
      </c>
      <c r="M198" s="0" t="str">
        <f aca="false">IF(A198="","",IF(NOT(ISNUMBER(L198)),"BELUM LENGKAP",J198-L198))</f>
        <v/>
      </c>
      <c r="N198" s="0" t="str">
        <f aca="false">IF(B198="","",IF(COUNTIFS('RESEP DAN HPP'!$A$5:$A$504,B198,'RESEP DAN HPP'!$N$5:$N$504,"LENGKAP")=0,"BELUM LENGKAP",INDEX('RESEP DAN HPP'!$J$5:$J$504,MATCH(B198,'RESEP DAN HPP'!$A$5:$A$504,0))))</f>
        <v/>
      </c>
      <c r="P198" s="0" t="str">
        <f aca="false">IF(A198="","",IF(COUNTIFS('TRANSAKSI PENJUALAN'!$A$5:$A$504,A198)=0,"BELUM ADA",INDEX('TRANSAKSI PENJUALAN'!$B$5:$B$504,MATCH(A198,'TRANSAKSI PENJUALAN'!$A$5:$A$504,0))))</f>
        <v/>
      </c>
      <c r="Q198" s="0" t="str">
        <f aca="false">IF(A198="","",IF(COUNTIFS('TRANSAKSI PENJUALAN'!$A$5:$A$504,A198)=0,"BELUM ADA",INDEX('TRANSAKSI PENJUALAN'!$M$5:$M$504,MATCH(A198,'TRANSAKSI PENJUALAN'!$A$5:$A$504,0))))</f>
        <v/>
      </c>
      <c r="R198" s="24" t="str">
        <f aca="false">IF(A198="","",COUNTIF($A$5:A198,A198))</f>
        <v/>
      </c>
      <c r="S198" s="24" t="str">
        <f aca="false">IF(A198="","",A198&amp;"|"&amp;R198)</f>
        <v/>
      </c>
    </row>
    <row r="199" customFormat="false" ht="15" hidden="false" customHeight="false" outlineLevel="0" collapsed="false">
      <c r="C199" s="0" t="str">
        <f aca="false">IF(B199="","",IF(COUNTIFS('MASTER MENU'!$A$5:$A$504,B199)=0,"BELUM ADA",INDEX('MASTER MENU'!$B$5:$B$504,MATCH(B199,'MASTER MENU'!$A$5:$A$504,0))))</f>
        <v/>
      </c>
      <c r="D199" s="0" t="str">
        <f aca="false">IF(B199="","",IF(COUNTIFS('MASTER MENU'!$A$5:$A$504,B199)=0,"BELUM ADA",INDEX('MASTER MENU'!$E$5:$E$504,MATCH(B199,'MASTER MENU'!$A$5:$A$504,0))))</f>
        <v/>
      </c>
      <c r="F199" s="0" t="str">
        <f aca="false">IF(B199="","",IF(COUNTIFS('MASTER MENU'!$A$5:$A$504,B199)=0,"BELUM ADA",INDEX('MASTER MENU'!$F$5:$F$504,MATCH(B199,'MASTER MENU'!$A$5:$A$504,0))))</f>
        <v/>
      </c>
      <c r="G199" s="0" t="str">
        <f aca="false">IF(A199="","",IF(OR(NOT(ISNUMBER(E199)),NOT(ISNUMBER(F199))),"BELUM LENGKAP",ROUND(E199*F199,0)))</f>
        <v/>
      </c>
      <c r="J199" s="0" t="str">
        <f aca="false">IF(A199="","",IF(NOT(ISNUMBER(G199)),"BELUM LENGKAP",G199-H199-I199))</f>
        <v/>
      </c>
      <c r="L199" s="0" t="str">
        <f aca="false">IF(A199="","",IF(NOT(ISNUMBER(K199)),"ISI SNAPSHOT HPP",ROUND(E199*K199,0)))</f>
        <v/>
      </c>
      <c r="M199" s="0" t="str">
        <f aca="false">IF(A199="","",IF(NOT(ISNUMBER(L199)),"BELUM LENGKAP",J199-L199))</f>
        <v/>
      </c>
      <c r="N199" s="0" t="str">
        <f aca="false">IF(B199="","",IF(COUNTIFS('RESEP DAN HPP'!$A$5:$A$504,B199,'RESEP DAN HPP'!$N$5:$N$504,"LENGKAP")=0,"BELUM LENGKAP",INDEX('RESEP DAN HPP'!$J$5:$J$504,MATCH(B199,'RESEP DAN HPP'!$A$5:$A$504,0))))</f>
        <v/>
      </c>
      <c r="P199" s="0" t="str">
        <f aca="false">IF(A199="","",IF(COUNTIFS('TRANSAKSI PENJUALAN'!$A$5:$A$504,A199)=0,"BELUM ADA",INDEX('TRANSAKSI PENJUALAN'!$B$5:$B$504,MATCH(A199,'TRANSAKSI PENJUALAN'!$A$5:$A$504,0))))</f>
        <v/>
      </c>
      <c r="Q199" s="0" t="str">
        <f aca="false">IF(A199="","",IF(COUNTIFS('TRANSAKSI PENJUALAN'!$A$5:$A$504,A199)=0,"BELUM ADA",INDEX('TRANSAKSI PENJUALAN'!$M$5:$M$504,MATCH(A199,'TRANSAKSI PENJUALAN'!$A$5:$A$504,0))))</f>
        <v/>
      </c>
      <c r="R199" s="24" t="str">
        <f aca="false">IF(A199="","",COUNTIF($A$5:A199,A199))</f>
        <v/>
      </c>
      <c r="S199" s="24" t="str">
        <f aca="false">IF(A199="","",A199&amp;"|"&amp;R199)</f>
        <v/>
      </c>
    </row>
    <row r="200" customFormat="false" ht="15" hidden="false" customHeight="false" outlineLevel="0" collapsed="false">
      <c r="C200" s="0" t="str">
        <f aca="false">IF(B200="","",IF(COUNTIFS('MASTER MENU'!$A$5:$A$504,B200)=0,"BELUM ADA",INDEX('MASTER MENU'!$B$5:$B$504,MATCH(B200,'MASTER MENU'!$A$5:$A$504,0))))</f>
        <v/>
      </c>
      <c r="D200" s="0" t="str">
        <f aca="false">IF(B200="","",IF(COUNTIFS('MASTER MENU'!$A$5:$A$504,B200)=0,"BELUM ADA",INDEX('MASTER MENU'!$E$5:$E$504,MATCH(B200,'MASTER MENU'!$A$5:$A$504,0))))</f>
        <v/>
      </c>
      <c r="F200" s="0" t="str">
        <f aca="false">IF(B200="","",IF(COUNTIFS('MASTER MENU'!$A$5:$A$504,B200)=0,"BELUM ADA",INDEX('MASTER MENU'!$F$5:$F$504,MATCH(B200,'MASTER MENU'!$A$5:$A$504,0))))</f>
        <v/>
      </c>
      <c r="G200" s="0" t="str">
        <f aca="false">IF(A200="","",IF(OR(NOT(ISNUMBER(E200)),NOT(ISNUMBER(F200))),"BELUM LENGKAP",ROUND(E200*F200,0)))</f>
        <v/>
      </c>
      <c r="J200" s="0" t="str">
        <f aca="false">IF(A200="","",IF(NOT(ISNUMBER(G200)),"BELUM LENGKAP",G200-H200-I200))</f>
        <v/>
      </c>
      <c r="L200" s="0" t="str">
        <f aca="false">IF(A200="","",IF(NOT(ISNUMBER(K200)),"ISI SNAPSHOT HPP",ROUND(E200*K200,0)))</f>
        <v/>
      </c>
      <c r="M200" s="0" t="str">
        <f aca="false">IF(A200="","",IF(NOT(ISNUMBER(L200)),"BELUM LENGKAP",J200-L200))</f>
        <v/>
      </c>
      <c r="N200" s="0" t="str">
        <f aca="false">IF(B200="","",IF(COUNTIFS('RESEP DAN HPP'!$A$5:$A$504,B200,'RESEP DAN HPP'!$N$5:$N$504,"LENGKAP")=0,"BELUM LENGKAP",INDEX('RESEP DAN HPP'!$J$5:$J$504,MATCH(B200,'RESEP DAN HPP'!$A$5:$A$504,0))))</f>
        <v/>
      </c>
      <c r="P200" s="0" t="str">
        <f aca="false">IF(A200="","",IF(COUNTIFS('TRANSAKSI PENJUALAN'!$A$5:$A$504,A200)=0,"BELUM ADA",INDEX('TRANSAKSI PENJUALAN'!$B$5:$B$504,MATCH(A200,'TRANSAKSI PENJUALAN'!$A$5:$A$504,0))))</f>
        <v/>
      </c>
      <c r="Q200" s="0" t="str">
        <f aca="false">IF(A200="","",IF(COUNTIFS('TRANSAKSI PENJUALAN'!$A$5:$A$504,A200)=0,"BELUM ADA",INDEX('TRANSAKSI PENJUALAN'!$M$5:$M$504,MATCH(A200,'TRANSAKSI PENJUALAN'!$A$5:$A$504,0))))</f>
        <v/>
      </c>
      <c r="R200" s="24" t="str">
        <f aca="false">IF(A200="","",COUNTIF($A$5:A200,A200))</f>
        <v/>
      </c>
      <c r="S200" s="24" t="str">
        <f aca="false">IF(A200="","",A200&amp;"|"&amp;R200)</f>
        <v/>
      </c>
    </row>
    <row r="201" customFormat="false" ht="15" hidden="false" customHeight="false" outlineLevel="0" collapsed="false">
      <c r="C201" s="0" t="str">
        <f aca="false">IF(B201="","",IF(COUNTIFS('MASTER MENU'!$A$5:$A$504,B201)=0,"BELUM ADA",INDEX('MASTER MENU'!$B$5:$B$504,MATCH(B201,'MASTER MENU'!$A$5:$A$504,0))))</f>
        <v/>
      </c>
      <c r="D201" s="0" t="str">
        <f aca="false">IF(B201="","",IF(COUNTIFS('MASTER MENU'!$A$5:$A$504,B201)=0,"BELUM ADA",INDEX('MASTER MENU'!$E$5:$E$504,MATCH(B201,'MASTER MENU'!$A$5:$A$504,0))))</f>
        <v/>
      </c>
      <c r="F201" s="0" t="str">
        <f aca="false">IF(B201="","",IF(COUNTIFS('MASTER MENU'!$A$5:$A$504,B201)=0,"BELUM ADA",INDEX('MASTER MENU'!$F$5:$F$504,MATCH(B201,'MASTER MENU'!$A$5:$A$504,0))))</f>
        <v/>
      </c>
      <c r="G201" s="0" t="str">
        <f aca="false">IF(A201="","",IF(OR(NOT(ISNUMBER(E201)),NOT(ISNUMBER(F201))),"BELUM LENGKAP",ROUND(E201*F201,0)))</f>
        <v/>
      </c>
      <c r="J201" s="0" t="str">
        <f aca="false">IF(A201="","",IF(NOT(ISNUMBER(G201)),"BELUM LENGKAP",G201-H201-I201))</f>
        <v/>
      </c>
      <c r="L201" s="0" t="str">
        <f aca="false">IF(A201="","",IF(NOT(ISNUMBER(K201)),"ISI SNAPSHOT HPP",ROUND(E201*K201,0)))</f>
        <v/>
      </c>
      <c r="M201" s="0" t="str">
        <f aca="false">IF(A201="","",IF(NOT(ISNUMBER(L201)),"BELUM LENGKAP",J201-L201))</f>
        <v/>
      </c>
      <c r="N201" s="0" t="str">
        <f aca="false">IF(B201="","",IF(COUNTIFS('RESEP DAN HPP'!$A$5:$A$504,B201,'RESEP DAN HPP'!$N$5:$N$504,"LENGKAP")=0,"BELUM LENGKAP",INDEX('RESEP DAN HPP'!$J$5:$J$504,MATCH(B201,'RESEP DAN HPP'!$A$5:$A$504,0))))</f>
        <v/>
      </c>
      <c r="P201" s="0" t="str">
        <f aca="false">IF(A201="","",IF(COUNTIFS('TRANSAKSI PENJUALAN'!$A$5:$A$504,A201)=0,"BELUM ADA",INDEX('TRANSAKSI PENJUALAN'!$B$5:$B$504,MATCH(A201,'TRANSAKSI PENJUALAN'!$A$5:$A$504,0))))</f>
        <v/>
      </c>
      <c r="Q201" s="0" t="str">
        <f aca="false">IF(A201="","",IF(COUNTIFS('TRANSAKSI PENJUALAN'!$A$5:$A$504,A201)=0,"BELUM ADA",INDEX('TRANSAKSI PENJUALAN'!$M$5:$M$504,MATCH(A201,'TRANSAKSI PENJUALAN'!$A$5:$A$504,0))))</f>
        <v/>
      </c>
      <c r="R201" s="24" t="str">
        <f aca="false">IF(A201="","",COUNTIF($A$5:A201,A201))</f>
        <v/>
      </c>
      <c r="S201" s="24" t="str">
        <f aca="false">IF(A201="","",A201&amp;"|"&amp;R201)</f>
        <v/>
      </c>
    </row>
    <row r="202" customFormat="false" ht="15" hidden="false" customHeight="false" outlineLevel="0" collapsed="false">
      <c r="C202" s="0" t="str">
        <f aca="false">IF(B202="","",IF(COUNTIFS('MASTER MENU'!$A$5:$A$504,B202)=0,"BELUM ADA",INDEX('MASTER MENU'!$B$5:$B$504,MATCH(B202,'MASTER MENU'!$A$5:$A$504,0))))</f>
        <v/>
      </c>
      <c r="D202" s="0" t="str">
        <f aca="false">IF(B202="","",IF(COUNTIFS('MASTER MENU'!$A$5:$A$504,B202)=0,"BELUM ADA",INDEX('MASTER MENU'!$E$5:$E$504,MATCH(B202,'MASTER MENU'!$A$5:$A$504,0))))</f>
        <v/>
      </c>
      <c r="F202" s="0" t="str">
        <f aca="false">IF(B202="","",IF(COUNTIFS('MASTER MENU'!$A$5:$A$504,B202)=0,"BELUM ADA",INDEX('MASTER MENU'!$F$5:$F$504,MATCH(B202,'MASTER MENU'!$A$5:$A$504,0))))</f>
        <v/>
      </c>
      <c r="G202" s="0" t="str">
        <f aca="false">IF(A202="","",IF(OR(NOT(ISNUMBER(E202)),NOT(ISNUMBER(F202))),"BELUM LENGKAP",ROUND(E202*F202,0)))</f>
        <v/>
      </c>
      <c r="J202" s="0" t="str">
        <f aca="false">IF(A202="","",IF(NOT(ISNUMBER(G202)),"BELUM LENGKAP",G202-H202-I202))</f>
        <v/>
      </c>
      <c r="L202" s="0" t="str">
        <f aca="false">IF(A202="","",IF(NOT(ISNUMBER(K202)),"ISI SNAPSHOT HPP",ROUND(E202*K202,0)))</f>
        <v/>
      </c>
      <c r="M202" s="0" t="str">
        <f aca="false">IF(A202="","",IF(NOT(ISNUMBER(L202)),"BELUM LENGKAP",J202-L202))</f>
        <v/>
      </c>
      <c r="N202" s="0" t="str">
        <f aca="false">IF(B202="","",IF(COUNTIFS('RESEP DAN HPP'!$A$5:$A$504,B202,'RESEP DAN HPP'!$N$5:$N$504,"LENGKAP")=0,"BELUM LENGKAP",INDEX('RESEP DAN HPP'!$J$5:$J$504,MATCH(B202,'RESEP DAN HPP'!$A$5:$A$504,0))))</f>
        <v/>
      </c>
      <c r="P202" s="0" t="str">
        <f aca="false">IF(A202="","",IF(COUNTIFS('TRANSAKSI PENJUALAN'!$A$5:$A$504,A202)=0,"BELUM ADA",INDEX('TRANSAKSI PENJUALAN'!$B$5:$B$504,MATCH(A202,'TRANSAKSI PENJUALAN'!$A$5:$A$504,0))))</f>
        <v/>
      </c>
      <c r="Q202" s="0" t="str">
        <f aca="false">IF(A202="","",IF(COUNTIFS('TRANSAKSI PENJUALAN'!$A$5:$A$504,A202)=0,"BELUM ADA",INDEX('TRANSAKSI PENJUALAN'!$M$5:$M$504,MATCH(A202,'TRANSAKSI PENJUALAN'!$A$5:$A$504,0))))</f>
        <v/>
      </c>
      <c r="R202" s="24" t="str">
        <f aca="false">IF(A202="","",COUNTIF($A$5:A202,A202))</f>
        <v/>
      </c>
      <c r="S202" s="24" t="str">
        <f aca="false">IF(A202="","",A202&amp;"|"&amp;R202)</f>
        <v/>
      </c>
    </row>
    <row r="203" customFormat="false" ht="15" hidden="false" customHeight="false" outlineLevel="0" collapsed="false">
      <c r="C203" s="0" t="str">
        <f aca="false">IF(B203="","",IF(COUNTIFS('MASTER MENU'!$A$5:$A$504,B203)=0,"BELUM ADA",INDEX('MASTER MENU'!$B$5:$B$504,MATCH(B203,'MASTER MENU'!$A$5:$A$504,0))))</f>
        <v/>
      </c>
      <c r="D203" s="0" t="str">
        <f aca="false">IF(B203="","",IF(COUNTIFS('MASTER MENU'!$A$5:$A$504,B203)=0,"BELUM ADA",INDEX('MASTER MENU'!$E$5:$E$504,MATCH(B203,'MASTER MENU'!$A$5:$A$504,0))))</f>
        <v/>
      </c>
      <c r="F203" s="0" t="str">
        <f aca="false">IF(B203="","",IF(COUNTIFS('MASTER MENU'!$A$5:$A$504,B203)=0,"BELUM ADA",INDEX('MASTER MENU'!$F$5:$F$504,MATCH(B203,'MASTER MENU'!$A$5:$A$504,0))))</f>
        <v/>
      </c>
      <c r="G203" s="0" t="str">
        <f aca="false">IF(A203="","",IF(OR(NOT(ISNUMBER(E203)),NOT(ISNUMBER(F203))),"BELUM LENGKAP",ROUND(E203*F203,0)))</f>
        <v/>
      </c>
      <c r="J203" s="0" t="str">
        <f aca="false">IF(A203="","",IF(NOT(ISNUMBER(G203)),"BELUM LENGKAP",G203-H203-I203))</f>
        <v/>
      </c>
      <c r="L203" s="0" t="str">
        <f aca="false">IF(A203="","",IF(NOT(ISNUMBER(K203)),"ISI SNAPSHOT HPP",ROUND(E203*K203,0)))</f>
        <v/>
      </c>
      <c r="M203" s="0" t="str">
        <f aca="false">IF(A203="","",IF(NOT(ISNUMBER(L203)),"BELUM LENGKAP",J203-L203))</f>
        <v/>
      </c>
      <c r="N203" s="0" t="str">
        <f aca="false">IF(B203="","",IF(COUNTIFS('RESEP DAN HPP'!$A$5:$A$504,B203,'RESEP DAN HPP'!$N$5:$N$504,"LENGKAP")=0,"BELUM LENGKAP",INDEX('RESEP DAN HPP'!$J$5:$J$504,MATCH(B203,'RESEP DAN HPP'!$A$5:$A$504,0))))</f>
        <v/>
      </c>
      <c r="P203" s="0" t="str">
        <f aca="false">IF(A203="","",IF(COUNTIFS('TRANSAKSI PENJUALAN'!$A$5:$A$504,A203)=0,"BELUM ADA",INDEX('TRANSAKSI PENJUALAN'!$B$5:$B$504,MATCH(A203,'TRANSAKSI PENJUALAN'!$A$5:$A$504,0))))</f>
        <v/>
      </c>
      <c r="Q203" s="0" t="str">
        <f aca="false">IF(A203="","",IF(COUNTIFS('TRANSAKSI PENJUALAN'!$A$5:$A$504,A203)=0,"BELUM ADA",INDEX('TRANSAKSI PENJUALAN'!$M$5:$M$504,MATCH(A203,'TRANSAKSI PENJUALAN'!$A$5:$A$504,0))))</f>
        <v/>
      </c>
      <c r="R203" s="24" t="str">
        <f aca="false">IF(A203="","",COUNTIF($A$5:A203,A203))</f>
        <v/>
      </c>
      <c r="S203" s="24" t="str">
        <f aca="false">IF(A203="","",A203&amp;"|"&amp;R203)</f>
        <v/>
      </c>
    </row>
    <row r="204" customFormat="false" ht="15" hidden="false" customHeight="false" outlineLevel="0" collapsed="false">
      <c r="C204" s="0" t="str">
        <f aca="false">IF(B204="","",IF(COUNTIFS('MASTER MENU'!$A$5:$A$504,B204)=0,"BELUM ADA",INDEX('MASTER MENU'!$B$5:$B$504,MATCH(B204,'MASTER MENU'!$A$5:$A$504,0))))</f>
        <v/>
      </c>
      <c r="D204" s="0" t="str">
        <f aca="false">IF(B204="","",IF(COUNTIFS('MASTER MENU'!$A$5:$A$504,B204)=0,"BELUM ADA",INDEX('MASTER MENU'!$E$5:$E$504,MATCH(B204,'MASTER MENU'!$A$5:$A$504,0))))</f>
        <v/>
      </c>
      <c r="F204" s="0" t="str">
        <f aca="false">IF(B204="","",IF(COUNTIFS('MASTER MENU'!$A$5:$A$504,B204)=0,"BELUM ADA",INDEX('MASTER MENU'!$F$5:$F$504,MATCH(B204,'MASTER MENU'!$A$5:$A$504,0))))</f>
        <v/>
      </c>
      <c r="G204" s="0" t="str">
        <f aca="false">IF(A204="","",IF(OR(NOT(ISNUMBER(E204)),NOT(ISNUMBER(F204))),"BELUM LENGKAP",ROUND(E204*F204,0)))</f>
        <v/>
      </c>
      <c r="J204" s="0" t="str">
        <f aca="false">IF(A204="","",IF(NOT(ISNUMBER(G204)),"BELUM LENGKAP",G204-H204-I204))</f>
        <v/>
      </c>
      <c r="L204" s="0" t="str">
        <f aca="false">IF(A204="","",IF(NOT(ISNUMBER(K204)),"ISI SNAPSHOT HPP",ROUND(E204*K204,0)))</f>
        <v/>
      </c>
      <c r="M204" s="0" t="str">
        <f aca="false">IF(A204="","",IF(NOT(ISNUMBER(L204)),"BELUM LENGKAP",J204-L204))</f>
        <v/>
      </c>
      <c r="N204" s="0" t="str">
        <f aca="false">IF(B204="","",IF(COUNTIFS('RESEP DAN HPP'!$A$5:$A$504,B204,'RESEP DAN HPP'!$N$5:$N$504,"LENGKAP")=0,"BELUM LENGKAP",INDEX('RESEP DAN HPP'!$J$5:$J$504,MATCH(B204,'RESEP DAN HPP'!$A$5:$A$504,0))))</f>
        <v/>
      </c>
      <c r="P204" s="0" t="str">
        <f aca="false">IF(A204="","",IF(COUNTIFS('TRANSAKSI PENJUALAN'!$A$5:$A$504,A204)=0,"BELUM ADA",INDEX('TRANSAKSI PENJUALAN'!$B$5:$B$504,MATCH(A204,'TRANSAKSI PENJUALAN'!$A$5:$A$504,0))))</f>
        <v/>
      </c>
      <c r="Q204" s="0" t="str">
        <f aca="false">IF(A204="","",IF(COUNTIFS('TRANSAKSI PENJUALAN'!$A$5:$A$504,A204)=0,"BELUM ADA",INDEX('TRANSAKSI PENJUALAN'!$M$5:$M$504,MATCH(A204,'TRANSAKSI PENJUALAN'!$A$5:$A$504,0))))</f>
        <v/>
      </c>
      <c r="R204" s="24" t="str">
        <f aca="false">IF(A204="","",COUNTIF($A$5:A204,A204))</f>
        <v/>
      </c>
      <c r="S204" s="24" t="str">
        <f aca="false">IF(A204="","",A204&amp;"|"&amp;R204)</f>
        <v/>
      </c>
    </row>
    <row r="205" customFormat="false" ht="15" hidden="false" customHeight="false" outlineLevel="0" collapsed="false">
      <c r="C205" s="0" t="str">
        <f aca="false">IF(B205="","",IF(COUNTIFS('MASTER MENU'!$A$5:$A$504,B205)=0,"BELUM ADA",INDEX('MASTER MENU'!$B$5:$B$504,MATCH(B205,'MASTER MENU'!$A$5:$A$504,0))))</f>
        <v/>
      </c>
      <c r="D205" s="0" t="str">
        <f aca="false">IF(B205="","",IF(COUNTIFS('MASTER MENU'!$A$5:$A$504,B205)=0,"BELUM ADA",INDEX('MASTER MENU'!$E$5:$E$504,MATCH(B205,'MASTER MENU'!$A$5:$A$504,0))))</f>
        <v/>
      </c>
      <c r="F205" s="0" t="str">
        <f aca="false">IF(B205="","",IF(COUNTIFS('MASTER MENU'!$A$5:$A$504,B205)=0,"BELUM ADA",INDEX('MASTER MENU'!$F$5:$F$504,MATCH(B205,'MASTER MENU'!$A$5:$A$504,0))))</f>
        <v/>
      </c>
      <c r="G205" s="0" t="str">
        <f aca="false">IF(A205="","",IF(OR(NOT(ISNUMBER(E205)),NOT(ISNUMBER(F205))),"BELUM LENGKAP",ROUND(E205*F205,0)))</f>
        <v/>
      </c>
      <c r="J205" s="0" t="str">
        <f aca="false">IF(A205="","",IF(NOT(ISNUMBER(G205)),"BELUM LENGKAP",G205-H205-I205))</f>
        <v/>
      </c>
      <c r="L205" s="0" t="str">
        <f aca="false">IF(A205="","",IF(NOT(ISNUMBER(K205)),"ISI SNAPSHOT HPP",ROUND(E205*K205,0)))</f>
        <v/>
      </c>
      <c r="M205" s="0" t="str">
        <f aca="false">IF(A205="","",IF(NOT(ISNUMBER(L205)),"BELUM LENGKAP",J205-L205))</f>
        <v/>
      </c>
      <c r="N205" s="0" t="str">
        <f aca="false">IF(B205="","",IF(COUNTIFS('RESEP DAN HPP'!$A$5:$A$504,B205,'RESEP DAN HPP'!$N$5:$N$504,"LENGKAP")=0,"BELUM LENGKAP",INDEX('RESEP DAN HPP'!$J$5:$J$504,MATCH(B205,'RESEP DAN HPP'!$A$5:$A$504,0))))</f>
        <v/>
      </c>
      <c r="P205" s="0" t="str">
        <f aca="false">IF(A205="","",IF(COUNTIFS('TRANSAKSI PENJUALAN'!$A$5:$A$504,A205)=0,"BELUM ADA",INDEX('TRANSAKSI PENJUALAN'!$B$5:$B$504,MATCH(A205,'TRANSAKSI PENJUALAN'!$A$5:$A$504,0))))</f>
        <v/>
      </c>
      <c r="Q205" s="0" t="str">
        <f aca="false">IF(A205="","",IF(COUNTIFS('TRANSAKSI PENJUALAN'!$A$5:$A$504,A205)=0,"BELUM ADA",INDEX('TRANSAKSI PENJUALAN'!$M$5:$M$504,MATCH(A205,'TRANSAKSI PENJUALAN'!$A$5:$A$504,0))))</f>
        <v/>
      </c>
      <c r="R205" s="24" t="str">
        <f aca="false">IF(A205="","",COUNTIF($A$5:A205,A205))</f>
        <v/>
      </c>
      <c r="S205" s="24" t="str">
        <f aca="false">IF(A205="","",A205&amp;"|"&amp;R205)</f>
        <v/>
      </c>
    </row>
    <row r="206" customFormat="false" ht="15" hidden="false" customHeight="false" outlineLevel="0" collapsed="false">
      <c r="C206" s="0" t="str">
        <f aca="false">IF(B206="","",IF(COUNTIFS('MASTER MENU'!$A$5:$A$504,B206)=0,"BELUM ADA",INDEX('MASTER MENU'!$B$5:$B$504,MATCH(B206,'MASTER MENU'!$A$5:$A$504,0))))</f>
        <v/>
      </c>
      <c r="D206" s="0" t="str">
        <f aca="false">IF(B206="","",IF(COUNTIFS('MASTER MENU'!$A$5:$A$504,B206)=0,"BELUM ADA",INDEX('MASTER MENU'!$E$5:$E$504,MATCH(B206,'MASTER MENU'!$A$5:$A$504,0))))</f>
        <v/>
      </c>
      <c r="F206" s="0" t="str">
        <f aca="false">IF(B206="","",IF(COUNTIFS('MASTER MENU'!$A$5:$A$504,B206)=0,"BELUM ADA",INDEX('MASTER MENU'!$F$5:$F$504,MATCH(B206,'MASTER MENU'!$A$5:$A$504,0))))</f>
        <v/>
      </c>
      <c r="G206" s="0" t="str">
        <f aca="false">IF(A206="","",IF(OR(NOT(ISNUMBER(E206)),NOT(ISNUMBER(F206))),"BELUM LENGKAP",ROUND(E206*F206,0)))</f>
        <v/>
      </c>
      <c r="J206" s="0" t="str">
        <f aca="false">IF(A206="","",IF(NOT(ISNUMBER(G206)),"BELUM LENGKAP",G206-H206-I206))</f>
        <v/>
      </c>
      <c r="L206" s="0" t="str">
        <f aca="false">IF(A206="","",IF(NOT(ISNUMBER(K206)),"ISI SNAPSHOT HPP",ROUND(E206*K206,0)))</f>
        <v/>
      </c>
      <c r="M206" s="0" t="str">
        <f aca="false">IF(A206="","",IF(NOT(ISNUMBER(L206)),"BELUM LENGKAP",J206-L206))</f>
        <v/>
      </c>
      <c r="N206" s="0" t="str">
        <f aca="false">IF(B206="","",IF(COUNTIFS('RESEP DAN HPP'!$A$5:$A$504,B206,'RESEP DAN HPP'!$N$5:$N$504,"LENGKAP")=0,"BELUM LENGKAP",INDEX('RESEP DAN HPP'!$J$5:$J$504,MATCH(B206,'RESEP DAN HPP'!$A$5:$A$504,0))))</f>
        <v/>
      </c>
      <c r="P206" s="0" t="str">
        <f aca="false">IF(A206="","",IF(COUNTIFS('TRANSAKSI PENJUALAN'!$A$5:$A$504,A206)=0,"BELUM ADA",INDEX('TRANSAKSI PENJUALAN'!$B$5:$B$504,MATCH(A206,'TRANSAKSI PENJUALAN'!$A$5:$A$504,0))))</f>
        <v/>
      </c>
      <c r="Q206" s="0" t="str">
        <f aca="false">IF(A206="","",IF(COUNTIFS('TRANSAKSI PENJUALAN'!$A$5:$A$504,A206)=0,"BELUM ADA",INDEX('TRANSAKSI PENJUALAN'!$M$5:$M$504,MATCH(A206,'TRANSAKSI PENJUALAN'!$A$5:$A$504,0))))</f>
        <v/>
      </c>
      <c r="R206" s="24" t="str">
        <f aca="false">IF(A206="","",COUNTIF($A$5:A206,A206))</f>
        <v/>
      </c>
      <c r="S206" s="24" t="str">
        <f aca="false">IF(A206="","",A206&amp;"|"&amp;R206)</f>
        <v/>
      </c>
    </row>
    <row r="207" customFormat="false" ht="15" hidden="false" customHeight="false" outlineLevel="0" collapsed="false">
      <c r="C207" s="0" t="str">
        <f aca="false">IF(B207="","",IF(COUNTIFS('MASTER MENU'!$A$5:$A$504,B207)=0,"BELUM ADA",INDEX('MASTER MENU'!$B$5:$B$504,MATCH(B207,'MASTER MENU'!$A$5:$A$504,0))))</f>
        <v/>
      </c>
      <c r="D207" s="0" t="str">
        <f aca="false">IF(B207="","",IF(COUNTIFS('MASTER MENU'!$A$5:$A$504,B207)=0,"BELUM ADA",INDEX('MASTER MENU'!$E$5:$E$504,MATCH(B207,'MASTER MENU'!$A$5:$A$504,0))))</f>
        <v/>
      </c>
      <c r="F207" s="0" t="str">
        <f aca="false">IF(B207="","",IF(COUNTIFS('MASTER MENU'!$A$5:$A$504,B207)=0,"BELUM ADA",INDEX('MASTER MENU'!$F$5:$F$504,MATCH(B207,'MASTER MENU'!$A$5:$A$504,0))))</f>
        <v/>
      </c>
      <c r="G207" s="0" t="str">
        <f aca="false">IF(A207="","",IF(OR(NOT(ISNUMBER(E207)),NOT(ISNUMBER(F207))),"BELUM LENGKAP",ROUND(E207*F207,0)))</f>
        <v/>
      </c>
      <c r="J207" s="0" t="str">
        <f aca="false">IF(A207="","",IF(NOT(ISNUMBER(G207)),"BELUM LENGKAP",G207-H207-I207))</f>
        <v/>
      </c>
      <c r="L207" s="0" t="str">
        <f aca="false">IF(A207="","",IF(NOT(ISNUMBER(K207)),"ISI SNAPSHOT HPP",ROUND(E207*K207,0)))</f>
        <v/>
      </c>
      <c r="M207" s="0" t="str">
        <f aca="false">IF(A207="","",IF(NOT(ISNUMBER(L207)),"BELUM LENGKAP",J207-L207))</f>
        <v/>
      </c>
      <c r="N207" s="0" t="str">
        <f aca="false">IF(B207="","",IF(COUNTIFS('RESEP DAN HPP'!$A$5:$A$504,B207,'RESEP DAN HPP'!$N$5:$N$504,"LENGKAP")=0,"BELUM LENGKAP",INDEX('RESEP DAN HPP'!$J$5:$J$504,MATCH(B207,'RESEP DAN HPP'!$A$5:$A$504,0))))</f>
        <v/>
      </c>
      <c r="P207" s="0" t="str">
        <f aca="false">IF(A207="","",IF(COUNTIFS('TRANSAKSI PENJUALAN'!$A$5:$A$504,A207)=0,"BELUM ADA",INDEX('TRANSAKSI PENJUALAN'!$B$5:$B$504,MATCH(A207,'TRANSAKSI PENJUALAN'!$A$5:$A$504,0))))</f>
        <v/>
      </c>
      <c r="Q207" s="0" t="str">
        <f aca="false">IF(A207="","",IF(COUNTIFS('TRANSAKSI PENJUALAN'!$A$5:$A$504,A207)=0,"BELUM ADA",INDEX('TRANSAKSI PENJUALAN'!$M$5:$M$504,MATCH(A207,'TRANSAKSI PENJUALAN'!$A$5:$A$504,0))))</f>
        <v/>
      </c>
      <c r="R207" s="24" t="str">
        <f aca="false">IF(A207="","",COUNTIF($A$5:A207,A207))</f>
        <v/>
      </c>
      <c r="S207" s="24" t="str">
        <f aca="false">IF(A207="","",A207&amp;"|"&amp;R207)</f>
        <v/>
      </c>
    </row>
    <row r="208" customFormat="false" ht="15" hidden="false" customHeight="false" outlineLevel="0" collapsed="false">
      <c r="C208" s="0" t="str">
        <f aca="false">IF(B208="","",IF(COUNTIFS('MASTER MENU'!$A$5:$A$504,B208)=0,"BELUM ADA",INDEX('MASTER MENU'!$B$5:$B$504,MATCH(B208,'MASTER MENU'!$A$5:$A$504,0))))</f>
        <v/>
      </c>
      <c r="D208" s="0" t="str">
        <f aca="false">IF(B208="","",IF(COUNTIFS('MASTER MENU'!$A$5:$A$504,B208)=0,"BELUM ADA",INDEX('MASTER MENU'!$E$5:$E$504,MATCH(B208,'MASTER MENU'!$A$5:$A$504,0))))</f>
        <v/>
      </c>
      <c r="F208" s="0" t="str">
        <f aca="false">IF(B208="","",IF(COUNTIFS('MASTER MENU'!$A$5:$A$504,B208)=0,"BELUM ADA",INDEX('MASTER MENU'!$F$5:$F$504,MATCH(B208,'MASTER MENU'!$A$5:$A$504,0))))</f>
        <v/>
      </c>
      <c r="G208" s="0" t="str">
        <f aca="false">IF(A208="","",IF(OR(NOT(ISNUMBER(E208)),NOT(ISNUMBER(F208))),"BELUM LENGKAP",ROUND(E208*F208,0)))</f>
        <v/>
      </c>
      <c r="J208" s="0" t="str">
        <f aca="false">IF(A208="","",IF(NOT(ISNUMBER(G208)),"BELUM LENGKAP",G208-H208-I208))</f>
        <v/>
      </c>
      <c r="L208" s="0" t="str">
        <f aca="false">IF(A208="","",IF(NOT(ISNUMBER(K208)),"ISI SNAPSHOT HPP",ROUND(E208*K208,0)))</f>
        <v/>
      </c>
      <c r="M208" s="0" t="str">
        <f aca="false">IF(A208="","",IF(NOT(ISNUMBER(L208)),"BELUM LENGKAP",J208-L208))</f>
        <v/>
      </c>
      <c r="N208" s="0" t="str">
        <f aca="false">IF(B208="","",IF(COUNTIFS('RESEP DAN HPP'!$A$5:$A$504,B208,'RESEP DAN HPP'!$N$5:$N$504,"LENGKAP")=0,"BELUM LENGKAP",INDEX('RESEP DAN HPP'!$J$5:$J$504,MATCH(B208,'RESEP DAN HPP'!$A$5:$A$504,0))))</f>
        <v/>
      </c>
      <c r="P208" s="0" t="str">
        <f aca="false">IF(A208="","",IF(COUNTIFS('TRANSAKSI PENJUALAN'!$A$5:$A$504,A208)=0,"BELUM ADA",INDEX('TRANSAKSI PENJUALAN'!$B$5:$B$504,MATCH(A208,'TRANSAKSI PENJUALAN'!$A$5:$A$504,0))))</f>
        <v/>
      </c>
      <c r="Q208" s="0" t="str">
        <f aca="false">IF(A208="","",IF(COUNTIFS('TRANSAKSI PENJUALAN'!$A$5:$A$504,A208)=0,"BELUM ADA",INDEX('TRANSAKSI PENJUALAN'!$M$5:$M$504,MATCH(A208,'TRANSAKSI PENJUALAN'!$A$5:$A$504,0))))</f>
        <v/>
      </c>
      <c r="R208" s="24" t="str">
        <f aca="false">IF(A208="","",COUNTIF($A$5:A208,A208))</f>
        <v/>
      </c>
      <c r="S208" s="24" t="str">
        <f aca="false">IF(A208="","",A208&amp;"|"&amp;R208)</f>
        <v/>
      </c>
    </row>
    <row r="209" customFormat="false" ht="15" hidden="false" customHeight="false" outlineLevel="0" collapsed="false">
      <c r="C209" s="0" t="str">
        <f aca="false">IF(B209="","",IF(COUNTIFS('MASTER MENU'!$A$5:$A$504,B209)=0,"BELUM ADA",INDEX('MASTER MENU'!$B$5:$B$504,MATCH(B209,'MASTER MENU'!$A$5:$A$504,0))))</f>
        <v/>
      </c>
      <c r="D209" s="0" t="str">
        <f aca="false">IF(B209="","",IF(COUNTIFS('MASTER MENU'!$A$5:$A$504,B209)=0,"BELUM ADA",INDEX('MASTER MENU'!$E$5:$E$504,MATCH(B209,'MASTER MENU'!$A$5:$A$504,0))))</f>
        <v/>
      </c>
      <c r="F209" s="0" t="str">
        <f aca="false">IF(B209="","",IF(COUNTIFS('MASTER MENU'!$A$5:$A$504,B209)=0,"BELUM ADA",INDEX('MASTER MENU'!$F$5:$F$504,MATCH(B209,'MASTER MENU'!$A$5:$A$504,0))))</f>
        <v/>
      </c>
      <c r="G209" s="0" t="str">
        <f aca="false">IF(A209="","",IF(OR(NOT(ISNUMBER(E209)),NOT(ISNUMBER(F209))),"BELUM LENGKAP",ROUND(E209*F209,0)))</f>
        <v/>
      </c>
      <c r="J209" s="0" t="str">
        <f aca="false">IF(A209="","",IF(NOT(ISNUMBER(G209)),"BELUM LENGKAP",G209-H209-I209))</f>
        <v/>
      </c>
      <c r="L209" s="0" t="str">
        <f aca="false">IF(A209="","",IF(NOT(ISNUMBER(K209)),"ISI SNAPSHOT HPP",ROUND(E209*K209,0)))</f>
        <v/>
      </c>
      <c r="M209" s="0" t="str">
        <f aca="false">IF(A209="","",IF(NOT(ISNUMBER(L209)),"BELUM LENGKAP",J209-L209))</f>
        <v/>
      </c>
      <c r="N209" s="0" t="str">
        <f aca="false">IF(B209="","",IF(COUNTIFS('RESEP DAN HPP'!$A$5:$A$504,B209,'RESEP DAN HPP'!$N$5:$N$504,"LENGKAP")=0,"BELUM LENGKAP",INDEX('RESEP DAN HPP'!$J$5:$J$504,MATCH(B209,'RESEP DAN HPP'!$A$5:$A$504,0))))</f>
        <v/>
      </c>
      <c r="P209" s="0" t="str">
        <f aca="false">IF(A209="","",IF(COUNTIFS('TRANSAKSI PENJUALAN'!$A$5:$A$504,A209)=0,"BELUM ADA",INDEX('TRANSAKSI PENJUALAN'!$B$5:$B$504,MATCH(A209,'TRANSAKSI PENJUALAN'!$A$5:$A$504,0))))</f>
        <v/>
      </c>
      <c r="Q209" s="0" t="str">
        <f aca="false">IF(A209="","",IF(COUNTIFS('TRANSAKSI PENJUALAN'!$A$5:$A$504,A209)=0,"BELUM ADA",INDEX('TRANSAKSI PENJUALAN'!$M$5:$M$504,MATCH(A209,'TRANSAKSI PENJUALAN'!$A$5:$A$504,0))))</f>
        <v/>
      </c>
      <c r="R209" s="24" t="str">
        <f aca="false">IF(A209="","",COUNTIF($A$5:A209,A209))</f>
        <v/>
      </c>
      <c r="S209" s="24" t="str">
        <f aca="false">IF(A209="","",A209&amp;"|"&amp;R209)</f>
        <v/>
      </c>
    </row>
    <row r="210" customFormat="false" ht="15" hidden="false" customHeight="false" outlineLevel="0" collapsed="false">
      <c r="C210" s="0" t="str">
        <f aca="false">IF(B210="","",IF(COUNTIFS('MASTER MENU'!$A$5:$A$504,B210)=0,"BELUM ADA",INDEX('MASTER MENU'!$B$5:$B$504,MATCH(B210,'MASTER MENU'!$A$5:$A$504,0))))</f>
        <v/>
      </c>
      <c r="D210" s="0" t="str">
        <f aca="false">IF(B210="","",IF(COUNTIFS('MASTER MENU'!$A$5:$A$504,B210)=0,"BELUM ADA",INDEX('MASTER MENU'!$E$5:$E$504,MATCH(B210,'MASTER MENU'!$A$5:$A$504,0))))</f>
        <v/>
      </c>
      <c r="F210" s="0" t="str">
        <f aca="false">IF(B210="","",IF(COUNTIFS('MASTER MENU'!$A$5:$A$504,B210)=0,"BELUM ADA",INDEX('MASTER MENU'!$F$5:$F$504,MATCH(B210,'MASTER MENU'!$A$5:$A$504,0))))</f>
        <v/>
      </c>
      <c r="G210" s="0" t="str">
        <f aca="false">IF(A210="","",IF(OR(NOT(ISNUMBER(E210)),NOT(ISNUMBER(F210))),"BELUM LENGKAP",ROUND(E210*F210,0)))</f>
        <v/>
      </c>
      <c r="J210" s="0" t="str">
        <f aca="false">IF(A210="","",IF(NOT(ISNUMBER(G210)),"BELUM LENGKAP",G210-H210-I210))</f>
        <v/>
      </c>
      <c r="L210" s="0" t="str">
        <f aca="false">IF(A210="","",IF(NOT(ISNUMBER(K210)),"ISI SNAPSHOT HPP",ROUND(E210*K210,0)))</f>
        <v/>
      </c>
      <c r="M210" s="0" t="str">
        <f aca="false">IF(A210="","",IF(NOT(ISNUMBER(L210)),"BELUM LENGKAP",J210-L210))</f>
        <v/>
      </c>
      <c r="N210" s="0" t="str">
        <f aca="false">IF(B210="","",IF(COUNTIFS('RESEP DAN HPP'!$A$5:$A$504,B210,'RESEP DAN HPP'!$N$5:$N$504,"LENGKAP")=0,"BELUM LENGKAP",INDEX('RESEP DAN HPP'!$J$5:$J$504,MATCH(B210,'RESEP DAN HPP'!$A$5:$A$504,0))))</f>
        <v/>
      </c>
      <c r="P210" s="0" t="str">
        <f aca="false">IF(A210="","",IF(COUNTIFS('TRANSAKSI PENJUALAN'!$A$5:$A$504,A210)=0,"BELUM ADA",INDEX('TRANSAKSI PENJUALAN'!$B$5:$B$504,MATCH(A210,'TRANSAKSI PENJUALAN'!$A$5:$A$504,0))))</f>
        <v/>
      </c>
      <c r="Q210" s="0" t="str">
        <f aca="false">IF(A210="","",IF(COUNTIFS('TRANSAKSI PENJUALAN'!$A$5:$A$504,A210)=0,"BELUM ADA",INDEX('TRANSAKSI PENJUALAN'!$M$5:$M$504,MATCH(A210,'TRANSAKSI PENJUALAN'!$A$5:$A$504,0))))</f>
        <v/>
      </c>
      <c r="R210" s="24" t="str">
        <f aca="false">IF(A210="","",COUNTIF($A$5:A210,A210))</f>
        <v/>
      </c>
      <c r="S210" s="24" t="str">
        <f aca="false">IF(A210="","",A210&amp;"|"&amp;R210)</f>
        <v/>
      </c>
    </row>
    <row r="211" customFormat="false" ht="15" hidden="false" customHeight="false" outlineLevel="0" collapsed="false">
      <c r="C211" s="0" t="str">
        <f aca="false">IF(B211="","",IF(COUNTIFS('MASTER MENU'!$A$5:$A$504,B211)=0,"BELUM ADA",INDEX('MASTER MENU'!$B$5:$B$504,MATCH(B211,'MASTER MENU'!$A$5:$A$504,0))))</f>
        <v/>
      </c>
      <c r="D211" s="0" t="str">
        <f aca="false">IF(B211="","",IF(COUNTIFS('MASTER MENU'!$A$5:$A$504,B211)=0,"BELUM ADA",INDEX('MASTER MENU'!$E$5:$E$504,MATCH(B211,'MASTER MENU'!$A$5:$A$504,0))))</f>
        <v/>
      </c>
      <c r="F211" s="0" t="str">
        <f aca="false">IF(B211="","",IF(COUNTIFS('MASTER MENU'!$A$5:$A$504,B211)=0,"BELUM ADA",INDEX('MASTER MENU'!$F$5:$F$504,MATCH(B211,'MASTER MENU'!$A$5:$A$504,0))))</f>
        <v/>
      </c>
      <c r="G211" s="0" t="str">
        <f aca="false">IF(A211="","",IF(OR(NOT(ISNUMBER(E211)),NOT(ISNUMBER(F211))),"BELUM LENGKAP",ROUND(E211*F211,0)))</f>
        <v/>
      </c>
      <c r="J211" s="0" t="str">
        <f aca="false">IF(A211="","",IF(NOT(ISNUMBER(G211)),"BELUM LENGKAP",G211-H211-I211))</f>
        <v/>
      </c>
      <c r="L211" s="0" t="str">
        <f aca="false">IF(A211="","",IF(NOT(ISNUMBER(K211)),"ISI SNAPSHOT HPP",ROUND(E211*K211,0)))</f>
        <v/>
      </c>
      <c r="M211" s="0" t="str">
        <f aca="false">IF(A211="","",IF(NOT(ISNUMBER(L211)),"BELUM LENGKAP",J211-L211))</f>
        <v/>
      </c>
      <c r="N211" s="0" t="str">
        <f aca="false">IF(B211="","",IF(COUNTIFS('RESEP DAN HPP'!$A$5:$A$504,B211,'RESEP DAN HPP'!$N$5:$N$504,"LENGKAP")=0,"BELUM LENGKAP",INDEX('RESEP DAN HPP'!$J$5:$J$504,MATCH(B211,'RESEP DAN HPP'!$A$5:$A$504,0))))</f>
        <v/>
      </c>
      <c r="P211" s="0" t="str">
        <f aca="false">IF(A211="","",IF(COUNTIFS('TRANSAKSI PENJUALAN'!$A$5:$A$504,A211)=0,"BELUM ADA",INDEX('TRANSAKSI PENJUALAN'!$B$5:$B$504,MATCH(A211,'TRANSAKSI PENJUALAN'!$A$5:$A$504,0))))</f>
        <v/>
      </c>
      <c r="Q211" s="0" t="str">
        <f aca="false">IF(A211="","",IF(COUNTIFS('TRANSAKSI PENJUALAN'!$A$5:$A$504,A211)=0,"BELUM ADA",INDEX('TRANSAKSI PENJUALAN'!$M$5:$M$504,MATCH(A211,'TRANSAKSI PENJUALAN'!$A$5:$A$504,0))))</f>
        <v/>
      </c>
      <c r="R211" s="24" t="str">
        <f aca="false">IF(A211="","",COUNTIF($A$5:A211,A211))</f>
        <v/>
      </c>
      <c r="S211" s="24" t="str">
        <f aca="false">IF(A211="","",A211&amp;"|"&amp;R211)</f>
        <v/>
      </c>
    </row>
    <row r="212" customFormat="false" ht="15" hidden="false" customHeight="false" outlineLevel="0" collapsed="false">
      <c r="C212" s="0" t="str">
        <f aca="false">IF(B212="","",IF(COUNTIFS('MASTER MENU'!$A$5:$A$504,B212)=0,"BELUM ADA",INDEX('MASTER MENU'!$B$5:$B$504,MATCH(B212,'MASTER MENU'!$A$5:$A$504,0))))</f>
        <v/>
      </c>
      <c r="D212" s="0" t="str">
        <f aca="false">IF(B212="","",IF(COUNTIFS('MASTER MENU'!$A$5:$A$504,B212)=0,"BELUM ADA",INDEX('MASTER MENU'!$E$5:$E$504,MATCH(B212,'MASTER MENU'!$A$5:$A$504,0))))</f>
        <v/>
      </c>
      <c r="F212" s="0" t="str">
        <f aca="false">IF(B212="","",IF(COUNTIFS('MASTER MENU'!$A$5:$A$504,B212)=0,"BELUM ADA",INDEX('MASTER MENU'!$F$5:$F$504,MATCH(B212,'MASTER MENU'!$A$5:$A$504,0))))</f>
        <v/>
      </c>
      <c r="G212" s="0" t="str">
        <f aca="false">IF(A212="","",IF(OR(NOT(ISNUMBER(E212)),NOT(ISNUMBER(F212))),"BELUM LENGKAP",ROUND(E212*F212,0)))</f>
        <v/>
      </c>
      <c r="J212" s="0" t="str">
        <f aca="false">IF(A212="","",IF(NOT(ISNUMBER(G212)),"BELUM LENGKAP",G212-H212-I212))</f>
        <v/>
      </c>
      <c r="L212" s="0" t="str">
        <f aca="false">IF(A212="","",IF(NOT(ISNUMBER(K212)),"ISI SNAPSHOT HPP",ROUND(E212*K212,0)))</f>
        <v/>
      </c>
      <c r="M212" s="0" t="str">
        <f aca="false">IF(A212="","",IF(NOT(ISNUMBER(L212)),"BELUM LENGKAP",J212-L212))</f>
        <v/>
      </c>
      <c r="N212" s="0" t="str">
        <f aca="false">IF(B212="","",IF(COUNTIFS('RESEP DAN HPP'!$A$5:$A$504,B212,'RESEP DAN HPP'!$N$5:$N$504,"LENGKAP")=0,"BELUM LENGKAP",INDEX('RESEP DAN HPP'!$J$5:$J$504,MATCH(B212,'RESEP DAN HPP'!$A$5:$A$504,0))))</f>
        <v/>
      </c>
      <c r="P212" s="0" t="str">
        <f aca="false">IF(A212="","",IF(COUNTIFS('TRANSAKSI PENJUALAN'!$A$5:$A$504,A212)=0,"BELUM ADA",INDEX('TRANSAKSI PENJUALAN'!$B$5:$B$504,MATCH(A212,'TRANSAKSI PENJUALAN'!$A$5:$A$504,0))))</f>
        <v/>
      </c>
      <c r="Q212" s="0" t="str">
        <f aca="false">IF(A212="","",IF(COUNTIFS('TRANSAKSI PENJUALAN'!$A$5:$A$504,A212)=0,"BELUM ADA",INDEX('TRANSAKSI PENJUALAN'!$M$5:$M$504,MATCH(A212,'TRANSAKSI PENJUALAN'!$A$5:$A$504,0))))</f>
        <v/>
      </c>
      <c r="R212" s="24" t="str">
        <f aca="false">IF(A212="","",COUNTIF($A$5:A212,A212))</f>
        <v/>
      </c>
      <c r="S212" s="24" t="str">
        <f aca="false">IF(A212="","",A212&amp;"|"&amp;R212)</f>
        <v/>
      </c>
    </row>
    <row r="213" customFormat="false" ht="15" hidden="false" customHeight="false" outlineLevel="0" collapsed="false">
      <c r="C213" s="0" t="str">
        <f aca="false">IF(B213="","",IF(COUNTIFS('MASTER MENU'!$A$5:$A$504,B213)=0,"BELUM ADA",INDEX('MASTER MENU'!$B$5:$B$504,MATCH(B213,'MASTER MENU'!$A$5:$A$504,0))))</f>
        <v/>
      </c>
      <c r="D213" s="0" t="str">
        <f aca="false">IF(B213="","",IF(COUNTIFS('MASTER MENU'!$A$5:$A$504,B213)=0,"BELUM ADA",INDEX('MASTER MENU'!$E$5:$E$504,MATCH(B213,'MASTER MENU'!$A$5:$A$504,0))))</f>
        <v/>
      </c>
      <c r="F213" s="0" t="str">
        <f aca="false">IF(B213="","",IF(COUNTIFS('MASTER MENU'!$A$5:$A$504,B213)=0,"BELUM ADA",INDEX('MASTER MENU'!$F$5:$F$504,MATCH(B213,'MASTER MENU'!$A$5:$A$504,0))))</f>
        <v/>
      </c>
      <c r="G213" s="0" t="str">
        <f aca="false">IF(A213="","",IF(OR(NOT(ISNUMBER(E213)),NOT(ISNUMBER(F213))),"BELUM LENGKAP",ROUND(E213*F213,0)))</f>
        <v/>
      </c>
      <c r="J213" s="0" t="str">
        <f aca="false">IF(A213="","",IF(NOT(ISNUMBER(G213)),"BELUM LENGKAP",G213-H213-I213))</f>
        <v/>
      </c>
      <c r="L213" s="0" t="str">
        <f aca="false">IF(A213="","",IF(NOT(ISNUMBER(K213)),"ISI SNAPSHOT HPP",ROUND(E213*K213,0)))</f>
        <v/>
      </c>
      <c r="M213" s="0" t="str">
        <f aca="false">IF(A213="","",IF(NOT(ISNUMBER(L213)),"BELUM LENGKAP",J213-L213))</f>
        <v/>
      </c>
      <c r="N213" s="0" t="str">
        <f aca="false">IF(B213="","",IF(COUNTIFS('RESEP DAN HPP'!$A$5:$A$504,B213,'RESEP DAN HPP'!$N$5:$N$504,"LENGKAP")=0,"BELUM LENGKAP",INDEX('RESEP DAN HPP'!$J$5:$J$504,MATCH(B213,'RESEP DAN HPP'!$A$5:$A$504,0))))</f>
        <v/>
      </c>
      <c r="P213" s="0" t="str">
        <f aca="false">IF(A213="","",IF(COUNTIFS('TRANSAKSI PENJUALAN'!$A$5:$A$504,A213)=0,"BELUM ADA",INDEX('TRANSAKSI PENJUALAN'!$B$5:$B$504,MATCH(A213,'TRANSAKSI PENJUALAN'!$A$5:$A$504,0))))</f>
        <v/>
      </c>
      <c r="Q213" s="0" t="str">
        <f aca="false">IF(A213="","",IF(COUNTIFS('TRANSAKSI PENJUALAN'!$A$5:$A$504,A213)=0,"BELUM ADA",INDEX('TRANSAKSI PENJUALAN'!$M$5:$M$504,MATCH(A213,'TRANSAKSI PENJUALAN'!$A$5:$A$504,0))))</f>
        <v/>
      </c>
      <c r="R213" s="24" t="str">
        <f aca="false">IF(A213="","",COUNTIF($A$5:A213,A213))</f>
        <v/>
      </c>
      <c r="S213" s="24" t="str">
        <f aca="false">IF(A213="","",A213&amp;"|"&amp;R213)</f>
        <v/>
      </c>
    </row>
    <row r="214" customFormat="false" ht="15" hidden="false" customHeight="false" outlineLevel="0" collapsed="false">
      <c r="C214" s="0" t="str">
        <f aca="false">IF(B214="","",IF(COUNTIFS('MASTER MENU'!$A$5:$A$504,B214)=0,"BELUM ADA",INDEX('MASTER MENU'!$B$5:$B$504,MATCH(B214,'MASTER MENU'!$A$5:$A$504,0))))</f>
        <v/>
      </c>
      <c r="D214" s="0" t="str">
        <f aca="false">IF(B214="","",IF(COUNTIFS('MASTER MENU'!$A$5:$A$504,B214)=0,"BELUM ADA",INDEX('MASTER MENU'!$E$5:$E$504,MATCH(B214,'MASTER MENU'!$A$5:$A$504,0))))</f>
        <v/>
      </c>
      <c r="F214" s="0" t="str">
        <f aca="false">IF(B214="","",IF(COUNTIFS('MASTER MENU'!$A$5:$A$504,B214)=0,"BELUM ADA",INDEX('MASTER MENU'!$F$5:$F$504,MATCH(B214,'MASTER MENU'!$A$5:$A$504,0))))</f>
        <v/>
      </c>
      <c r="G214" s="0" t="str">
        <f aca="false">IF(A214="","",IF(OR(NOT(ISNUMBER(E214)),NOT(ISNUMBER(F214))),"BELUM LENGKAP",ROUND(E214*F214,0)))</f>
        <v/>
      </c>
      <c r="J214" s="0" t="str">
        <f aca="false">IF(A214="","",IF(NOT(ISNUMBER(G214)),"BELUM LENGKAP",G214-H214-I214))</f>
        <v/>
      </c>
      <c r="L214" s="0" t="str">
        <f aca="false">IF(A214="","",IF(NOT(ISNUMBER(K214)),"ISI SNAPSHOT HPP",ROUND(E214*K214,0)))</f>
        <v/>
      </c>
      <c r="M214" s="0" t="str">
        <f aca="false">IF(A214="","",IF(NOT(ISNUMBER(L214)),"BELUM LENGKAP",J214-L214))</f>
        <v/>
      </c>
      <c r="N214" s="0" t="str">
        <f aca="false">IF(B214="","",IF(COUNTIFS('RESEP DAN HPP'!$A$5:$A$504,B214,'RESEP DAN HPP'!$N$5:$N$504,"LENGKAP")=0,"BELUM LENGKAP",INDEX('RESEP DAN HPP'!$J$5:$J$504,MATCH(B214,'RESEP DAN HPP'!$A$5:$A$504,0))))</f>
        <v/>
      </c>
      <c r="P214" s="0" t="str">
        <f aca="false">IF(A214="","",IF(COUNTIFS('TRANSAKSI PENJUALAN'!$A$5:$A$504,A214)=0,"BELUM ADA",INDEX('TRANSAKSI PENJUALAN'!$B$5:$B$504,MATCH(A214,'TRANSAKSI PENJUALAN'!$A$5:$A$504,0))))</f>
        <v/>
      </c>
      <c r="Q214" s="0" t="str">
        <f aca="false">IF(A214="","",IF(COUNTIFS('TRANSAKSI PENJUALAN'!$A$5:$A$504,A214)=0,"BELUM ADA",INDEX('TRANSAKSI PENJUALAN'!$M$5:$M$504,MATCH(A214,'TRANSAKSI PENJUALAN'!$A$5:$A$504,0))))</f>
        <v/>
      </c>
      <c r="R214" s="24" t="str">
        <f aca="false">IF(A214="","",COUNTIF($A$5:A214,A214))</f>
        <v/>
      </c>
      <c r="S214" s="24" t="str">
        <f aca="false">IF(A214="","",A214&amp;"|"&amp;R214)</f>
        <v/>
      </c>
    </row>
    <row r="215" customFormat="false" ht="15" hidden="false" customHeight="false" outlineLevel="0" collapsed="false">
      <c r="C215" s="0" t="str">
        <f aca="false">IF(B215="","",IF(COUNTIFS('MASTER MENU'!$A$5:$A$504,B215)=0,"BELUM ADA",INDEX('MASTER MENU'!$B$5:$B$504,MATCH(B215,'MASTER MENU'!$A$5:$A$504,0))))</f>
        <v/>
      </c>
      <c r="D215" s="0" t="str">
        <f aca="false">IF(B215="","",IF(COUNTIFS('MASTER MENU'!$A$5:$A$504,B215)=0,"BELUM ADA",INDEX('MASTER MENU'!$E$5:$E$504,MATCH(B215,'MASTER MENU'!$A$5:$A$504,0))))</f>
        <v/>
      </c>
      <c r="F215" s="0" t="str">
        <f aca="false">IF(B215="","",IF(COUNTIFS('MASTER MENU'!$A$5:$A$504,B215)=0,"BELUM ADA",INDEX('MASTER MENU'!$F$5:$F$504,MATCH(B215,'MASTER MENU'!$A$5:$A$504,0))))</f>
        <v/>
      </c>
      <c r="G215" s="0" t="str">
        <f aca="false">IF(A215="","",IF(OR(NOT(ISNUMBER(E215)),NOT(ISNUMBER(F215))),"BELUM LENGKAP",ROUND(E215*F215,0)))</f>
        <v/>
      </c>
      <c r="J215" s="0" t="str">
        <f aca="false">IF(A215="","",IF(NOT(ISNUMBER(G215)),"BELUM LENGKAP",G215-H215-I215))</f>
        <v/>
      </c>
      <c r="L215" s="0" t="str">
        <f aca="false">IF(A215="","",IF(NOT(ISNUMBER(K215)),"ISI SNAPSHOT HPP",ROUND(E215*K215,0)))</f>
        <v/>
      </c>
      <c r="M215" s="0" t="str">
        <f aca="false">IF(A215="","",IF(NOT(ISNUMBER(L215)),"BELUM LENGKAP",J215-L215))</f>
        <v/>
      </c>
      <c r="N215" s="0" t="str">
        <f aca="false">IF(B215="","",IF(COUNTIFS('RESEP DAN HPP'!$A$5:$A$504,B215,'RESEP DAN HPP'!$N$5:$N$504,"LENGKAP")=0,"BELUM LENGKAP",INDEX('RESEP DAN HPP'!$J$5:$J$504,MATCH(B215,'RESEP DAN HPP'!$A$5:$A$504,0))))</f>
        <v/>
      </c>
      <c r="P215" s="0" t="str">
        <f aca="false">IF(A215="","",IF(COUNTIFS('TRANSAKSI PENJUALAN'!$A$5:$A$504,A215)=0,"BELUM ADA",INDEX('TRANSAKSI PENJUALAN'!$B$5:$B$504,MATCH(A215,'TRANSAKSI PENJUALAN'!$A$5:$A$504,0))))</f>
        <v/>
      </c>
      <c r="Q215" s="0" t="str">
        <f aca="false">IF(A215="","",IF(COUNTIFS('TRANSAKSI PENJUALAN'!$A$5:$A$504,A215)=0,"BELUM ADA",INDEX('TRANSAKSI PENJUALAN'!$M$5:$M$504,MATCH(A215,'TRANSAKSI PENJUALAN'!$A$5:$A$504,0))))</f>
        <v/>
      </c>
      <c r="R215" s="24" t="str">
        <f aca="false">IF(A215="","",COUNTIF($A$5:A215,A215))</f>
        <v/>
      </c>
      <c r="S215" s="24" t="str">
        <f aca="false">IF(A215="","",A215&amp;"|"&amp;R215)</f>
        <v/>
      </c>
    </row>
    <row r="216" customFormat="false" ht="15" hidden="false" customHeight="false" outlineLevel="0" collapsed="false">
      <c r="C216" s="0" t="str">
        <f aca="false">IF(B216="","",IF(COUNTIFS('MASTER MENU'!$A$5:$A$504,B216)=0,"BELUM ADA",INDEX('MASTER MENU'!$B$5:$B$504,MATCH(B216,'MASTER MENU'!$A$5:$A$504,0))))</f>
        <v/>
      </c>
      <c r="D216" s="0" t="str">
        <f aca="false">IF(B216="","",IF(COUNTIFS('MASTER MENU'!$A$5:$A$504,B216)=0,"BELUM ADA",INDEX('MASTER MENU'!$E$5:$E$504,MATCH(B216,'MASTER MENU'!$A$5:$A$504,0))))</f>
        <v/>
      </c>
      <c r="F216" s="0" t="str">
        <f aca="false">IF(B216="","",IF(COUNTIFS('MASTER MENU'!$A$5:$A$504,B216)=0,"BELUM ADA",INDEX('MASTER MENU'!$F$5:$F$504,MATCH(B216,'MASTER MENU'!$A$5:$A$504,0))))</f>
        <v/>
      </c>
      <c r="G216" s="0" t="str">
        <f aca="false">IF(A216="","",IF(OR(NOT(ISNUMBER(E216)),NOT(ISNUMBER(F216))),"BELUM LENGKAP",ROUND(E216*F216,0)))</f>
        <v/>
      </c>
      <c r="J216" s="0" t="str">
        <f aca="false">IF(A216="","",IF(NOT(ISNUMBER(G216)),"BELUM LENGKAP",G216-H216-I216))</f>
        <v/>
      </c>
      <c r="L216" s="0" t="str">
        <f aca="false">IF(A216="","",IF(NOT(ISNUMBER(K216)),"ISI SNAPSHOT HPP",ROUND(E216*K216,0)))</f>
        <v/>
      </c>
      <c r="M216" s="0" t="str">
        <f aca="false">IF(A216="","",IF(NOT(ISNUMBER(L216)),"BELUM LENGKAP",J216-L216))</f>
        <v/>
      </c>
      <c r="N216" s="0" t="str">
        <f aca="false">IF(B216="","",IF(COUNTIFS('RESEP DAN HPP'!$A$5:$A$504,B216,'RESEP DAN HPP'!$N$5:$N$504,"LENGKAP")=0,"BELUM LENGKAP",INDEX('RESEP DAN HPP'!$J$5:$J$504,MATCH(B216,'RESEP DAN HPP'!$A$5:$A$504,0))))</f>
        <v/>
      </c>
      <c r="P216" s="0" t="str">
        <f aca="false">IF(A216="","",IF(COUNTIFS('TRANSAKSI PENJUALAN'!$A$5:$A$504,A216)=0,"BELUM ADA",INDEX('TRANSAKSI PENJUALAN'!$B$5:$B$504,MATCH(A216,'TRANSAKSI PENJUALAN'!$A$5:$A$504,0))))</f>
        <v/>
      </c>
      <c r="Q216" s="0" t="str">
        <f aca="false">IF(A216="","",IF(COUNTIFS('TRANSAKSI PENJUALAN'!$A$5:$A$504,A216)=0,"BELUM ADA",INDEX('TRANSAKSI PENJUALAN'!$M$5:$M$504,MATCH(A216,'TRANSAKSI PENJUALAN'!$A$5:$A$504,0))))</f>
        <v/>
      </c>
      <c r="R216" s="24" t="str">
        <f aca="false">IF(A216="","",COUNTIF($A$5:A216,A216))</f>
        <v/>
      </c>
      <c r="S216" s="24" t="str">
        <f aca="false">IF(A216="","",A216&amp;"|"&amp;R216)</f>
        <v/>
      </c>
    </row>
    <row r="217" customFormat="false" ht="15" hidden="false" customHeight="false" outlineLevel="0" collapsed="false">
      <c r="C217" s="0" t="str">
        <f aca="false">IF(B217="","",IF(COUNTIFS('MASTER MENU'!$A$5:$A$504,B217)=0,"BELUM ADA",INDEX('MASTER MENU'!$B$5:$B$504,MATCH(B217,'MASTER MENU'!$A$5:$A$504,0))))</f>
        <v/>
      </c>
      <c r="D217" s="0" t="str">
        <f aca="false">IF(B217="","",IF(COUNTIFS('MASTER MENU'!$A$5:$A$504,B217)=0,"BELUM ADA",INDEX('MASTER MENU'!$E$5:$E$504,MATCH(B217,'MASTER MENU'!$A$5:$A$504,0))))</f>
        <v/>
      </c>
      <c r="F217" s="0" t="str">
        <f aca="false">IF(B217="","",IF(COUNTIFS('MASTER MENU'!$A$5:$A$504,B217)=0,"BELUM ADA",INDEX('MASTER MENU'!$F$5:$F$504,MATCH(B217,'MASTER MENU'!$A$5:$A$504,0))))</f>
        <v/>
      </c>
      <c r="G217" s="0" t="str">
        <f aca="false">IF(A217="","",IF(OR(NOT(ISNUMBER(E217)),NOT(ISNUMBER(F217))),"BELUM LENGKAP",ROUND(E217*F217,0)))</f>
        <v/>
      </c>
      <c r="J217" s="0" t="str">
        <f aca="false">IF(A217="","",IF(NOT(ISNUMBER(G217)),"BELUM LENGKAP",G217-H217-I217))</f>
        <v/>
      </c>
      <c r="L217" s="0" t="str">
        <f aca="false">IF(A217="","",IF(NOT(ISNUMBER(K217)),"ISI SNAPSHOT HPP",ROUND(E217*K217,0)))</f>
        <v/>
      </c>
      <c r="M217" s="0" t="str">
        <f aca="false">IF(A217="","",IF(NOT(ISNUMBER(L217)),"BELUM LENGKAP",J217-L217))</f>
        <v/>
      </c>
      <c r="N217" s="0" t="str">
        <f aca="false">IF(B217="","",IF(COUNTIFS('RESEP DAN HPP'!$A$5:$A$504,B217,'RESEP DAN HPP'!$N$5:$N$504,"LENGKAP")=0,"BELUM LENGKAP",INDEX('RESEP DAN HPP'!$J$5:$J$504,MATCH(B217,'RESEP DAN HPP'!$A$5:$A$504,0))))</f>
        <v/>
      </c>
      <c r="P217" s="0" t="str">
        <f aca="false">IF(A217="","",IF(COUNTIFS('TRANSAKSI PENJUALAN'!$A$5:$A$504,A217)=0,"BELUM ADA",INDEX('TRANSAKSI PENJUALAN'!$B$5:$B$504,MATCH(A217,'TRANSAKSI PENJUALAN'!$A$5:$A$504,0))))</f>
        <v/>
      </c>
      <c r="Q217" s="0" t="str">
        <f aca="false">IF(A217="","",IF(COUNTIFS('TRANSAKSI PENJUALAN'!$A$5:$A$504,A217)=0,"BELUM ADA",INDEX('TRANSAKSI PENJUALAN'!$M$5:$M$504,MATCH(A217,'TRANSAKSI PENJUALAN'!$A$5:$A$504,0))))</f>
        <v/>
      </c>
      <c r="R217" s="24" t="str">
        <f aca="false">IF(A217="","",COUNTIF($A$5:A217,A217))</f>
        <v/>
      </c>
      <c r="S217" s="24" t="str">
        <f aca="false">IF(A217="","",A217&amp;"|"&amp;R217)</f>
        <v/>
      </c>
    </row>
    <row r="218" customFormat="false" ht="15" hidden="false" customHeight="false" outlineLevel="0" collapsed="false">
      <c r="C218" s="0" t="str">
        <f aca="false">IF(B218="","",IF(COUNTIFS('MASTER MENU'!$A$5:$A$504,B218)=0,"BELUM ADA",INDEX('MASTER MENU'!$B$5:$B$504,MATCH(B218,'MASTER MENU'!$A$5:$A$504,0))))</f>
        <v/>
      </c>
      <c r="D218" s="0" t="str">
        <f aca="false">IF(B218="","",IF(COUNTIFS('MASTER MENU'!$A$5:$A$504,B218)=0,"BELUM ADA",INDEX('MASTER MENU'!$E$5:$E$504,MATCH(B218,'MASTER MENU'!$A$5:$A$504,0))))</f>
        <v/>
      </c>
      <c r="F218" s="0" t="str">
        <f aca="false">IF(B218="","",IF(COUNTIFS('MASTER MENU'!$A$5:$A$504,B218)=0,"BELUM ADA",INDEX('MASTER MENU'!$F$5:$F$504,MATCH(B218,'MASTER MENU'!$A$5:$A$504,0))))</f>
        <v/>
      </c>
      <c r="G218" s="0" t="str">
        <f aca="false">IF(A218="","",IF(OR(NOT(ISNUMBER(E218)),NOT(ISNUMBER(F218))),"BELUM LENGKAP",ROUND(E218*F218,0)))</f>
        <v/>
      </c>
      <c r="J218" s="0" t="str">
        <f aca="false">IF(A218="","",IF(NOT(ISNUMBER(G218)),"BELUM LENGKAP",G218-H218-I218))</f>
        <v/>
      </c>
      <c r="L218" s="0" t="str">
        <f aca="false">IF(A218="","",IF(NOT(ISNUMBER(K218)),"ISI SNAPSHOT HPP",ROUND(E218*K218,0)))</f>
        <v/>
      </c>
      <c r="M218" s="0" t="str">
        <f aca="false">IF(A218="","",IF(NOT(ISNUMBER(L218)),"BELUM LENGKAP",J218-L218))</f>
        <v/>
      </c>
      <c r="N218" s="0" t="str">
        <f aca="false">IF(B218="","",IF(COUNTIFS('RESEP DAN HPP'!$A$5:$A$504,B218,'RESEP DAN HPP'!$N$5:$N$504,"LENGKAP")=0,"BELUM LENGKAP",INDEX('RESEP DAN HPP'!$J$5:$J$504,MATCH(B218,'RESEP DAN HPP'!$A$5:$A$504,0))))</f>
        <v/>
      </c>
      <c r="P218" s="0" t="str">
        <f aca="false">IF(A218="","",IF(COUNTIFS('TRANSAKSI PENJUALAN'!$A$5:$A$504,A218)=0,"BELUM ADA",INDEX('TRANSAKSI PENJUALAN'!$B$5:$B$504,MATCH(A218,'TRANSAKSI PENJUALAN'!$A$5:$A$504,0))))</f>
        <v/>
      </c>
      <c r="Q218" s="0" t="str">
        <f aca="false">IF(A218="","",IF(COUNTIFS('TRANSAKSI PENJUALAN'!$A$5:$A$504,A218)=0,"BELUM ADA",INDEX('TRANSAKSI PENJUALAN'!$M$5:$M$504,MATCH(A218,'TRANSAKSI PENJUALAN'!$A$5:$A$504,0))))</f>
        <v/>
      </c>
      <c r="R218" s="24" t="str">
        <f aca="false">IF(A218="","",COUNTIF($A$5:A218,A218))</f>
        <v/>
      </c>
      <c r="S218" s="24" t="str">
        <f aca="false">IF(A218="","",A218&amp;"|"&amp;R218)</f>
        <v/>
      </c>
    </row>
    <row r="219" customFormat="false" ht="15" hidden="false" customHeight="false" outlineLevel="0" collapsed="false">
      <c r="C219" s="0" t="str">
        <f aca="false">IF(B219="","",IF(COUNTIFS('MASTER MENU'!$A$5:$A$504,B219)=0,"BELUM ADA",INDEX('MASTER MENU'!$B$5:$B$504,MATCH(B219,'MASTER MENU'!$A$5:$A$504,0))))</f>
        <v/>
      </c>
      <c r="D219" s="0" t="str">
        <f aca="false">IF(B219="","",IF(COUNTIFS('MASTER MENU'!$A$5:$A$504,B219)=0,"BELUM ADA",INDEX('MASTER MENU'!$E$5:$E$504,MATCH(B219,'MASTER MENU'!$A$5:$A$504,0))))</f>
        <v/>
      </c>
      <c r="F219" s="0" t="str">
        <f aca="false">IF(B219="","",IF(COUNTIFS('MASTER MENU'!$A$5:$A$504,B219)=0,"BELUM ADA",INDEX('MASTER MENU'!$F$5:$F$504,MATCH(B219,'MASTER MENU'!$A$5:$A$504,0))))</f>
        <v/>
      </c>
      <c r="G219" s="0" t="str">
        <f aca="false">IF(A219="","",IF(OR(NOT(ISNUMBER(E219)),NOT(ISNUMBER(F219))),"BELUM LENGKAP",ROUND(E219*F219,0)))</f>
        <v/>
      </c>
      <c r="J219" s="0" t="str">
        <f aca="false">IF(A219="","",IF(NOT(ISNUMBER(G219)),"BELUM LENGKAP",G219-H219-I219))</f>
        <v/>
      </c>
      <c r="L219" s="0" t="str">
        <f aca="false">IF(A219="","",IF(NOT(ISNUMBER(K219)),"ISI SNAPSHOT HPP",ROUND(E219*K219,0)))</f>
        <v/>
      </c>
      <c r="M219" s="0" t="str">
        <f aca="false">IF(A219="","",IF(NOT(ISNUMBER(L219)),"BELUM LENGKAP",J219-L219))</f>
        <v/>
      </c>
      <c r="N219" s="0" t="str">
        <f aca="false">IF(B219="","",IF(COUNTIFS('RESEP DAN HPP'!$A$5:$A$504,B219,'RESEP DAN HPP'!$N$5:$N$504,"LENGKAP")=0,"BELUM LENGKAP",INDEX('RESEP DAN HPP'!$J$5:$J$504,MATCH(B219,'RESEP DAN HPP'!$A$5:$A$504,0))))</f>
        <v/>
      </c>
      <c r="P219" s="0" t="str">
        <f aca="false">IF(A219="","",IF(COUNTIFS('TRANSAKSI PENJUALAN'!$A$5:$A$504,A219)=0,"BELUM ADA",INDEX('TRANSAKSI PENJUALAN'!$B$5:$B$504,MATCH(A219,'TRANSAKSI PENJUALAN'!$A$5:$A$504,0))))</f>
        <v/>
      </c>
      <c r="Q219" s="0" t="str">
        <f aca="false">IF(A219="","",IF(COUNTIFS('TRANSAKSI PENJUALAN'!$A$5:$A$504,A219)=0,"BELUM ADA",INDEX('TRANSAKSI PENJUALAN'!$M$5:$M$504,MATCH(A219,'TRANSAKSI PENJUALAN'!$A$5:$A$504,0))))</f>
        <v/>
      </c>
      <c r="R219" s="24" t="str">
        <f aca="false">IF(A219="","",COUNTIF($A$5:A219,A219))</f>
        <v/>
      </c>
      <c r="S219" s="24" t="str">
        <f aca="false">IF(A219="","",A219&amp;"|"&amp;R219)</f>
        <v/>
      </c>
    </row>
    <row r="220" customFormat="false" ht="15" hidden="false" customHeight="false" outlineLevel="0" collapsed="false">
      <c r="C220" s="0" t="str">
        <f aca="false">IF(B220="","",IF(COUNTIFS('MASTER MENU'!$A$5:$A$504,B220)=0,"BELUM ADA",INDEX('MASTER MENU'!$B$5:$B$504,MATCH(B220,'MASTER MENU'!$A$5:$A$504,0))))</f>
        <v/>
      </c>
      <c r="D220" s="0" t="str">
        <f aca="false">IF(B220="","",IF(COUNTIFS('MASTER MENU'!$A$5:$A$504,B220)=0,"BELUM ADA",INDEX('MASTER MENU'!$E$5:$E$504,MATCH(B220,'MASTER MENU'!$A$5:$A$504,0))))</f>
        <v/>
      </c>
      <c r="F220" s="0" t="str">
        <f aca="false">IF(B220="","",IF(COUNTIFS('MASTER MENU'!$A$5:$A$504,B220)=0,"BELUM ADA",INDEX('MASTER MENU'!$F$5:$F$504,MATCH(B220,'MASTER MENU'!$A$5:$A$504,0))))</f>
        <v/>
      </c>
      <c r="G220" s="0" t="str">
        <f aca="false">IF(A220="","",IF(OR(NOT(ISNUMBER(E220)),NOT(ISNUMBER(F220))),"BELUM LENGKAP",ROUND(E220*F220,0)))</f>
        <v/>
      </c>
      <c r="J220" s="0" t="str">
        <f aca="false">IF(A220="","",IF(NOT(ISNUMBER(G220)),"BELUM LENGKAP",G220-H220-I220))</f>
        <v/>
      </c>
      <c r="L220" s="0" t="str">
        <f aca="false">IF(A220="","",IF(NOT(ISNUMBER(K220)),"ISI SNAPSHOT HPP",ROUND(E220*K220,0)))</f>
        <v/>
      </c>
      <c r="M220" s="0" t="str">
        <f aca="false">IF(A220="","",IF(NOT(ISNUMBER(L220)),"BELUM LENGKAP",J220-L220))</f>
        <v/>
      </c>
      <c r="N220" s="0" t="str">
        <f aca="false">IF(B220="","",IF(COUNTIFS('RESEP DAN HPP'!$A$5:$A$504,B220,'RESEP DAN HPP'!$N$5:$N$504,"LENGKAP")=0,"BELUM LENGKAP",INDEX('RESEP DAN HPP'!$J$5:$J$504,MATCH(B220,'RESEP DAN HPP'!$A$5:$A$504,0))))</f>
        <v/>
      </c>
      <c r="P220" s="0" t="str">
        <f aca="false">IF(A220="","",IF(COUNTIFS('TRANSAKSI PENJUALAN'!$A$5:$A$504,A220)=0,"BELUM ADA",INDEX('TRANSAKSI PENJUALAN'!$B$5:$B$504,MATCH(A220,'TRANSAKSI PENJUALAN'!$A$5:$A$504,0))))</f>
        <v/>
      </c>
      <c r="Q220" s="0" t="str">
        <f aca="false">IF(A220="","",IF(COUNTIFS('TRANSAKSI PENJUALAN'!$A$5:$A$504,A220)=0,"BELUM ADA",INDEX('TRANSAKSI PENJUALAN'!$M$5:$M$504,MATCH(A220,'TRANSAKSI PENJUALAN'!$A$5:$A$504,0))))</f>
        <v/>
      </c>
      <c r="R220" s="24" t="str">
        <f aca="false">IF(A220="","",COUNTIF($A$5:A220,A220))</f>
        <v/>
      </c>
      <c r="S220" s="24" t="str">
        <f aca="false">IF(A220="","",A220&amp;"|"&amp;R220)</f>
        <v/>
      </c>
    </row>
    <row r="221" customFormat="false" ht="15" hidden="false" customHeight="false" outlineLevel="0" collapsed="false">
      <c r="C221" s="0" t="str">
        <f aca="false">IF(B221="","",IF(COUNTIFS('MASTER MENU'!$A$5:$A$504,B221)=0,"BELUM ADA",INDEX('MASTER MENU'!$B$5:$B$504,MATCH(B221,'MASTER MENU'!$A$5:$A$504,0))))</f>
        <v/>
      </c>
      <c r="D221" s="0" t="str">
        <f aca="false">IF(B221="","",IF(COUNTIFS('MASTER MENU'!$A$5:$A$504,B221)=0,"BELUM ADA",INDEX('MASTER MENU'!$E$5:$E$504,MATCH(B221,'MASTER MENU'!$A$5:$A$504,0))))</f>
        <v/>
      </c>
      <c r="F221" s="0" t="str">
        <f aca="false">IF(B221="","",IF(COUNTIFS('MASTER MENU'!$A$5:$A$504,B221)=0,"BELUM ADA",INDEX('MASTER MENU'!$F$5:$F$504,MATCH(B221,'MASTER MENU'!$A$5:$A$504,0))))</f>
        <v/>
      </c>
      <c r="G221" s="0" t="str">
        <f aca="false">IF(A221="","",IF(OR(NOT(ISNUMBER(E221)),NOT(ISNUMBER(F221))),"BELUM LENGKAP",ROUND(E221*F221,0)))</f>
        <v/>
      </c>
      <c r="J221" s="0" t="str">
        <f aca="false">IF(A221="","",IF(NOT(ISNUMBER(G221)),"BELUM LENGKAP",G221-H221-I221))</f>
        <v/>
      </c>
      <c r="L221" s="0" t="str">
        <f aca="false">IF(A221="","",IF(NOT(ISNUMBER(K221)),"ISI SNAPSHOT HPP",ROUND(E221*K221,0)))</f>
        <v/>
      </c>
      <c r="M221" s="0" t="str">
        <f aca="false">IF(A221="","",IF(NOT(ISNUMBER(L221)),"BELUM LENGKAP",J221-L221))</f>
        <v/>
      </c>
      <c r="N221" s="0" t="str">
        <f aca="false">IF(B221="","",IF(COUNTIFS('RESEP DAN HPP'!$A$5:$A$504,B221,'RESEP DAN HPP'!$N$5:$N$504,"LENGKAP")=0,"BELUM LENGKAP",INDEX('RESEP DAN HPP'!$J$5:$J$504,MATCH(B221,'RESEP DAN HPP'!$A$5:$A$504,0))))</f>
        <v/>
      </c>
      <c r="P221" s="0" t="str">
        <f aca="false">IF(A221="","",IF(COUNTIFS('TRANSAKSI PENJUALAN'!$A$5:$A$504,A221)=0,"BELUM ADA",INDEX('TRANSAKSI PENJUALAN'!$B$5:$B$504,MATCH(A221,'TRANSAKSI PENJUALAN'!$A$5:$A$504,0))))</f>
        <v/>
      </c>
      <c r="Q221" s="0" t="str">
        <f aca="false">IF(A221="","",IF(COUNTIFS('TRANSAKSI PENJUALAN'!$A$5:$A$504,A221)=0,"BELUM ADA",INDEX('TRANSAKSI PENJUALAN'!$M$5:$M$504,MATCH(A221,'TRANSAKSI PENJUALAN'!$A$5:$A$504,0))))</f>
        <v/>
      </c>
      <c r="R221" s="24" t="str">
        <f aca="false">IF(A221="","",COUNTIF($A$5:A221,A221))</f>
        <v/>
      </c>
      <c r="S221" s="24" t="str">
        <f aca="false">IF(A221="","",A221&amp;"|"&amp;R221)</f>
        <v/>
      </c>
    </row>
    <row r="222" customFormat="false" ht="15" hidden="false" customHeight="false" outlineLevel="0" collapsed="false">
      <c r="C222" s="0" t="str">
        <f aca="false">IF(B222="","",IF(COUNTIFS('MASTER MENU'!$A$5:$A$504,B222)=0,"BELUM ADA",INDEX('MASTER MENU'!$B$5:$B$504,MATCH(B222,'MASTER MENU'!$A$5:$A$504,0))))</f>
        <v/>
      </c>
      <c r="D222" s="0" t="str">
        <f aca="false">IF(B222="","",IF(COUNTIFS('MASTER MENU'!$A$5:$A$504,B222)=0,"BELUM ADA",INDEX('MASTER MENU'!$E$5:$E$504,MATCH(B222,'MASTER MENU'!$A$5:$A$504,0))))</f>
        <v/>
      </c>
      <c r="F222" s="0" t="str">
        <f aca="false">IF(B222="","",IF(COUNTIFS('MASTER MENU'!$A$5:$A$504,B222)=0,"BELUM ADA",INDEX('MASTER MENU'!$F$5:$F$504,MATCH(B222,'MASTER MENU'!$A$5:$A$504,0))))</f>
        <v/>
      </c>
      <c r="G222" s="0" t="str">
        <f aca="false">IF(A222="","",IF(OR(NOT(ISNUMBER(E222)),NOT(ISNUMBER(F222))),"BELUM LENGKAP",ROUND(E222*F222,0)))</f>
        <v/>
      </c>
      <c r="J222" s="0" t="str">
        <f aca="false">IF(A222="","",IF(NOT(ISNUMBER(G222)),"BELUM LENGKAP",G222-H222-I222))</f>
        <v/>
      </c>
      <c r="L222" s="0" t="str">
        <f aca="false">IF(A222="","",IF(NOT(ISNUMBER(K222)),"ISI SNAPSHOT HPP",ROUND(E222*K222,0)))</f>
        <v/>
      </c>
      <c r="M222" s="0" t="str">
        <f aca="false">IF(A222="","",IF(NOT(ISNUMBER(L222)),"BELUM LENGKAP",J222-L222))</f>
        <v/>
      </c>
      <c r="N222" s="0" t="str">
        <f aca="false">IF(B222="","",IF(COUNTIFS('RESEP DAN HPP'!$A$5:$A$504,B222,'RESEP DAN HPP'!$N$5:$N$504,"LENGKAP")=0,"BELUM LENGKAP",INDEX('RESEP DAN HPP'!$J$5:$J$504,MATCH(B222,'RESEP DAN HPP'!$A$5:$A$504,0))))</f>
        <v/>
      </c>
      <c r="P222" s="0" t="str">
        <f aca="false">IF(A222="","",IF(COUNTIFS('TRANSAKSI PENJUALAN'!$A$5:$A$504,A222)=0,"BELUM ADA",INDEX('TRANSAKSI PENJUALAN'!$B$5:$B$504,MATCH(A222,'TRANSAKSI PENJUALAN'!$A$5:$A$504,0))))</f>
        <v/>
      </c>
      <c r="Q222" s="0" t="str">
        <f aca="false">IF(A222="","",IF(COUNTIFS('TRANSAKSI PENJUALAN'!$A$5:$A$504,A222)=0,"BELUM ADA",INDEX('TRANSAKSI PENJUALAN'!$M$5:$M$504,MATCH(A222,'TRANSAKSI PENJUALAN'!$A$5:$A$504,0))))</f>
        <v/>
      </c>
      <c r="R222" s="24" t="str">
        <f aca="false">IF(A222="","",COUNTIF($A$5:A222,A222))</f>
        <v/>
      </c>
      <c r="S222" s="24" t="str">
        <f aca="false">IF(A222="","",A222&amp;"|"&amp;R222)</f>
        <v/>
      </c>
    </row>
    <row r="223" customFormat="false" ht="15" hidden="false" customHeight="false" outlineLevel="0" collapsed="false">
      <c r="C223" s="0" t="str">
        <f aca="false">IF(B223="","",IF(COUNTIFS('MASTER MENU'!$A$5:$A$504,B223)=0,"BELUM ADA",INDEX('MASTER MENU'!$B$5:$B$504,MATCH(B223,'MASTER MENU'!$A$5:$A$504,0))))</f>
        <v/>
      </c>
      <c r="D223" s="0" t="str">
        <f aca="false">IF(B223="","",IF(COUNTIFS('MASTER MENU'!$A$5:$A$504,B223)=0,"BELUM ADA",INDEX('MASTER MENU'!$E$5:$E$504,MATCH(B223,'MASTER MENU'!$A$5:$A$504,0))))</f>
        <v/>
      </c>
      <c r="F223" s="0" t="str">
        <f aca="false">IF(B223="","",IF(COUNTIFS('MASTER MENU'!$A$5:$A$504,B223)=0,"BELUM ADA",INDEX('MASTER MENU'!$F$5:$F$504,MATCH(B223,'MASTER MENU'!$A$5:$A$504,0))))</f>
        <v/>
      </c>
      <c r="G223" s="0" t="str">
        <f aca="false">IF(A223="","",IF(OR(NOT(ISNUMBER(E223)),NOT(ISNUMBER(F223))),"BELUM LENGKAP",ROUND(E223*F223,0)))</f>
        <v/>
      </c>
      <c r="J223" s="0" t="str">
        <f aca="false">IF(A223="","",IF(NOT(ISNUMBER(G223)),"BELUM LENGKAP",G223-H223-I223))</f>
        <v/>
      </c>
      <c r="L223" s="0" t="str">
        <f aca="false">IF(A223="","",IF(NOT(ISNUMBER(K223)),"ISI SNAPSHOT HPP",ROUND(E223*K223,0)))</f>
        <v/>
      </c>
      <c r="M223" s="0" t="str">
        <f aca="false">IF(A223="","",IF(NOT(ISNUMBER(L223)),"BELUM LENGKAP",J223-L223))</f>
        <v/>
      </c>
      <c r="N223" s="0" t="str">
        <f aca="false">IF(B223="","",IF(COUNTIFS('RESEP DAN HPP'!$A$5:$A$504,B223,'RESEP DAN HPP'!$N$5:$N$504,"LENGKAP")=0,"BELUM LENGKAP",INDEX('RESEP DAN HPP'!$J$5:$J$504,MATCH(B223,'RESEP DAN HPP'!$A$5:$A$504,0))))</f>
        <v/>
      </c>
      <c r="P223" s="0" t="str">
        <f aca="false">IF(A223="","",IF(COUNTIFS('TRANSAKSI PENJUALAN'!$A$5:$A$504,A223)=0,"BELUM ADA",INDEX('TRANSAKSI PENJUALAN'!$B$5:$B$504,MATCH(A223,'TRANSAKSI PENJUALAN'!$A$5:$A$504,0))))</f>
        <v/>
      </c>
      <c r="Q223" s="0" t="str">
        <f aca="false">IF(A223="","",IF(COUNTIFS('TRANSAKSI PENJUALAN'!$A$5:$A$504,A223)=0,"BELUM ADA",INDEX('TRANSAKSI PENJUALAN'!$M$5:$M$504,MATCH(A223,'TRANSAKSI PENJUALAN'!$A$5:$A$504,0))))</f>
        <v/>
      </c>
      <c r="R223" s="24" t="str">
        <f aca="false">IF(A223="","",COUNTIF($A$5:A223,A223))</f>
        <v/>
      </c>
      <c r="S223" s="24" t="str">
        <f aca="false">IF(A223="","",A223&amp;"|"&amp;R223)</f>
        <v/>
      </c>
    </row>
    <row r="224" customFormat="false" ht="15" hidden="false" customHeight="false" outlineLevel="0" collapsed="false">
      <c r="C224" s="0" t="str">
        <f aca="false">IF(B224="","",IF(COUNTIFS('MASTER MENU'!$A$5:$A$504,B224)=0,"BELUM ADA",INDEX('MASTER MENU'!$B$5:$B$504,MATCH(B224,'MASTER MENU'!$A$5:$A$504,0))))</f>
        <v/>
      </c>
      <c r="D224" s="0" t="str">
        <f aca="false">IF(B224="","",IF(COUNTIFS('MASTER MENU'!$A$5:$A$504,B224)=0,"BELUM ADA",INDEX('MASTER MENU'!$E$5:$E$504,MATCH(B224,'MASTER MENU'!$A$5:$A$504,0))))</f>
        <v/>
      </c>
      <c r="F224" s="0" t="str">
        <f aca="false">IF(B224="","",IF(COUNTIFS('MASTER MENU'!$A$5:$A$504,B224)=0,"BELUM ADA",INDEX('MASTER MENU'!$F$5:$F$504,MATCH(B224,'MASTER MENU'!$A$5:$A$504,0))))</f>
        <v/>
      </c>
      <c r="G224" s="0" t="str">
        <f aca="false">IF(A224="","",IF(OR(NOT(ISNUMBER(E224)),NOT(ISNUMBER(F224))),"BELUM LENGKAP",ROUND(E224*F224,0)))</f>
        <v/>
      </c>
      <c r="J224" s="0" t="str">
        <f aca="false">IF(A224="","",IF(NOT(ISNUMBER(G224)),"BELUM LENGKAP",G224-H224-I224))</f>
        <v/>
      </c>
      <c r="L224" s="0" t="str">
        <f aca="false">IF(A224="","",IF(NOT(ISNUMBER(K224)),"ISI SNAPSHOT HPP",ROUND(E224*K224,0)))</f>
        <v/>
      </c>
      <c r="M224" s="0" t="str">
        <f aca="false">IF(A224="","",IF(NOT(ISNUMBER(L224)),"BELUM LENGKAP",J224-L224))</f>
        <v/>
      </c>
      <c r="N224" s="0" t="str">
        <f aca="false">IF(B224="","",IF(COUNTIFS('RESEP DAN HPP'!$A$5:$A$504,B224,'RESEP DAN HPP'!$N$5:$N$504,"LENGKAP")=0,"BELUM LENGKAP",INDEX('RESEP DAN HPP'!$J$5:$J$504,MATCH(B224,'RESEP DAN HPP'!$A$5:$A$504,0))))</f>
        <v/>
      </c>
      <c r="P224" s="0" t="str">
        <f aca="false">IF(A224="","",IF(COUNTIFS('TRANSAKSI PENJUALAN'!$A$5:$A$504,A224)=0,"BELUM ADA",INDEX('TRANSAKSI PENJUALAN'!$B$5:$B$504,MATCH(A224,'TRANSAKSI PENJUALAN'!$A$5:$A$504,0))))</f>
        <v/>
      </c>
      <c r="Q224" s="0" t="str">
        <f aca="false">IF(A224="","",IF(COUNTIFS('TRANSAKSI PENJUALAN'!$A$5:$A$504,A224)=0,"BELUM ADA",INDEX('TRANSAKSI PENJUALAN'!$M$5:$M$504,MATCH(A224,'TRANSAKSI PENJUALAN'!$A$5:$A$504,0))))</f>
        <v/>
      </c>
      <c r="R224" s="24" t="str">
        <f aca="false">IF(A224="","",COUNTIF($A$5:A224,A224))</f>
        <v/>
      </c>
      <c r="S224" s="24" t="str">
        <f aca="false">IF(A224="","",A224&amp;"|"&amp;R224)</f>
        <v/>
      </c>
    </row>
    <row r="225" customFormat="false" ht="15" hidden="false" customHeight="false" outlineLevel="0" collapsed="false">
      <c r="C225" s="0" t="str">
        <f aca="false">IF(B225="","",IF(COUNTIFS('MASTER MENU'!$A$5:$A$504,B225)=0,"BELUM ADA",INDEX('MASTER MENU'!$B$5:$B$504,MATCH(B225,'MASTER MENU'!$A$5:$A$504,0))))</f>
        <v/>
      </c>
      <c r="D225" s="0" t="str">
        <f aca="false">IF(B225="","",IF(COUNTIFS('MASTER MENU'!$A$5:$A$504,B225)=0,"BELUM ADA",INDEX('MASTER MENU'!$E$5:$E$504,MATCH(B225,'MASTER MENU'!$A$5:$A$504,0))))</f>
        <v/>
      </c>
      <c r="F225" s="0" t="str">
        <f aca="false">IF(B225="","",IF(COUNTIFS('MASTER MENU'!$A$5:$A$504,B225)=0,"BELUM ADA",INDEX('MASTER MENU'!$F$5:$F$504,MATCH(B225,'MASTER MENU'!$A$5:$A$504,0))))</f>
        <v/>
      </c>
      <c r="G225" s="0" t="str">
        <f aca="false">IF(A225="","",IF(OR(NOT(ISNUMBER(E225)),NOT(ISNUMBER(F225))),"BELUM LENGKAP",ROUND(E225*F225,0)))</f>
        <v/>
      </c>
      <c r="J225" s="0" t="str">
        <f aca="false">IF(A225="","",IF(NOT(ISNUMBER(G225)),"BELUM LENGKAP",G225-H225-I225))</f>
        <v/>
      </c>
      <c r="L225" s="0" t="str">
        <f aca="false">IF(A225="","",IF(NOT(ISNUMBER(K225)),"ISI SNAPSHOT HPP",ROUND(E225*K225,0)))</f>
        <v/>
      </c>
      <c r="M225" s="0" t="str">
        <f aca="false">IF(A225="","",IF(NOT(ISNUMBER(L225)),"BELUM LENGKAP",J225-L225))</f>
        <v/>
      </c>
      <c r="N225" s="0" t="str">
        <f aca="false">IF(B225="","",IF(COUNTIFS('RESEP DAN HPP'!$A$5:$A$504,B225,'RESEP DAN HPP'!$N$5:$N$504,"LENGKAP")=0,"BELUM LENGKAP",INDEX('RESEP DAN HPP'!$J$5:$J$504,MATCH(B225,'RESEP DAN HPP'!$A$5:$A$504,0))))</f>
        <v/>
      </c>
      <c r="P225" s="0" t="str">
        <f aca="false">IF(A225="","",IF(COUNTIFS('TRANSAKSI PENJUALAN'!$A$5:$A$504,A225)=0,"BELUM ADA",INDEX('TRANSAKSI PENJUALAN'!$B$5:$B$504,MATCH(A225,'TRANSAKSI PENJUALAN'!$A$5:$A$504,0))))</f>
        <v/>
      </c>
      <c r="Q225" s="0" t="str">
        <f aca="false">IF(A225="","",IF(COUNTIFS('TRANSAKSI PENJUALAN'!$A$5:$A$504,A225)=0,"BELUM ADA",INDEX('TRANSAKSI PENJUALAN'!$M$5:$M$504,MATCH(A225,'TRANSAKSI PENJUALAN'!$A$5:$A$504,0))))</f>
        <v/>
      </c>
      <c r="R225" s="24" t="str">
        <f aca="false">IF(A225="","",COUNTIF($A$5:A225,A225))</f>
        <v/>
      </c>
      <c r="S225" s="24" t="str">
        <f aca="false">IF(A225="","",A225&amp;"|"&amp;R225)</f>
        <v/>
      </c>
    </row>
    <row r="226" customFormat="false" ht="15" hidden="false" customHeight="false" outlineLevel="0" collapsed="false">
      <c r="C226" s="0" t="str">
        <f aca="false">IF(B226="","",IF(COUNTIFS('MASTER MENU'!$A$5:$A$504,B226)=0,"BELUM ADA",INDEX('MASTER MENU'!$B$5:$B$504,MATCH(B226,'MASTER MENU'!$A$5:$A$504,0))))</f>
        <v/>
      </c>
      <c r="D226" s="0" t="str">
        <f aca="false">IF(B226="","",IF(COUNTIFS('MASTER MENU'!$A$5:$A$504,B226)=0,"BELUM ADA",INDEX('MASTER MENU'!$E$5:$E$504,MATCH(B226,'MASTER MENU'!$A$5:$A$504,0))))</f>
        <v/>
      </c>
      <c r="F226" s="0" t="str">
        <f aca="false">IF(B226="","",IF(COUNTIFS('MASTER MENU'!$A$5:$A$504,B226)=0,"BELUM ADA",INDEX('MASTER MENU'!$F$5:$F$504,MATCH(B226,'MASTER MENU'!$A$5:$A$504,0))))</f>
        <v/>
      </c>
      <c r="G226" s="0" t="str">
        <f aca="false">IF(A226="","",IF(OR(NOT(ISNUMBER(E226)),NOT(ISNUMBER(F226))),"BELUM LENGKAP",ROUND(E226*F226,0)))</f>
        <v/>
      </c>
      <c r="J226" s="0" t="str">
        <f aca="false">IF(A226="","",IF(NOT(ISNUMBER(G226)),"BELUM LENGKAP",G226-H226-I226))</f>
        <v/>
      </c>
      <c r="L226" s="0" t="str">
        <f aca="false">IF(A226="","",IF(NOT(ISNUMBER(K226)),"ISI SNAPSHOT HPP",ROUND(E226*K226,0)))</f>
        <v/>
      </c>
      <c r="M226" s="0" t="str">
        <f aca="false">IF(A226="","",IF(NOT(ISNUMBER(L226)),"BELUM LENGKAP",J226-L226))</f>
        <v/>
      </c>
      <c r="N226" s="0" t="str">
        <f aca="false">IF(B226="","",IF(COUNTIFS('RESEP DAN HPP'!$A$5:$A$504,B226,'RESEP DAN HPP'!$N$5:$N$504,"LENGKAP")=0,"BELUM LENGKAP",INDEX('RESEP DAN HPP'!$J$5:$J$504,MATCH(B226,'RESEP DAN HPP'!$A$5:$A$504,0))))</f>
        <v/>
      </c>
      <c r="P226" s="0" t="str">
        <f aca="false">IF(A226="","",IF(COUNTIFS('TRANSAKSI PENJUALAN'!$A$5:$A$504,A226)=0,"BELUM ADA",INDEX('TRANSAKSI PENJUALAN'!$B$5:$B$504,MATCH(A226,'TRANSAKSI PENJUALAN'!$A$5:$A$504,0))))</f>
        <v/>
      </c>
      <c r="Q226" s="0" t="str">
        <f aca="false">IF(A226="","",IF(COUNTIFS('TRANSAKSI PENJUALAN'!$A$5:$A$504,A226)=0,"BELUM ADA",INDEX('TRANSAKSI PENJUALAN'!$M$5:$M$504,MATCH(A226,'TRANSAKSI PENJUALAN'!$A$5:$A$504,0))))</f>
        <v/>
      </c>
      <c r="R226" s="24" t="str">
        <f aca="false">IF(A226="","",COUNTIF($A$5:A226,A226))</f>
        <v/>
      </c>
      <c r="S226" s="24" t="str">
        <f aca="false">IF(A226="","",A226&amp;"|"&amp;R226)</f>
        <v/>
      </c>
    </row>
    <row r="227" customFormat="false" ht="15" hidden="false" customHeight="false" outlineLevel="0" collapsed="false">
      <c r="C227" s="0" t="str">
        <f aca="false">IF(B227="","",IF(COUNTIFS('MASTER MENU'!$A$5:$A$504,B227)=0,"BELUM ADA",INDEX('MASTER MENU'!$B$5:$B$504,MATCH(B227,'MASTER MENU'!$A$5:$A$504,0))))</f>
        <v/>
      </c>
      <c r="D227" s="0" t="str">
        <f aca="false">IF(B227="","",IF(COUNTIFS('MASTER MENU'!$A$5:$A$504,B227)=0,"BELUM ADA",INDEX('MASTER MENU'!$E$5:$E$504,MATCH(B227,'MASTER MENU'!$A$5:$A$504,0))))</f>
        <v/>
      </c>
      <c r="F227" s="0" t="str">
        <f aca="false">IF(B227="","",IF(COUNTIFS('MASTER MENU'!$A$5:$A$504,B227)=0,"BELUM ADA",INDEX('MASTER MENU'!$F$5:$F$504,MATCH(B227,'MASTER MENU'!$A$5:$A$504,0))))</f>
        <v/>
      </c>
      <c r="G227" s="0" t="str">
        <f aca="false">IF(A227="","",IF(OR(NOT(ISNUMBER(E227)),NOT(ISNUMBER(F227))),"BELUM LENGKAP",ROUND(E227*F227,0)))</f>
        <v/>
      </c>
      <c r="J227" s="0" t="str">
        <f aca="false">IF(A227="","",IF(NOT(ISNUMBER(G227)),"BELUM LENGKAP",G227-H227-I227))</f>
        <v/>
      </c>
      <c r="L227" s="0" t="str">
        <f aca="false">IF(A227="","",IF(NOT(ISNUMBER(K227)),"ISI SNAPSHOT HPP",ROUND(E227*K227,0)))</f>
        <v/>
      </c>
      <c r="M227" s="0" t="str">
        <f aca="false">IF(A227="","",IF(NOT(ISNUMBER(L227)),"BELUM LENGKAP",J227-L227))</f>
        <v/>
      </c>
      <c r="N227" s="0" t="str">
        <f aca="false">IF(B227="","",IF(COUNTIFS('RESEP DAN HPP'!$A$5:$A$504,B227,'RESEP DAN HPP'!$N$5:$N$504,"LENGKAP")=0,"BELUM LENGKAP",INDEX('RESEP DAN HPP'!$J$5:$J$504,MATCH(B227,'RESEP DAN HPP'!$A$5:$A$504,0))))</f>
        <v/>
      </c>
      <c r="P227" s="0" t="str">
        <f aca="false">IF(A227="","",IF(COUNTIFS('TRANSAKSI PENJUALAN'!$A$5:$A$504,A227)=0,"BELUM ADA",INDEX('TRANSAKSI PENJUALAN'!$B$5:$B$504,MATCH(A227,'TRANSAKSI PENJUALAN'!$A$5:$A$504,0))))</f>
        <v/>
      </c>
      <c r="Q227" s="0" t="str">
        <f aca="false">IF(A227="","",IF(COUNTIFS('TRANSAKSI PENJUALAN'!$A$5:$A$504,A227)=0,"BELUM ADA",INDEX('TRANSAKSI PENJUALAN'!$M$5:$M$504,MATCH(A227,'TRANSAKSI PENJUALAN'!$A$5:$A$504,0))))</f>
        <v/>
      </c>
      <c r="R227" s="24" t="str">
        <f aca="false">IF(A227="","",COUNTIF($A$5:A227,A227))</f>
        <v/>
      </c>
      <c r="S227" s="24" t="str">
        <f aca="false">IF(A227="","",A227&amp;"|"&amp;R227)</f>
        <v/>
      </c>
    </row>
    <row r="228" customFormat="false" ht="15" hidden="false" customHeight="false" outlineLevel="0" collapsed="false">
      <c r="C228" s="0" t="str">
        <f aca="false">IF(B228="","",IF(COUNTIFS('MASTER MENU'!$A$5:$A$504,B228)=0,"BELUM ADA",INDEX('MASTER MENU'!$B$5:$B$504,MATCH(B228,'MASTER MENU'!$A$5:$A$504,0))))</f>
        <v/>
      </c>
      <c r="D228" s="0" t="str">
        <f aca="false">IF(B228="","",IF(COUNTIFS('MASTER MENU'!$A$5:$A$504,B228)=0,"BELUM ADA",INDEX('MASTER MENU'!$E$5:$E$504,MATCH(B228,'MASTER MENU'!$A$5:$A$504,0))))</f>
        <v/>
      </c>
      <c r="F228" s="0" t="str">
        <f aca="false">IF(B228="","",IF(COUNTIFS('MASTER MENU'!$A$5:$A$504,B228)=0,"BELUM ADA",INDEX('MASTER MENU'!$F$5:$F$504,MATCH(B228,'MASTER MENU'!$A$5:$A$504,0))))</f>
        <v/>
      </c>
      <c r="G228" s="0" t="str">
        <f aca="false">IF(A228="","",IF(OR(NOT(ISNUMBER(E228)),NOT(ISNUMBER(F228))),"BELUM LENGKAP",ROUND(E228*F228,0)))</f>
        <v/>
      </c>
      <c r="J228" s="0" t="str">
        <f aca="false">IF(A228="","",IF(NOT(ISNUMBER(G228)),"BELUM LENGKAP",G228-H228-I228))</f>
        <v/>
      </c>
      <c r="L228" s="0" t="str">
        <f aca="false">IF(A228="","",IF(NOT(ISNUMBER(K228)),"ISI SNAPSHOT HPP",ROUND(E228*K228,0)))</f>
        <v/>
      </c>
      <c r="M228" s="0" t="str">
        <f aca="false">IF(A228="","",IF(NOT(ISNUMBER(L228)),"BELUM LENGKAP",J228-L228))</f>
        <v/>
      </c>
      <c r="N228" s="0" t="str">
        <f aca="false">IF(B228="","",IF(COUNTIFS('RESEP DAN HPP'!$A$5:$A$504,B228,'RESEP DAN HPP'!$N$5:$N$504,"LENGKAP")=0,"BELUM LENGKAP",INDEX('RESEP DAN HPP'!$J$5:$J$504,MATCH(B228,'RESEP DAN HPP'!$A$5:$A$504,0))))</f>
        <v/>
      </c>
      <c r="P228" s="0" t="str">
        <f aca="false">IF(A228="","",IF(COUNTIFS('TRANSAKSI PENJUALAN'!$A$5:$A$504,A228)=0,"BELUM ADA",INDEX('TRANSAKSI PENJUALAN'!$B$5:$B$504,MATCH(A228,'TRANSAKSI PENJUALAN'!$A$5:$A$504,0))))</f>
        <v/>
      </c>
      <c r="Q228" s="0" t="str">
        <f aca="false">IF(A228="","",IF(COUNTIFS('TRANSAKSI PENJUALAN'!$A$5:$A$504,A228)=0,"BELUM ADA",INDEX('TRANSAKSI PENJUALAN'!$M$5:$M$504,MATCH(A228,'TRANSAKSI PENJUALAN'!$A$5:$A$504,0))))</f>
        <v/>
      </c>
      <c r="R228" s="24" t="str">
        <f aca="false">IF(A228="","",COUNTIF($A$5:A228,A228))</f>
        <v/>
      </c>
      <c r="S228" s="24" t="str">
        <f aca="false">IF(A228="","",A228&amp;"|"&amp;R228)</f>
        <v/>
      </c>
    </row>
    <row r="229" customFormat="false" ht="15" hidden="false" customHeight="false" outlineLevel="0" collapsed="false">
      <c r="C229" s="0" t="str">
        <f aca="false">IF(B229="","",IF(COUNTIFS('MASTER MENU'!$A$5:$A$504,B229)=0,"BELUM ADA",INDEX('MASTER MENU'!$B$5:$B$504,MATCH(B229,'MASTER MENU'!$A$5:$A$504,0))))</f>
        <v/>
      </c>
      <c r="D229" s="0" t="str">
        <f aca="false">IF(B229="","",IF(COUNTIFS('MASTER MENU'!$A$5:$A$504,B229)=0,"BELUM ADA",INDEX('MASTER MENU'!$E$5:$E$504,MATCH(B229,'MASTER MENU'!$A$5:$A$504,0))))</f>
        <v/>
      </c>
      <c r="F229" s="0" t="str">
        <f aca="false">IF(B229="","",IF(COUNTIFS('MASTER MENU'!$A$5:$A$504,B229)=0,"BELUM ADA",INDEX('MASTER MENU'!$F$5:$F$504,MATCH(B229,'MASTER MENU'!$A$5:$A$504,0))))</f>
        <v/>
      </c>
      <c r="G229" s="0" t="str">
        <f aca="false">IF(A229="","",IF(OR(NOT(ISNUMBER(E229)),NOT(ISNUMBER(F229))),"BELUM LENGKAP",ROUND(E229*F229,0)))</f>
        <v/>
      </c>
      <c r="J229" s="0" t="str">
        <f aca="false">IF(A229="","",IF(NOT(ISNUMBER(G229)),"BELUM LENGKAP",G229-H229-I229))</f>
        <v/>
      </c>
      <c r="L229" s="0" t="str">
        <f aca="false">IF(A229="","",IF(NOT(ISNUMBER(K229)),"ISI SNAPSHOT HPP",ROUND(E229*K229,0)))</f>
        <v/>
      </c>
      <c r="M229" s="0" t="str">
        <f aca="false">IF(A229="","",IF(NOT(ISNUMBER(L229)),"BELUM LENGKAP",J229-L229))</f>
        <v/>
      </c>
      <c r="N229" s="0" t="str">
        <f aca="false">IF(B229="","",IF(COUNTIFS('RESEP DAN HPP'!$A$5:$A$504,B229,'RESEP DAN HPP'!$N$5:$N$504,"LENGKAP")=0,"BELUM LENGKAP",INDEX('RESEP DAN HPP'!$J$5:$J$504,MATCH(B229,'RESEP DAN HPP'!$A$5:$A$504,0))))</f>
        <v/>
      </c>
      <c r="P229" s="0" t="str">
        <f aca="false">IF(A229="","",IF(COUNTIFS('TRANSAKSI PENJUALAN'!$A$5:$A$504,A229)=0,"BELUM ADA",INDEX('TRANSAKSI PENJUALAN'!$B$5:$B$504,MATCH(A229,'TRANSAKSI PENJUALAN'!$A$5:$A$504,0))))</f>
        <v/>
      </c>
      <c r="Q229" s="0" t="str">
        <f aca="false">IF(A229="","",IF(COUNTIFS('TRANSAKSI PENJUALAN'!$A$5:$A$504,A229)=0,"BELUM ADA",INDEX('TRANSAKSI PENJUALAN'!$M$5:$M$504,MATCH(A229,'TRANSAKSI PENJUALAN'!$A$5:$A$504,0))))</f>
        <v/>
      </c>
      <c r="R229" s="24" t="str">
        <f aca="false">IF(A229="","",COUNTIF($A$5:A229,A229))</f>
        <v/>
      </c>
      <c r="S229" s="24" t="str">
        <f aca="false">IF(A229="","",A229&amp;"|"&amp;R229)</f>
        <v/>
      </c>
    </row>
    <row r="230" customFormat="false" ht="15" hidden="false" customHeight="false" outlineLevel="0" collapsed="false">
      <c r="C230" s="0" t="str">
        <f aca="false">IF(B230="","",IF(COUNTIFS('MASTER MENU'!$A$5:$A$504,B230)=0,"BELUM ADA",INDEX('MASTER MENU'!$B$5:$B$504,MATCH(B230,'MASTER MENU'!$A$5:$A$504,0))))</f>
        <v/>
      </c>
      <c r="D230" s="0" t="str">
        <f aca="false">IF(B230="","",IF(COUNTIFS('MASTER MENU'!$A$5:$A$504,B230)=0,"BELUM ADA",INDEX('MASTER MENU'!$E$5:$E$504,MATCH(B230,'MASTER MENU'!$A$5:$A$504,0))))</f>
        <v/>
      </c>
      <c r="F230" s="0" t="str">
        <f aca="false">IF(B230="","",IF(COUNTIFS('MASTER MENU'!$A$5:$A$504,B230)=0,"BELUM ADA",INDEX('MASTER MENU'!$F$5:$F$504,MATCH(B230,'MASTER MENU'!$A$5:$A$504,0))))</f>
        <v/>
      </c>
      <c r="G230" s="0" t="str">
        <f aca="false">IF(A230="","",IF(OR(NOT(ISNUMBER(E230)),NOT(ISNUMBER(F230))),"BELUM LENGKAP",ROUND(E230*F230,0)))</f>
        <v/>
      </c>
      <c r="J230" s="0" t="str">
        <f aca="false">IF(A230="","",IF(NOT(ISNUMBER(G230)),"BELUM LENGKAP",G230-H230-I230))</f>
        <v/>
      </c>
      <c r="L230" s="0" t="str">
        <f aca="false">IF(A230="","",IF(NOT(ISNUMBER(K230)),"ISI SNAPSHOT HPP",ROUND(E230*K230,0)))</f>
        <v/>
      </c>
      <c r="M230" s="0" t="str">
        <f aca="false">IF(A230="","",IF(NOT(ISNUMBER(L230)),"BELUM LENGKAP",J230-L230))</f>
        <v/>
      </c>
      <c r="N230" s="0" t="str">
        <f aca="false">IF(B230="","",IF(COUNTIFS('RESEP DAN HPP'!$A$5:$A$504,B230,'RESEP DAN HPP'!$N$5:$N$504,"LENGKAP")=0,"BELUM LENGKAP",INDEX('RESEP DAN HPP'!$J$5:$J$504,MATCH(B230,'RESEP DAN HPP'!$A$5:$A$504,0))))</f>
        <v/>
      </c>
      <c r="P230" s="0" t="str">
        <f aca="false">IF(A230="","",IF(COUNTIFS('TRANSAKSI PENJUALAN'!$A$5:$A$504,A230)=0,"BELUM ADA",INDEX('TRANSAKSI PENJUALAN'!$B$5:$B$504,MATCH(A230,'TRANSAKSI PENJUALAN'!$A$5:$A$504,0))))</f>
        <v/>
      </c>
      <c r="Q230" s="0" t="str">
        <f aca="false">IF(A230="","",IF(COUNTIFS('TRANSAKSI PENJUALAN'!$A$5:$A$504,A230)=0,"BELUM ADA",INDEX('TRANSAKSI PENJUALAN'!$M$5:$M$504,MATCH(A230,'TRANSAKSI PENJUALAN'!$A$5:$A$504,0))))</f>
        <v/>
      </c>
      <c r="R230" s="24" t="str">
        <f aca="false">IF(A230="","",COUNTIF($A$5:A230,A230))</f>
        <v/>
      </c>
      <c r="S230" s="24" t="str">
        <f aca="false">IF(A230="","",A230&amp;"|"&amp;R230)</f>
        <v/>
      </c>
    </row>
    <row r="231" customFormat="false" ht="15" hidden="false" customHeight="false" outlineLevel="0" collapsed="false">
      <c r="C231" s="0" t="str">
        <f aca="false">IF(B231="","",IF(COUNTIFS('MASTER MENU'!$A$5:$A$504,B231)=0,"BELUM ADA",INDEX('MASTER MENU'!$B$5:$B$504,MATCH(B231,'MASTER MENU'!$A$5:$A$504,0))))</f>
        <v/>
      </c>
      <c r="D231" s="0" t="str">
        <f aca="false">IF(B231="","",IF(COUNTIFS('MASTER MENU'!$A$5:$A$504,B231)=0,"BELUM ADA",INDEX('MASTER MENU'!$E$5:$E$504,MATCH(B231,'MASTER MENU'!$A$5:$A$504,0))))</f>
        <v/>
      </c>
      <c r="F231" s="0" t="str">
        <f aca="false">IF(B231="","",IF(COUNTIFS('MASTER MENU'!$A$5:$A$504,B231)=0,"BELUM ADA",INDEX('MASTER MENU'!$F$5:$F$504,MATCH(B231,'MASTER MENU'!$A$5:$A$504,0))))</f>
        <v/>
      </c>
      <c r="G231" s="0" t="str">
        <f aca="false">IF(A231="","",IF(OR(NOT(ISNUMBER(E231)),NOT(ISNUMBER(F231))),"BELUM LENGKAP",ROUND(E231*F231,0)))</f>
        <v/>
      </c>
      <c r="J231" s="0" t="str">
        <f aca="false">IF(A231="","",IF(NOT(ISNUMBER(G231)),"BELUM LENGKAP",G231-H231-I231))</f>
        <v/>
      </c>
      <c r="L231" s="0" t="str">
        <f aca="false">IF(A231="","",IF(NOT(ISNUMBER(K231)),"ISI SNAPSHOT HPP",ROUND(E231*K231,0)))</f>
        <v/>
      </c>
      <c r="M231" s="0" t="str">
        <f aca="false">IF(A231="","",IF(NOT(ISNUMBER(L231)),"BELUM LENGKAP",J231-L231))</f>
        <v/>
      </c>
      <c r="N231" s="0" t="str">
        <f aca="false">IF(B231="","",IF(COUNTIFS('RESEP DAN HPP'!$A$5:$A$504,B231,'RESEP DAN HPP'!$N$5:$N$504,"LENGKAP")=0,"BELUM LENGKAP",INDEX('RESEP DAN HPP'!$J$5:$J$504,MATCH(B231,'RESEP DAN HPP'!$A$5:$A$504,0))))</f>
        <v/>
      </c>
      <c r="P231" s="0" t="str">
        <f aca="false">IF(A231="","",IF(COUNTIFS('TRANSAKSI PENJUALAN'!$A$5:$A$504,A231)=0,"BELUM ADA",INDEX('TRANSAKSI PENJUALAN'!$B$5:$B$504,MATCH(A231,'TRANSAKSI PENJUALAN'!$A$5:$A$504,0))))</f>
        <v/>
      </c>
      <c r="Q231" s="0" t="str">
        <f aca="false">IF(A231="","",IF(COUNTIFS('TRANSAKSI PENJUALAN'!$A$5:$A$504,A231)=0,"BELUM ADA",INDEX('TRANSAKSI PENJUALAN'!$M$5:$M$504,MATCH(A231,'TRANSAKSI PENJUALAN'!$A$5:$A$504,0))))</f>
        <v/>
      </c>
      <c r="R231" s="24" t="str">
        <f aca="false">IF(A231="","",COUNTIF($A$5:A231,A231))</f>
        <v/>
      </c>
      <c r="S231" s="24" t="str">
        <f aca="false">IF(A231="","",A231&amp;"|"&amp;R231)</f>
        <v/>
      </c>
    </row>
    <row r="232" customFormat="false" ht="15" hidden="false" customHeight="false" outlineLevel="0" collapsed="false">
      <c r="C232" s="0" t="str">
        <f aca="false">IF(B232="","",IF(COUNTIFS('MASTER MENU'!$A$5:$A$504,B232)=0,"BELUM ADA",INDEX('MASTER MENU'!$B$5:$B$504,MATCH(B232,'MASTER MENU'!$A$5:$A$504,0))))</f>
        <v/>
      </c>
      <c r="D232" s="0" t="str">
        <f aca="false">IF(B232="","",IF(COUNTIFS('MASTER MENU'!$A$5:$A$504,B232)=0,"BELUM ADA",INDEX('MASTER MENU'!$E$5:$E$504,MATCH(B232,'MASTER MENU'!$A$5:$A$504,0))))</f>
        <v/>
      </c>
      <c r="F232" s="0" t="str">
        <f aca="false">IF(B232="","",IF(COUNTIFS('MASTER MENU'!$A$5:$A$504,B232)=0,"BELUM ADA",INDEX('MASTER MENU'!$F$5:$F$504,MATCH(B232,'MASTER MENU'!$A$5:$A$504,0))))</f>
        <v/>
      </c>
      <c r="G232" s="0" t="str">
        <f aca="false">IF(A232="","",IF(OR(NOT(ISNUMBER(E232)),NOT(ISNUMBER(F232))),"BELUM LENGKAP",ROUND(E232*F232,0)))</f>
        <v/>
      </c>
      <c r="J232" s="0" t="str">
        <f aca="false">IF(A232="","",IF(NOT(ISNUMBER(G232)),"BELUM LENGKAP",G232-H232-I232))</f>
        <v/>
      </c>
      <c r="L232" s="0" t="str">
        <f aca="false">IF(A232="","",IF(NOT(ISNUMBER(K232)),"ISI SNAPSHOT HPP",ROUND(E232*K232,0)))</f>
        <v/>
      </c>
      <c r="M232" s="0" t="str">
        <f aca="false">IF(A232="","",IF(NOT(ISNUMBER(L232)),"BELUM LENGKAP",J232-L232))</f>
        <v/>
      </c>
      <c r="N232" s="0" t="str">
        <f aca="false">IF(B232="","",IF(COUNTIFS('RESEP DAN HPP'!$A$5:$A$504,B232,'RESEP DAN HPP'!$N$5:$N$504,"LENGKAP")=0,"BELUM LENGKAP",INDEX('RESEP DAN HPP'!$J$5:$J$504,MATCH(B232,'RESEP DAN HPP'!$A$5:$A$504,0))))</f>
        <v/>
      </c>
      <c r="P232" s="0" t="str">
        <f aca="false">IF(A232="","",IF(COUNTIFS('TRANSAKSI PENJUALAN'!$A$5:$A$504,A232)=0,"BELUM ADA",INDEX('TRANSAKSI PENJUALAN'!$B$5:$B$504,MATCH(A232,'TRANSAKSI PENJUALAN'!$A$5:$A$504,0))))</f>
        <v/>
      </c>
      <c r="Q232" s="0" t="str">
        <f aca="false">IF(A232="","",IF(COUNTIFS('TRANSAKSI PENJUALAN'!$A$5:$A$504,A232)=0,"BELUM ADA",INDEX('TRANSAKSI PENJUALAN'!$M$5:$M$504,MATCH(A232,'TRANSAKSI PENJUALAN'!$A$5:$A$504,0))))</f>
        <v/>
      </c>
      <c r="R232" s="24" t="str">
        <f aca="false">IF(A232="","",COUNTIF($A$5:A232,A232))</f>
        <v/>
      </c>
      <c r="S232" s="24" t="str">
        <f aca="false">IF(A232="","",A232&amp;"|"&amp;R232)</f>
        <v/>
      </c>
    </row>
    <row r="233" customFormat="false" ht="15" hidden="false" customHeight="false" outlineLevel="0" collapsed="false">
      <c r="C233" s="0" t="str">
        <f aca="false">IF(B233="","",IF(COUNTIFS('MASTER MENU'!$A$5:$A$504,B233)=0,"BELUM ADA",INDEX('MASTER MENU'!$B$5:$B$504,MATCH(B233,'MASTER MENU'!$A$5:$A$504,0))))</f>
        <v/>
      </c>
      <c r="D233" s="0" t="str">
        <f aca="false">IF(B233="","",IF(COUNTIFS('MASTER MENU'!$A$5:$A$504,B233)=0,"BELUM ADA",INDEX('MASTER MENU'!$E$5:$E$504,MATCH(B233,'MASTER MENU'!$A$5:$A$504,0))))</f>
        <v/>
      </c>
      <c r="F233" s="0" t="str">
        <f aca="false">IF(B233="","",IF(COUNTIFS('MASTER MENU'!$A$5:$A$504,B233)=0,"BELUM ADA",INDEX('MASTER MENU'!$F$5:$F$504,MATCH(B233,'MASTER MENU'!$A$5:$A$504,0))))</f>
        <v/>
      </c>
      <c r="G233" s="0" t="str">
        <f aca="false">IF(A233="","",IF(OR(NOT(ISNUMBER(E233)),NOT(ISNUMBER(F233))),"BELUM LENGKAP",ROUND(E233*F233,0)))</f>
        <v/>
      </c>
      <c r="J233" s="0" t="str">
        <f aca="false">IF(A233="","",IF(NOT(ISNUMBER(G233)),"BELUM LENGKAP",G233-H233-I233))</f>
        <v/>
      </c>
      <c r="L233" s="0" t="str">
        <f aca="false">IF(A233="","",IF(NOT(ISNUMBER(K233)),"ISI SNAPSHOT HPP",ROUND(E233*K233,0)))</f>
        <v/>
      </c>
      <c r="M233" s="0" t="str">
        <f aca="false">IF(A233="","",IF(NOT(ISNUMBER(L233)),"BELUM LENGKAP",J233-L233))</f>
        <v/>
      </c>
      <c r="N233" s="0" t="str">
        <f aca="false">IF(B233="","",IF(COUNTIFS('RESEP DAN HPP'!$A$5:$A$504,B233,'RESEP DAN HPP'!$N$5:$N$504,"LENGKAP")=0,"BELUM LENGKAP",INDEX('RESEP DAN HPP'!$J$5:$J$504,MATCH(B233,'RESEP DAN HPP'!$A$5:$A$504,0))))</f>
        <v/>
      </c>
      <c r="P233" s="0" t="str">
        <f aca="false">IF(A233="","",IF(COUNTIFS('TRANSAKSI PENJUALAN'!$A$5:$A$504,A233)=0,"BELUM ADA",INDEX('TRANSAKSI PENJUALAN'!$B$5:$B$504,MATCH(A233,'TRANSAKSI PENJUALAN'!$A$5:$A$504,0))))</f>
        <v/>
      </c>
      <c r="Q233" s="0" t="str">
        <f aca="false">IF(A233="","",IF(COUNTIFS('TRANSAKSI PENJUALAN'!$A$5:$A$504,A233)=0,"BELUM ADA",INDEX('TRANSAKSI PENJUALAN'!$M$5:$M$504,MATCH(A233,'TRANSAKSI PENJUALAN'!$A$5:$A$504,0))))</f>
        <v/>
      </c>
      <c r="R233" s="24" t="str">
        <f aca="false">IF(A233="","",COUNTIF($A$5:A233,A233))</f>
        <v/>
      </c>
      <c r="S233" s="24" t="str">
        <f aca="false">IF(A233="","",A233&amp;"|"&amp;R233)</f>
        <v/>
      </c>
    </row>
    <row r="234" customFormat="false" ht="15" hidden="false" customHeight="false" outlineLevel="0" collapsed="false">
      <c r="C234" s="0" t="str">
        <f aca="false">IF(B234="","",IF(COUNTIFS('MASTER MENU'!$A$5:$A$504,B234)=0,"BELUM ADA",INDEX('MASTER MENU'!$B$5:$B$504,MATCH(B234,'MASTER MENU'!$A$5:$A$504,0))))</f>
        <v/>
      </c>
      <c r="D234" s="0" t="str">
        <f aca="false">IF(B234="","",IF(COUNTIFS('MASTER MENU'!$A$5:$A$504,B234)=0,"BELUM ADA",INDEX('MASTER MENU'!$E$5:$E$504,MATCH(B234,'MASTER MENU'!$A$5:$A$504,0))))</f>
        <v/>
      </c>
      <c r="F234" s="0" t="str">
        <f aca="false">IF(B234="","",IF(COUNTIFS('MASTER MENU'!$A$5:$A$504,B234)=0,"BELUM ADA",INDEX('MASTER MENU'!$F$5:$F$504,MATCH(B234,'MASTER MENU'!$A$5:$A$504,0))))</f>
        <v/>
      </c>
      <c r="G234" s="0" t="str">
        <f aca="false">IF(A234="","",IF(OR(NOT(ISNUMBER(E234)),NOT(ISNUMBER(F234))),"BELUM LENGKAP",ROUND(E234*F234,0)))</f>
        <v/>
      </c>
      <c r="J234" s="0" t="str">
        <f aca="false">IF(A234="","",IF(NOT(ISNUMBER(G234)),"BELUM LENGKAP",G234-H234-I234))</f>
        <v/>
      </c>
      <c r="L234" s="0" t="str">
        <f aca="false">IF(A234="","",IF(NOT(ISNUMBER(K234)),"ISI SNAPSHOT HPP",ROUND(E234*K234,0)))</f>
        <v/>
      </c>
      <c r="M234" s="0" t="str">
        <f aca="false">IF(A234="","",IF(NOT(ISNUMBER(L234)),"BELUM LENGKAP",J234-L234))</f>
        <v/>
      </c>
      <c r="N234" s="0" t="str">
        <f aca="false">IF(B234="","",IF(COUNTIFS('RESEP DAN HPP'!$A$5:$A$504,B234,'RESEP DAN HPP'!$N$5:$N$504,"LENGKAP")=0,"BELUM LENGKAP",INDEX('RESEP DAN HPP'!$J$5:$J$504,MATCH(B234,'RESEP DAN HPP'!$A$5:$A$504,0))))</f>
        <v/>
      </c>
      <c r="P234" s="0" t="str">
        <f aca="false">IF(A234="","",IF(COUNTIFS('TRANSAKSI PENJUALAN'!$A$5:$A$504,A234)=0,"BELUM ADA",INDEX('TRANSAKSI PENJUALAN'!$B$5:$B$504,MATCH(A234,'TRANSAKSI PENJUALAN'!$A$5:$A$504,0))))</f>
        <v/>
      </c>
      <c r="Q234" s="0" t="str">
        <f aca="false">IF(A234="","",IF(COUNTIFS('TRANSAKSI PENJUALAN'!$A$5:$A$504,A234)=0,"BELUM ADA",INDEX('TRANSAKSI PENJUALAN'!$M$5:$M$504,MATCH(A234,'TRANSAKSI PENJUALAN'!$A$5:$A$504,0))))</f>
        <v/>
      </c>
      <c r="R234" s="24" t="str">
        <f aca="false">IF(A234="","",COUNTIF($A$5:A234,A234))</f>
        <v/>
      </c>
      <c r="S234" s="24" t="str">
        <f aca="false">IF(A234="","",A234&amp;"|"&amp;R234)</f>
        <v/>
      </c>
    </row>
    <row r="235" customFormat="false" ht="15" hidden="false" customHeight="false" outlineLevel="0" collapsed="false">
      <c r="C235" s="0" t="str">
        <f aca="false">IF(B235="","",IF(COUNTIFS('MASTER MENU'!$A$5:$A$504,B235)=0,"BELUM ADA",INDEX('MASTER MENU'!$B$5:$B$504,MATCH(B235,'MASTER MENU'!$A$5:$A$504,0))))</f>
        <v/>
      </c>
      <c r="D235" s="0" t="str">
        <f aca="false">IF(B235="","",IF(COUNTIFS('MASTER MENU'!$A$5:$A$504,B235)=0,"BELUM ADA",INDEX('MASTER MENU'!$E$5:$E$504,MATCH(B235,'MASTER MENU'!$A$5:$A$504,0))))</f>
        <v/>
      </c>
      <c r="F235" s="0" t="str">
        <f aca="false">IF(B235="","",IF(COUNTIFS('MASTER MENU'!$A$5:$A$504,B235)=0,"BELUM ADA",INDEX('MASTER MENU'!$F$5:$F$504,MATCH(B235,'MASTER MENU'!$A$5:$A$504,0))))</f>
        <v/>
      </c>
      <c r="G235" s="0" t="str">
        <f aca="false">IF(A235="","",IF(OR(NOT(ISNUMBER(E235)),NOT(ISNUMBER(F235))),"BELUM LENGKAP",ROUND(E235*F235,0)))</f>
        <v/>
      </c>
      <c r="J235" s="0" t="str">
        <f aca="false">IF(A235="","",IF(NOT(ISNUMBER(G235)),"BELUM LENGKAP",G235-H235-I235))</f>
        <v/>
      </c>
      <c r="L235" s="0" t="str">
        <f aca="false">IF(A235="","",IF(NOT(ISNUMBER(K235)),"ISI SNAPSHOT HPP",ROUND(E235*K235,0)))</f>
        <v/>
      </c>
      <c r="M235" s="0" t="str">
        <f aca="false">IF(A235="","",IF(NOT(ISNUMBER(L235)),"BELUM LENGKAP",J235-L235))</f>
        <v/>
      </c>
      <c r="N235" s="0" t="str">
        <f aca="false">IF(B235="","",IF(COUNTIFS('RESEP DAN HPP'!$A$5:$A$504,B235,'RESEP DAN HPP'!$N$5:$N$504,"LENGKAP")=0,"BELUM LENGKAP",INDEX('RESEP DAN HPP'!$J$5:$J$504,MATCH(B235,'RESEP DAN HPP'!$A$5:$A$504,0))))</f>
        <v/>
      </c>
      <c r="P235" s="0" t="str">
        <f aca="false">IF(A235="","",IF(COUNTIFS('TRANSAKSI PENJUALAN'!$A$5:$A$504,A235)=0,"BELUM ADA",INDEX('TRANSAKSI PENJUALAN'!$B$5:$B$504,MATCH(A235,'TRANSAKSI PENJUALAN'!$A$5:$A$504,0))))</f>
        <v/>
      </c>
      <c r="Q235" s="0" t="str">
        <f aca="false">IF(A235="","",IF(COUNTIFS('TRANSAKSI PENJUALAN'!$A$5:$A$504,A235)=0,"BELUM ADA",INDEX('TRANSAKSI PENJUALAN'!$M$5:$M$504,MATCH(A235,'TRANSAKSI PENJUALAN'!$A$5:$A$504,0))))</f>
        <v/>
      </c>
      <c r="R235" s="24" t="str">
        <f aca="false">IF(A235="","",COUNTIF($A$5:A235,A235))</f>
        <v/>
      </c>
      <c r="S235" s="24" t="str">
        <f aca="false">IF(A235="","",A235&amp;"|"&amp;R235)</f>
        <v/>
      </c>
    </row>
    <row r="236" customFormat="false" ht="15" hidden="false" customHeight="false" outlineLevel="0" collapsed="false">
      <c r="C236" s="0" t="str">
        <f aca="false">IF(B236="","",IF(COUNTIFS('MASTER MENU'!$A$5:$A$504,B236)=0,"BELUM ADA",INDEX('MASTER MENU'!$B$5:$B$504,MATCH(B236,'MASTER MENU'!$A$5:$A$504,0))))</f>
        <v/>
      </c>
      <c r="D236" s="0" t="str">
        <f aca="false">IF(B236="","",IF(COUNTIFS('MASTER MENU'!$A$5:$A$504,B236)=0,"BELUM ADA",INDEX('MASTER MENU'!$E$5:$E$504,MATCH(B236,'MASTER MENU'!$A$5:$A$504,0))))</f>
        <v/>
      </c>
      <c r="F236" s="0" t="str">
        <f aca="false">IF(B236="","",IF(COUNTIFS('MASTER MENU'!$A$5:$A$504,B236)=0,"BELUM ADA",INDEX('MASTER MENU'!$F$5:$F$504,MATCH(B236,'MASTER MENU'!$A$5:$A$504,0))))</f>
        <v/>
      </c>
      <c r="G236" s="0" t="str">
        <f aca="false">IF(A236="","",IF(OR(NOT(ISNUMBER(E236)),NOT(ISNUMBER(F236))),"BELUM LENGKAP",ROUND(E236*F236,0)))</f>
        <v/>
      </c>
      <c r="J236" s="0" t="str">
        <f aca="false">IF(A236="","",IF(NOT(ISNUMBER(G236)),"BELUM LENGKAP",G236-H236-I236))</f>
        <v/>
      </c>
      <c r="L236" s="0" t="str">
        <f aca="false">IF(A236="","",IF(NOT(ISNUMBER(K236)),"ISI SNAPSHOT HPP",ROUND(E236*K236,0)))</f>
        <v/>
      </c>
      <c r="M236" s="0" t="str">
        <f aca="false">IF(A236="","",IF(NOT(ISNUMBER(L236)),"BELUM LENGKAP",J236-L236))</f>
        <v/>
      </c>
      <c r="N236" s="0" t="str">
        <f aca="false">IF(B236="","",IF(COUNTIFS('RESEP DAN HPP'!$A$5:$A$504,B236,'RESEP DAN HPP'!$N$5:$N$504,"LENGKAP")=0,"BELUM LENGKAP",INDEX('RESEP DAN HPP'!$J$5:$J$504,MATCH(B236,'RESEP DAN HPP'!$A$5:$A$504,0))))</f>
        <v/>
      </c>
      <c r="P236" s="0" t="str">
        <f aca="false">IF(A236="","",IF(COUNTIFS('TRANSAKSI PENJUALAN'!$A$5:$A$504,A236)=0,"BELUM ADA",INDEX('TRANSAKSI PENJUALAN'!$B$5:$B$504,MATCH(A236,'TRANSAKSI PENJUALAN'!$A$5:$A$504,0))))</f>
        <v/>
      </c>
      <c r="Q236" s="0" t="str">
        <f aca="false">IF(A236="","",IF(COUNTIFS('TRANSAKSI PENJUALAN'!$A$5:$A$504,A236)=0,"BELUM ADA",INDEX('TRANSAKSI PENJUALAN'!$M$5:$M$504,MATCH(A236,'TRANSAKSI PENJUALAN'!$A$5:$A$504,0))))</f>
        <v/>
      </c>
      <c r="R236" s="24" t="str">
        <f aca="false">IF(A236="","",COUNTIF($A$5:A236,A236))</f>
        <v/>
      </c>
      <c r="S236" s="24" t="str">
        <f aca="false">IF(A236="","",A236&amp;"|"&amp;R236)</f>
        <v/>
      </c>
    </row>
    <row r="237" customFormat="false" ht="15" hidden="false" customHeight="false" outlineLevel="0" collapsed="false">
      <c r="C237" s="0" t="str">
        <f aca="false">IF(B237="","",IF(COUNTIFS('MASTER MENU'!$A$5:$A$504,B237)=0,"BELUM ADA",INDEX('MASTER MENU'!$B$5:$B$504,MATCH(B237,'MASTER MENU'!$A$5:$A$504,0))))</f>
        <v/>
      </c>
      <c r="D237" s="0" t="str">
        <f aca="false">IF(B237="","",IF(COUNTIFS('MASTER MENU'!$A$5:$A$504,B237)=0,"BELUM ADA",INDEX('MASTER MENU'!$E$5:$E$504,MATCH(B237,'MASTER MENU'!$A$5:$A$504,0))))</f>
        <v/>
      </c>
      <c r="F237" s="0" t="str">
        <f aca="false">IF(B237="","",IF(COUNTIFS('MASTER MENU'!$A$5:$A$504,B237)=0,"BELUM ADA",INDEX('MASTER MENU'!$F$5:$F$504,MATCH(B237,'MASTER MENU'!$A$5:$A$504,0))))</f>
        <v/>
      </c>
      <c r="G237" s="0" t="str">
        <f aca="false">IF(A237="","",IF(OR(NOT(ISNUMBER(E237)),NOT(ISNUMBER(F237))),"BELUM LENGKAP",ROUND(E237*F237,0)))</f>
        <v/>
      </c>
      <c r="J237" s="0" t="str">
        <f aca="false">IF(A237="","",IF(NOT(ISNUMBER(G237)),"BELUM LENGKAP",G237-H237-I237))</f>
        <v/>
      </c>
      <c r="L237" s="0" t="str">
        <f aca="false">IF(A237="","",IF(NOT(ISNUMBER(K237)),"ISI SNAPSHOT HPP",ROUND(E237*K237,0)))</f>
        <v/>
      </c>
      <c r="M237" s="0" t="str">
        <f aca="false">IF(A237="","",IF(NOT(ISNUMBER(L237)),"BELUM LENGKAP",J237-L237))</f>
        <v/>
      </c>
      <c r="N237" s="0" t="str">
        <f aca="false">IF(B237="","",IF(COUNTIFS('RESEP DAN HPP'!$A$5:$A$504,B237,'RESEP DAN HPP'!$N$5:$N$504,"LENGKAP")=0,"BELUM LENGKAP",INDEX('RESEP DAN HPP'!$J$5:$J$504,MATCH(B237,'RESEP DAN HPP'!$A$5:$A$504,0))))</f>
        <v/>
      </c>
      <c r="P237" s="0" t="str">
        <f aca="false">IF(A237="","",IF(COUNTIFS('TRANSAKSI PENJUALAN'!$A$5:$A$504,A237)=0,"BELUM ADA",INDEX('TRANSAKSI PENJUALAN'!$B$5:$B$504,MATCH(A237,'TRANSAKSI PENJUALAN'!$A$5:$A$504,0))))</f>
        <v/>
      </c>
      <c r="Q237" s="0" t="str">
        <f aca="false">IF(A237="","",IF(COUNTIFS('TRANSAKSI PENJUALAN'!$A$5:$A$504,A237)=0,"BELUM ADA",INDEX('TRANSAKSI PENJUALAN'!$M$5:$M$504,MATCH(A237,'TRANSAKSI PENJUALAN'!$A$5:$A$504,0))))</f>
        <v/>
      </c>
      <c r="R237" s="24" t="str">
        <f aca="false">IF(A237="","",COUNTIF($A$5:A237,A237))</f>
        <v/>
      </c>
      <c r="S237" s="24" t="str">
        <f aca="false">IF(A237="","",A237&amp;"|"&amp;R237)</f>
        <v/>
      </c>
    </row>
    <row r="238" customFormat="false" ht="15" hidden="false" customHeight="false" outlineLevel="0" collapsed="false">
      <c r="C238" s="0" t="str">
        <f aca="false">IF(B238="","",IF(COUNTIFS('MASTER MENU'!$A$5:$A$504,B238)=0,"BELUM ADA",INDEX('MASTER MENU'!$B$5:$B$504,MATCH(B238,'MASTER MENU'!$A$5:$A$504,0))))</f>
        <v/>
      </c>
      <c r="D238" s="0" t="str">
        <f aca="false">IF(B238="","",IF(COUNTIFS('MASTER MENU'!$A$5:$A$504,B238)=0,"BELUM ADA",INDEX('MASTER MENU'!$E$5:$E$504,MATCH(B238,'MASTER MENU'!$A$5:$A$504,0))))</f>
        <v/>
      </c>
      <c r="F238" s="0" t="str">
        <f aca="false">IF(B238="","",IF(COUNTIFS('MASTER MENU'!$A$5:$A$504,B238)=0,"BELUM ADA",INDEX('MASTER MENU'!$F$5:$F$504,MATCH(B238,'MASTER MENU'!$A$5:$A$504,0))))</f>
        <v/>
      </c>
      <c r="G238" s="0" t="str">
        <f aca="false">IF(A238="","",IF(OR(NOT(ISNUMBER(E238)),NOT(ISNUMBER(F238))),"BELUM LENGKAP",ROUND(E238*F238,0)))</f>
        <v/>
      </c>
      <c r="J238" s="0" t="str">
        <f aca="false">IF(A238="","",IF(NOT(ISNUMBER(G238)),"BELUM LENGKAP",G238-H238-I238))</f>
        <v/>
      </c>
      <c r="L238" s="0" t="str">
        <f aca="false">IF(A238="","",IF(NOT(ISNUMBER(K238)),"ISI SNAPSHOT HPP",ROUND(E238*K238,0)))</f>
        <v/>
      </c>
      <c r="M238" s="0" t="str">
        <f aca="false">IF(A238="","",IF(NOT(ISNUMBER(L238)),"BELUM LENGKAP",J238-L238))</f>
        <v/>
      </c>
      <c r="N238" s="0" t="str">
        <f aca="false">IF(B238="","",IF(COUNTIFS('RESEP DAN HPP'!$A$5:$A$504,B238,'RESEP DAN HPP'!$N$5:$N$504,"LENGKAP")=0,"BELUM LENGKAP",INDEX('RESEP DAN HPP'!$J$5:$J$504,MATCH(B238,'RESEP DAN HPP'!$A$5:$A$504,0))))</f>
        <v/>
      </c>
      <c r="P238" s="0" t="str">
        <f aca="false">IF(A238="","",IF(COUNTIFS('TRANSAKSI PENJUALAN'!$A$5:$A$504,A238)=0,"BELUM ADA",INDEX('TRANSAKSI PENJUALAN'!$B$5:$B$504,MATCH(A238,'TRANSAKSI PENJUALAN'!$A$5:$A$504,0))))</f>
        <v/>
      </c>
      <c r="Q238" s="0" t="str">
        <f aca="false">IF(A238="","",IF(COUNTIFS('TRANSAKSI PENJUALAN'!$A$5:$A$504,A238)=0,"BELUM ADA",INDEX('TRANSAKSI PENJUALAN'!$M$5:$M$504,MATCH(A238,'TRANSAKSI PENJUALAN'!$A$5:$A$504,0))))</f>
        <v/>
      </c>
      <c r="R238" s="24" t="str">
        <f aca="false">IF(A238="","",COUNTIF($A$5:A238,A238))</f>
        <v/>
      </c>
      <c r="S238" s="24" t="str">
        <f aca="false">IF(A238="","",A238&amp;"|"&amp;R238)</f>
        <v/>
      </c>
    </row>
    <row r="239" customFormat="false" ht="15" hidden="false" customHeight="false" outlineLevel="0" collapsed="false">
      <c r="C239" s="0" t="str">
        <f aca="false">IF(B239="","",IF(COUNTIFS('MASTER MENU'!$A$5:$A$504,B239)=0,"BELUM ADA",INDEX('MASTER MENU'!$B$5:$B$504,MATCH(B239,'MASTER MENU'!$A$5:$A$504,0))))</f>
        <v/>
      </c>
      <c r="D239" s="0" t="str">
        <f aca="false">IF(B239="","",IF(COUNTIFS('MASTER MENU'!$A$5:$A$504,B239)=0,"BELUM ADA",INDEX('MASTER MENU'!$E$5:$E$504,MATCH(B239,'MASTER MENU'!$A$5:$A$504,0))))</f>
        <v/>
      </c>
      <c r="F239" s="0" t="str">
        <f aca="false">IF(B239="","",IF(COUNTIFS('MASTER MENU'!$A$5:$A$504,B239)=0,"BELUM ADA",INDEX('MASTER MENU'!$F$5:$F$504,MATCH(B239,'MASTER MENU'!$A$5:$A$504,0))))</f>
        <v/>
      </c>
      <c r="G239" s="0" t="str">
        <f aca="false">IF(A239="","",IF(OR(NOT(ISNUMBER(E239)),NOT(ISNUMBER(F239))),"BELUM LENGKAP",ROUND(E239*F239,0)))</f>
        <v/>
      </c>
      <c r="J239" s="0" t="str">
        <f aca="false">IF(A239="","",IF(NOT(ISNUMBER(G239)),"BELUM LENGKAP",G239-H239-I239))</f>
        <v/>
      </c>
      <c r="L239" s="0" t="str">
        <f aca="false">IF(A239="","",IF(NOT(ISNUMBER(K239)),"ISI SNAPSHOT HPP",ROUND(E239*K239,0)))</f>
        <v/>
      </c>
      <c r="M239" s="0" t="str">
        <f aca="false">IF(A239="","",IF(NOT(ISNUMBER(L239)),"BELUM LENGKAP",J239-L239))</f>
        <v/>
      </c>
      <c r="N239" s="0" t="str">
        <f aca="false">IF(B239="","",IF(COUNTIFS('RESEP DAN HPP'!$A$5:$A$504,B239,'RESEP DAN HPP'!$N$5:$N$504,"LENGKAP")=0,"BELUM LENGKAP",INDEX('RESEP DAN HPP'!$J$5:$J$504,MATCH(B239,'RESEP DAN HPP'!$A$5:$A$504,0))))</f>
        <v/>
      </c>
      <c r="P239" s="0" t="str">
        <f aca="false">IF(A239="","",IF(COUNTIFS('TRANSAKSI PENJUALAN'!$A$5:$A$504,A239)=0,"BELUM ADA",INDEX('TRANSAKSI PENJUALAN'!$B$5:$B$504,MATCH(A239,'TRANSAKSI PENJUALAN'!$A$5:$A$504,0))))</f>
        <v/>
      </c>
      <c r="Q239" s="0" t="str">
        <f aca="false">IF(A239="","",IF(COUNTIFS('TRANSAKSI PENJUALAN'!$A$5:$A$504,A239)=0,"BELUM ADA",INDEX('TRANSAKSI PENJUALAN'!$M$5:$M$504,MATCH(A239,'TRANSAKSI PENJUALAN'!$A$5:$A$504,0))))</f>
        <v/>
      </c>
      <c r="R239" s="24" t="str">
        <f aca="false">IF(A239="","",COUNTIF($A$5:A239,A239))</f>
        <v/>
      </c>
      <c r="S239" s="24" t="str">
        <f aca="false">IF(A239="","",A239&amp;"|"&amp;R239)</f>
        <v/>
      </c>
    </row>
    <row r="240" customFormat="false" ht="15" hidden="false" customHeight="false" outlineLevel="0" collapsed="false">
      <c r="C240" s="0" t="str">
        <f aca="false">IF(B240="","",IF(COUNTIFS('MASTER MENU'!$A$5:$A$504,B240)=0,"BELUM ADA",INDEX('MASTER MENU'!$B$5:$B$504,MATCH(B240,'MASTER MENU'!$A$5:$A$504,0))))</f>
        <v/>
      </c>
      <c r="D240" s="0" t="str">
        <f aca="false">IF(B240="","",IF(COUNTIFS('MASTER MENU'!$A$5:$A$504,B240)=0,"BELUM ADA",INDEX('MASTER MENU'!$E$5:$E$504,MATCH(B240,'MASTER MENU'!$A$5:$A$504,0))))</f>
        <v/>
      </c>
      <c r="F240" s="0" t="str">
        <f aca="false">IF(B240="","",IF(COUNTIFS('MASTER MENU'!$A$5:$A$504,B240)=0,"BELUM ADA",INDEX('MASTER MENU'!$F$5:$F$504,MATCH(B240,'MASTER MENU'!$A$5:$A$504,0))))</f>
        <v/>
      </c>
      <c r="G240" s="0" t="str">
        <f aca="false">IF(A240="","",IF(OR(NOT(ISNUMBER(E240)),NOT(ISNUMBER(F240))),"BELUM LENGKAP",ROUND(E240*F240,0)))</f>
        <v/>
      </c>
      <c r="J240" s="0" t="str">
        <f aca="false">IF(A240="","",IF(NOT(ISNUMBER(G240)),"BELUM LENGKAP",G240-H240-I240))</f>
        <v/>
      </c>
      <c r="L240" s="0" t="str">
        <f aca="false">IF(A240="","",IF(NOT(ISNUMBER(K240)),"ISI SNAPSHOT HPP",ROUND(E240*K240,0)))</f>
        <v/>
      </c>
      <c r="M240" s="0" t="str">
        <f aca="false">IF(A240="","",IF(NOT(ISNUMBER(L240)),"BELUM LENGKAP",J240-L240))</f>
        <v/>
      </c>
      <c r="N240" s="0" t="str">
        <f aca="false">IF(B240="","",IF(COUNTIFS('RESEP DAN HPP'!$A$5:$A$504,B240,'RESEP DAN HPP'!$N$5:$N$504,"LENGKAP")=0,"BELUM LENGKAP",INDEX('RESEP DAN HPP'!$J$5:$J$504,MATCH(B240,'RESEP DAN HPP'!$A$5:$A$504,0))))</f>
        <v/>
      </c>
      <c r="P240" s="0" t="str">
        <f aca="false">IF(A240="","",IF(COUNTIFS('TRANSAKSI PENJUALAN'!$A$5:$A$504,A240)=0,"BELUM ADA",INDEX('TRANSAKSI PENJUALAN'!$B$5:$B$504,MATCH(A240,'TRANSAKSI PENJUALAN'!$A$5:$A$504,0))))</f>
        <v/>
      </c>
      <c r="Q240" s="0" t="str">
        <f aca="false">IF(A240="","",IF(COUNTIFS('TRANSAKSI PENJUALAN'!$A$5:$A$504,A240)=0,"BELUM ADA",INDEX('TRANSAKSI PENJUALAN'!$M$5:$M$504,MATCH(A240,'TRANSAKSI PENJUALAN'!$A$5:$A$504,0))))</f>
        <v/>
      </c>
      <c r="R240" s="24" t="str">
        <f aca="false">IF(A240="","",COUNTIF($A$5:A240,A240))</f>
        <v/>
      </c>
      <c r="S240" s="24" t="str">
        <f aca="false">IF(A240="","",A240&amp;"|"&amp;R240)</f>
        <v/>
      </c>
    </row>
    <row r="241" customFormat="false" ht="15" hidden="false" customHeight="false" outlineLevel="0" collapsed="false">
      <c r="C241" s="0" t="str">
        <f aca="false">IF(B241="","",IF(COUNTIFS('MASTER MENU'!$A$5:$A$504,B241)=0,"BELUM ADA",INDEX('MASTER MENU'!$B$5:$B$504,MATCH(B241,'MASTER MENU'!$A$5:$A$504,0))))</f>
        <v/>
      </c>
      <c r="D241" s="0" t="str">
        <f aca="false">IF(B241="","",IF(COUNTIFS('MASTER MENU'!$A$5:$A$504,B241)=0,"BELUM ADA",INDEX('MASTER MENU'!$E$5:$E$504,MATCH(B241,'MASTER MENU'!$A$5:$A$504,0))))</f>
        <v/>
      </c>
      <c r="F241" s="0" t="str">
        <f aca="false">IF(B241="","",IF(COUNTIFS('MASTER MENU'!$A$5:$A$504,B241)=0,"BELUM ADA",INDEX('MASTER MENU'!$F$5:$F$504,MATCH(B241,'MASTER MENU'!$A$5:$A$504,0))))</f>
        <v/>
      </c>
      <c r="G241" s="0" t="str">
        <f aca="false">IF(A241="","",IF(OR(NOT(ISNUMBER(E241)),NOT(ISNUMBER(F241))),"BELUM LENGKAP",ROUND(E241*F241,0)))</f>
        <v/>
      </c>
      <c r="J241" s="0" t="str">
        <f aca="false">IF(A241="","",IF(NOT(ISNUMBER(G241)),"BELUM LENGKAP",G241-H241-I241))</f>
        <v/>
      </c>
      <c r="L241" s="0" t="str">
        <f aca="false">IF(A241="","",IF(NOT(ISNUMBER(K241)),"ISI SNAPSHOT HPP",ROUND(E241*K241,0)))</f>
        <v/>
      </c>
      <c r="M241" s="0" t="str">
        <f aca="false">IF(A241="","",IF(NOT(ISNUMBER(L241)),"BELUM LENGKAP",J241-L241))</f>
        <v/>
      </c>
      <c r="N241" s="0" t="str">
        <f aca="false">IF(B241="","",IF(COUNTIFS('RESEP DAN HPP'!$A$5:$A$504,B241,'RESEP DAN HPP'!$N$5:$N$504,"LENGKAP")=0,"BELUM LENGKAP",INDEX('RESEP DAN HPP'!$J$5:$J$504,MATCH(B241,'RESEP DAN HPP'!$A$5:$A$504,0))))</f>
        <v/>
      </c>
      <c r="P241" s="0" t="str">
        <f aca="false">IF(A241="","",IF(COUNTIFS('TRANSAKSI PENJUALAN'!$A$5:$A$504,A241)=0,"BELUM ADA",INDEX('TRANSAKSI PENJUALAN'!$B$5:$B$504,MATCH(A241,'TRANSAKSI PENJUALAN'!$A$5:$A$504,0))))</f>
        <v/>
      </c>
      <c r="Q241" s="0" t="str">
        <f aca="false">IF(A241="","",IF(COUNTIFS('TRANSAKSI PENJUALAN'!$A$5:$A$504,A241)=0,"BELUM ADA",INDEX('TRANSAKSI PENJUALAN'!$M$5:$M$504,MATCH(A241,'TRANSAKSI PENJUALAN'!$A$5:$A$504,0))))</f>
        <v/>
      </c>
      <c r="R241" s="24" t="str">
        <f aca="false">IF(A241="","",COUNTIF($A$5:A241,A241))</f>
        <v/>
      </c>
      <c r="S241" s="24" t="str">
        <f aca="false">IF(A241="","",A241&amp;"|"&amp;R241)</f>
        <v/>
      </c>
    </row>
    <row r="242" customFormat="false" ht="15" hidden="false" customHeight="false" outlineLevel="0" collapsed="false">
      <c r="C242" s="0" t="str">
        <f aca="false">IF(B242="","",IF(COUNTIFS('MASTER MENU'!$A$5:$A$504,B242)=0,"BELUM ADA",INDEX('MASTER MENU'!$B$5:$B$504,MATCH(B242,'MASTER MENU'!$A$5:$A$504,0))))</f>
        <v/>
      </c>
      <c r="D242" s="0" t="str">
        <f aca="false">IF(B242="","",IF(COUNTIFS('MASTER MENU'!$A$5:$A$504,B242)=0,"BELUM ADA",INDEX('MASTER MENU'!$E$5:$E$504,MATCH(B242,'MASTER MENU'!$A$5:$A$504,0))))</f>
        <v/>
      </c>
      <c r="F242" s="0" t="str">
        <f aca="false">IF(B242="","",IF(COUNTIFS('MASTER MENU'!$A$5:$A$504,B242)=0,"BELUM ADA",INDEX('MASTER MENU'!$F$5:$F$504,MATCH(B242,'MASTER MENU'!$A$5:$A$504,0))))</f>
        <v/>
      </c>
      <c r="G242" s="0" t="str">
        <f aca="false">IF(A242="","",IF(OR(NOT(ISNUMBER(E242)),NOT(ISNUMBER(F242))),"BELUM LENGKAP",ROUND(E242*F242,0)))</f>
        <v/>
      </c>
      <c r="J242" s="0" t="str">
        <f aca="false">IF(A242="","",IF(NOT(ISNUMBER(G242)),"BELUM LENGKAP",G242-H242-I242))</f>
        <v/>
      </c>
      <c r="L242" s="0" t="str">
        <f aca="false">IF(A242="","",IF(NOT(ISNUMBER(K242)),"ISI SNAPSHOT HPP",ROUND(E242*K242,0)))</f>
        <v/>
      </c>
      <c r="M242" s="0" t="str">
        <f aca="false">IF(A242="","",IF(NOT(ISNUMBER(L242)),"BELUM LENGKAP",J242-L242))</f>
        <v/>
      </c>
      <c r="N242" s="0" t="str">
        <f aca="false">IF(B242="","",IF(COUNTIFS('RESEP DAN HPP'!$A$5:$A$504,B242,'RESEP DAN HPP'!$N$5:$N$504,"LENGKAP")=0,"BELUM LENGKAP",INDEX('RESEP DAN HPP'!$J$5:$J$504,MATCH(B242,'RESEP DAN HPP'!$A$5:$A$504,0))))</f>
        <v/>
      </c>
      <c r="P242" s="0" t="str">
        <f aca="false">IF(A242="","",IF(COUNTIFS('TRANSAKSI PENJUALAN'!$A$5:$A$504,A242)=0,"BELUM ADA",INDEX('TRANSAKSI PENJUALAN'!$B$5:$B$504,MATCH(A242,'TRANSAKSI PENJUALAN'!$A$5:$A$504,0))))</f>
        <v/>
      </c>
      <c r="Q242" s="0" t="str">
        <f aca="false">IF(A242="","",IF(COUNTIFS('TRANSAKSI PENJUALAN'!$A$5:$A$504,A242)=0,"BELUM ADA",INDEX('TRANSAKSI PENJUALAN'!$M$5:$M$504,MATCH(A242,'TRANSAKSI PENJUALAN'!$A$5:$A$504,0))))</f>
        <v/>
      </c>
      <c r="R242" s="24" t="str">
        <f aca="false">IF(A242="","",COUNTIF($A$5:A242,A242))</f>
        <v/>
      </c>
      <c r="S242" s="24" t="str">
        <f aca="false">IF(A242="","",A242&amp;"|"&amp;R242)</f>
        <v/>
      </c>
    </row>
    <row r="243" customFormat="false" ht="15" hidden="false" customHeight="false" outlineLevel="0" collapsed="false">
      <c r="C243" s="0" t="str">
        <f aca="false">IF(B243="","",IF(COUNTIFS('MASTER MENU'!$A$5:$A$504,B243)=0,"BELUM ADA",INDEX('MASTER MENU'!$B$5:$B$504,MATCH(B243,'MASTER MENU'!$A$5:$A$504,0))))</f>
        <v/>
      </c>
      <c r="D243" s="0" t="str">
        <f aca="false">IF(B243="","",IF(COUNTIFS('MASTER MENU'!$A$5:$A$504,B243)=0,"BELUM ADA",INDEX('MASTER MENU'!$E$5:$E$504,MATCH(B243,'MASTER MENU'!$A$5:$A$504,0))))</f>
        <v/>
      </c>
      <c r="F243" s="0" t="str">
        <f aca="false">IF(B243="","",IF(COUNTIFS('MASTER MENU'!$A$5:$A$504,B243)=0,"BELUM ADA",INDEX('MASTER MENU'!$F$5:$F$504,MATCH(B243,'MASTER MENU'!$A$5:$A$504,0))))</f>
        <v/>
      </c>
      <c r="G243" s="0" t="str">
        <f aca="false">IF(A243="","",IF(OR(NOT(ISNUMBER(E243)),NOT(ISNUMBER(F243))),"BELUM LENGKAP",ROUND(E243*F243,0)))</f>
        <v/>
      </c>
      <c r="J243" s="0" t="str">
        <f aca="false">IF(A243="","",IF(NOT(ISNUMBER(G243)),"BELUM LENGKAP",G243-H243-I243))</f>
        <v/>
      </c>
      <c r="L243" s="0" t="str">
        <f aca="false">IF(A243="","",IF(NOT(ISNUMBER(K243)),"ISI SNAPSHOT HPP",ROUND(E243*K243,0)))</f>
        <v/>
      </c>
      <c r="M243" s="0" t="str">
        <f aca="false">IF(A243="","",IF(NOT(ISNUMBER(L243)),"BELUM LENGKAP",J243-L243))</f>
        <v/>
      </c>
      <c r="N243" s="0" t="str">
        <f aca="false">IF(B243="","",IF(COUNTIFS('RESEP DAN HPP'!$A$5:$A$504,B243,'RESEP DAN HPP'!$N$5:$N$504,"LENGKAP")=0,"BELUM LENGKAP",INDEX('RESEP DAN HPP'!$J$5:$J$504,MATCH(B243,'RESEP DAN HPP'!$A$5:$A$504,0))))</f>
        <v/>
      </c>
      <c r="P243" s="0" t="str">
        <f aca="false">IF(A243="","",IF(COUNTIFS('TRANSAKSI PENJUALAN'!$A$5:$A$504,A243)=0,"BELUM ADA",INDEX('TRANSAKSI PENJUALAN'!$B$5:$B$504,MATCH(A243,'TRANSAKSI PENJUALAN'!$A$5:$A$504,0))))</f>
        <v/>
      </c>
      <c r="Q243" s="0" t="str">
        <f aca="false">IF(A243="","",IF(COUNTIFS('TRANSAKSI PENJUALAN'!$A$5:$A$504,A243)=0,"BELUM ADA",INDEX('TRANSAKSI PENJUALAN'!$M$5:$M$504,MATCH(A243,'TRANSAKSI PENJUALAN'!$A$5:$A$504,0))))</f>
        <v/>
      </c>
      <c r="R243" s="24" t="str">
        <f aca="false">IF(A243="","",COUNTIF($A$5:A243,A243))</f>
        <v/>
      </c>
      <c r="S243" s="24" t="str">
        <f aca="false">IF(A243="","",A243&amp;"|"&amp;R243)</f>
        <v/>
      </c>
    </row>
    <row r="244" customFormat="false" ht="15" hidden="false" customHeight="false" outlineLevel="0" collapsed="false">
      <c r="C244" s="0" t="str">
        <f aca="false">IF(B244="","",IF(COUNTIFS('MASTER MENU'!$A$5:$A$504,B244)=0,"BELUM ADA",INDEX('MASTER MENU'!$B$5:$B$504,MATCH(B244,'MASTER MENU'!$A$5:$A$504,0))))</f>
        <v/>
      </c>
      <c r="D244" s="0" t="str">
        <f aca="false">IF(B244="","",IF(COUNTIFS('MASTER MENU'!$A$5:$A$504,B244)=0,"BELUM ADA",INDEX('MASTER MENU'!$E$5:$E$504,MATCH(B244,'MASTER MENU'!$A$5:$A$504,0))))</f>
        <v/>
      </c>
      <c r="F244" s="0" t="str">
        <f aca="false">IF(B244="","",IF(COUNTIFS('MASTER MENU'!$A$5:$A$504,B244)=0,"BELUM ADA",INDEX('MASTER MENU'!$F$5:$F$504,MATCH(B244,'MASTER MENU'!$A$5:$A$504,0))))</f>
        <v/>
      </c>
      <c r="G244" s="0" t="str">
        <f aca="false">IF(A244="","",IF(OR(NOT(ISNUMBER(E244)),NOT(ISNUMBER(F244))),"BELUM LENGKAP",ROUND(E244*F244,0)))</f>
        <v/>
      </c>
      <c r="J244" s="0" t="str">
        <f aca="false">IF(A244="","",IF(NOT(ISNUMBER(G244)),"BELUM LENGKAP",G244-H244-I244))</f>
        <v/>
      </c>
      <c r="L244" s="0" t="str">
        <f aca="false">IF(A244="","",IF(NOT(ISNUMBER(K244)),"ISI SNAPSHOT HPP",ROUND(E244*K244,0)))</f>
        <v/>
      </c>
      <c r="M244" s="0" t="str">
        <f aca="false">IF(A244="","",IF(NOT(ISNUMBER(L244)),"BELUM LENGKAP",J244-L244))</f>
        <v/>
      </c>
      <c r="N244" s="0" t="str">
        <f aca="false">IF(B244="","",IF(COUNTIFS('RESEP DAN HPP'!$A$5:$A$504,B244,'RESEP DAN HPP'!$N$5:$N$504,"LENGKAP")=0,"BELUM LENGKAP",INDEX('RESEP DAN HPP'!$J$5:$J$504,MATCH(B244,'RESEP DAN HPP'!$A$5:$A$504,0))))</f>
        <v/>
      </c>
      <c r="P244" s="0" t="str">
        <f aca="false">IF(A244="","",IF(COUNTIFS('TRANSAKSI PENJUALAN'!$A$5:$A$504,A244)=0,"BELUM ADA",INDEX('TRANSAKSI PENJUALAN'!$B$5:$B$504,MATCH(A244,'TRANSAKSI PENJUALAN'!$A$5:$A$504,0))))</f>
        <v/>
      </c>
      <c r="Q244" s="0" t="str">
        <f aca="false">IF(A244="","",IF(COUNTIFS('TRANSAKSI PENJUALAN'!$A$5:$A$504,A244)=0,"BELUM ADA",INDEX('TRANSAKSI PENJUALAN'!$M$5:$M$504,MATCH(A244,'TRANSAKSI PENJUALAN'!$A$5:$A$504,0))))</f>
        <v/>
      </c>
      <c r="R244" s="24" t="str">
        <f aca="false">IF(A244="","",COUNTIF($A$5:A244,A244))</f>
        <v/>
      </c>
      <c r="S244" s="24" t="str">
        <f aca="false">IF(A244="","",A244&amp;"|"&amp;R244)</f>
        <v/>
      </c>
    </row>
    <row r="245" customFormat="false" ht="15" hidden="false" customHeight="false" outlineLevel="0" collapsed="false">
      <c r="C245" s="0" t="str">
        <f aca="false">IF(B245="","",IF(COUNTIFS('MASTER MENU'!$A$5:$A$504,B245)=0,"BELUM ADA",INDEX('MASTER MENU'!$B$5:$B$504,MATCH(B245,'MASTER MENU'!$A$5:$A$504,0))))</f>
        <v/>
      </c>
      <c r="D245" s="0" t="str">
        <f aca="false">IF(B245="","",IF(COUNTIFS('MASTER MENU'!$A$5:$A$504,B245)=0,"BELUM ADA",INDEX('MASTER MENU'!$E$5:$E$504,MATCH(B245,'MASTER MENU'!$A$5:$A$504,0))))</f>
        <v/>
      </c>
      <c r="F245" s="0" t="str">
        <f aca="false">IF(B245="","",IF(COUNTIFS('MASTER MENU'!$A$5:$A$504,B245)=0,"BELUM ADA",INDEX('MASTER MENU'!$F$5:$F$504,MATCH(B245,'MASTER MENU'!$A$5:$A$504,0))))</f>
        <v/>
      </c>
      <c r="G245" s="0" t="str">
        <f aca="false">IF(A245="","",IF(OR(NOT(ISNUMBER(E245)),NOT(ISNUMBER(F245))),"BELUM LENGKAP",ROUND(E245*F245,0)))</f>
        <v/>
      </c>
      <c r="J245" s="0" t="str">
        <f aca="false">IF(A245="","",IF(NOT(ISNUMBER(G245)),"BELUM LENGKAP",G245-H245-I245))</f>
        <v/>
      </c>
      <c r="L245" s="0" t="str">
        <f aca="false">IF(A245="","",IF(NOT(ISNUMBER(K245)),"ISI SNAPSHOT HPP",ROUND(E245*K245,0)))</f>
        <v/>
      </c>
      <c r="M245" s="0" t="str">
        <f aca="false">IF(A245="","",IF(NOT(ISNUMBER(L245)),"BELUM LENGKAP",J245-L245))</f>
        <v/>
      </c>
      <c r="N245" s="0" t="str">
        <f aca="false">IF(B245="","",IF(COUNTIFS('RESEP DAN HPP'!$A$5:$A$504,B245,'RESEP DAN HPP'!$N$5:$N$504,"LENGKAP")=0,"BELUM LENGKAP",INDEX('RESEP DAN HPP'!$J$5:$J$504,MATCH(B245,'RESEP DAN HPP'!$A$5:$A$504,0))))</f>
        <v/>
      </c>
      <c r="P245" s="0" t="str">
        <f aca="false">IF(A245="","",IF(COUNTIFS('TRANSAKSI PENJUALAN'!$A$5:$A$504,A245)=0,"BELUM ADA",INDEX('TRANSAKSI PENJUALAN'!$B$5:$B$504,MATCH(A245,'TRANSAKSI PENJUALAN'!$A$5:$A$504,0))))</f>
        <v/>
      </c>
      <c r="Q245" s="0" t="str">
        <f aca="false">IF(A245="","",IF(COUNTIFS('TRANSAKSI PENJUALAN'!$A$5:$A$504,A245)=0,"BELUM ADA",INDEX('TRANSAKSI PENJUALAN'!$M$5:$M$504,MATCH(A245,'TRANSAKSI PENJUALAN'!$A$5:$A$504,0))))</f>
        <v/>
      </c>
      <c r="R245" s="24" t="str">
        <f aca="false">IF(A245="","",COUNTIF($A$5:A245,A245))</f>
        <v/>
      </c>
      <c r="S245" s="24" t="str">
        <f aca="false">IF(A245="","",A245&amp;"|"&amp;R245)</f>
        <v/>
      </c>
    </row>
    <row r="246" customFormat="false" ht="15" hidden="false" customHeight="false" outlineLevel="0" collapsed="false">
      <c r="C246" s="0" t="str">
        <f aca="false">IF(B246="","",IF(COUNTIFS('MASTER MENU'!$A$5:$A$504,B246)=0,"BELUM ADA",INDEX('MASTER MENU'!$B$5:$B$504,MATCH(B246,'MASTER MENU'!$A$5:$A$504,0))))</f>
        <v/>
      </c>
      <c r="D246" s="0" t="str">
        <f aca="false">IF(B246="","",IF(COUNTIFS('MASTER MENU'!$A$5:$A$504,B246)=0,"BELUM ADA",INDEX('MASTER MENU'!$E$5:$E$504,MATCH(B246,'MASTER MENU'!$A$5:$A$504,0))))</f>
        <v/>
      </c>
      <c r="F246" s="0" t="str">
        <f aca="false">IF(B246="","",IF(COUNTIFS('MASTER MENU'!$A$5:$A$504,B246)=0,"BELUM ADA",INDEX('MASTER MENU'!$F$5:$F$504,MATCH(B246,'MASTER MENU'!$A$5:$A$504,0))))</f>
        <v/>
      </c>
      <c r="G246" s="0" t="str">
        <f aca="false">IF(A246="","",IF(OR(NOT(ISNUMBER(E246)),NOT(ISNUMBER(F246))),"BELUM LENGKAP",ROUND(E246*F246,0)))</f>
        <v/>
      </c>
      <c r="J246" s="0" t="str">
        <f aca="false">IF(A246="","",IF(NOT(ISNUMBER(G246)),"BELUM LENGKAP",G246-H246-I246))</f>
        <v/>
      </c>
      <c r="L246" s="0" t="str">
        <f aca="false">IF(A246="","",IF(NOT(ISNUMBER(K246)),"ISI SNAPSHOT HPP",ROUND(E246*K246,0)))</f>
        <v/>
      </c>
      <c r="M246" s="0" t="str">
        <f aca="false">IF(A246="","",IF(NOT(ISNUMBER(L246)),"BELUM LENGKAP",J246-L246))</f>
        <v/>
      </c>
      <c r="N246" s="0" t="str">
        <f aca="false">IF(B246="","",IF(COUNTIFS('RESEP DAN HPP'!$A$5:$A$504,B246,'RESEP DAN HPP'!$N$5:$N$504,"LENGKAP")=0,"BELUM LENGKAP",INDEX('RESEP DAN HPP'!$J$5:$J$504,MATCH(B246,'RESEP DAN HPP'!$A$5:$A$504,0))))</f>
        <v/>
      </c>
      <c r="P246" s="0" t="str">
        <f aca="false">IF(A246="","",IF(COUNTIFS('TRANSAKSI PENJUALAN'!$A$5:$A$504,A246)=0,"BELUM ADA",INDEX('TRANSAKSI PENJUALAN'!$B$5:$B$504,MATCH(A246,'TRANSAKSI PENJUALAN'!$A$5:$A$504,0))))</f>
        <v/>
      </c>
      <c r="Q246" s="0" t="str">
        <f aca="false">IF(A246="","",IF(COUNTIFS('TRANSAKSI PENJUALAN'!$A$5:$A$504,A246)=0,"BELUM ADA",INDEX('TRANSAKSI PENJUALAN'!$M$5:$M$504,MATCH(A246,'TRANSAKSI PENJUALAN'!$A$5:$A$504,0))))</f>
        <v/>
      </c>
      <c r="R246" s="24" t="str">
        <f aca="false">IF(A246="","",COUNTIF($A$5:A246,A246))</f>
        <v/>
      </c>
      <c r="S246" s="24" t="str">
        <f aca="false">IF(A246="","",A246&amp;"|"&amp;R246)</f>
        <v/>
      </c>
    </row>
    <row r="247" customFormat="false" ht="15" hidden="false" customHeight="false" outlineLevel="0" collapsed="false">
      <c r="C247" s="0" t="str">
        <f aca="false">IF(B247="","",IF(COUNTIFS('MASTER MENU'!$A$5:$A$504,B247)=0,"BELUM ADA",INDEX('MASTER MENU'!$B$5:$B$504,MATCH(B247,'MASTER MENU'!$A$5:$A$504,0))))</f>
        <v/>
      </c>
      <c r="D247" s="0" t="str">
        <f aca="false">IF(B247="","",IF(COUNTIFS('MASTER MENU'!$A$5:$A$504,B247)=0,"BELUM ADA",INDEX('MASTER MENU'!$E$5:$E$504,MATCH(B247,'MASTER MENU'!$A$5:$A$504,0))))</f>
        <v/>
      </c>
      <c r="F247" s="0" t="str">
        <f aca="false">IF(B247="","",IF(COUNTIFS('MASTER MENU'!$A$5:$A$504,B247)=0,"BELUM ADA",INDEX('MASTER MENU'!$F$5:$F$504,MATCH(B247,'MASTER MENU'!$A$5:$A$504,0))))</f>
        <v/>
      </c>
      <c r="G247" s="0" t="str">
        <f aca="false">IF(A247="","",IF(OR(NOT(ISNUMBER(E247)),NOT(ISNUMBER(F247))),"BELUM LENGKAP",ROUND(E247*F247,0)))</f>
        <v/>
      </c>
      <c r="J247" s="0" t="str">
        <f aca="false">IF(A247="","",IF(NOT(ISNUMBER(G247)),"BELUM LENGKAP",G247-H247-I247))</f>
        <v/>
      </c>
      <c r="L247" s="0" t="str">
        <f aca="false">IF(A247="","",IF(NOT(ISNUMBER(K247)),"ISI SNAPSHOT HPP",ROUND(E247*K247,0)))</f>
        <v/>
      </c>
      <c r="M247" s="0" t="str">
        <f aca="false">IF(A247="","",IF(NOT(ISNUMBER(L247)),"BELUM LENGKAP",J247-L247))</f>
        <v/>
      </c>
      <c r="N247" s="0" t="str">
        <f aca="false">IF(B247="","",IF(COUNTIFS('RESEP DAN HPP'!$A$5:$A$504,B247,'RESEP DAN HPP'!$N$5:$N$504,"LENGKAP")=0,"BELUM LENGKAP",INDEX('RESEP DAN HPP'!$J$5:$J$504,MATCH(B247,'RESEP DAN HPP'!$A$5:$A$504,0))))</f>
        <v/>
      </c>
      <c r="P247" s="0" t="str">
        <f aca="false">IF(A247="","",IF(COUNTIFS('TRANSAKSI PENJUALAN'!$A$5:$A$504,A247)=0,"BELUM ADA",INDEX('TRANSAKSI PENJUALAN'!$B$5:$B$504,MATCH(A247,'TRANSAKSI PENJUALAN'!$A$5:$A$504,0))))</f>
        <v/>
      </c>
      <c r="Q247" s="0" t="str">
        <f aca="false">IF(A247="","",IF(COUNTIFS('TRANSAKSI PENJUALAN'!$A$5:$A$504,A247)=0,"BELUM ADA",INDEX('TRANSAKSI PENJUALAN'!$M$5:$M$504,MATCH(A247,'TRANSAKSI PENJUALAN'!$A$5:$A$504,0))))</f>
        <v/>
      </c>
      <c r="R247" s="24" t="str">
        <f aca="false">IF(A247="","",COUNTIF($A$5:A247,A247))</f>
        <v/>
      </c>
      <c r="S247" s="24" t="str">
        <f aca="false">IF(A247="","",A247&amp;"|"&amp;R247)</f>
        <v/>
      </c>
    </row>
    <row r="248" customFormat="false" ht="15" hidden="false" customHeight="false" outlineLevel="0" collapsed="false">
      <c r="C248" s="0" t="str">
        <f aca="false">IF(B248="","",IF(COUNTIFS('MASTER MENU'!$A$5:$A$504,B248)=0,"BELUM ADA",INDEX('MASTER MENU'!$B$5:$B$504,MATCH(B248,'MASTER MENU'!$A$5:$A$504,0))))</f>
        <v/>
      </c>
      <c r="D248" s="0" t="str">
        <f aca="false">IF(B248="","",IF(COUNTIFS('MASTER MENU'!$A$5:$A$504,B248)=0,"BELUM ADA",INDEX('MASTER MENU'!$E$5:$E$504,MATCH(B248,'MASTER MENU'!$A$5:$A$504,0))))</f>
        <v/>
      </c>
      <c r="F248" s="0" t="str">
        <f aca="false">IF(B248="","",IF(COUNTIFS('MASTER MENU'!$A$5:$A$504,B248)=0,"BELUM ADA",INDEX('MASTER MENU'!$F$5:$F$504,MATCH(B248,'MASTER MENU'!$A$5:$A$504,0))))</f>
        <v/>
      </c>
      <c r="G248" s="0" t="str">
        <f aca="false">IF(A248="","",IF(OR(NOT(ISNUMBER(E248)),NOT(ISNUMBER(F248))),"BELUM LENGKAP",ROUND(E248*F248,0)))</f>
        <v/>
      </c>
      <c r="J248" s="0" t="str">
        <f aca="false">IF(A248="","",IF(NOT(ISNUMBER(G248)),"BELUM LENGKAP",G248-H248-I248))</f>
        <v/>
      </c>
      <c r="L248" s="0" t="str">
        <f aca="false">IF(A248="","",IF(NOT(ISNUMBER(K248)),"ISI SNAPSHOT HPP",ROUND(E248*K248,0)))</f>
        <v/>
      </c>
      <c r="M248" s="0" t="str">
        <f aca="false">IF(A248="","",IF(NOT(ISNUMBER(L248)),"BELUM LENGKAP",J248-L248))</f>
        <v/>
      </c>
      <c r="N248" s="0" t="str">
        <f aca="false">IF(B248="","",IF(COUNTIFS('RESEP DAN HPP'!$A$5:$A$504,B248,'RESEP DAN HPP'!$N$5:$N$504,"LENGKAP")=0,"BELUM LENGKAP",INDEX('RESEP DAN HPP'!$J$5:$J$504,MATCH(B248,'RESEP DAN HPP'!$A$5:$A$504,0))))</f>
        <v/>
      </c>
      <c r="P248" s="0" t="str">
        <f aca="false">IF(A248="","",IF(COUNTIFS('TRANSAKSI PENJUALAN'!$A$5:$A$504,A248)=0,"BELUM ADA",INDEX('TRANSAKSI PENJUALAN'!$B$5:$B$504,MATCH(A248,'TRANSAKSI PENJUALAN'!$A$5:$A$504,0))))</f>
        <v/>
      </c>
      <c r="Q248" s="0" t="str">
        <f aca="false">IF(A248="","",IF(COUNTIFS('TRANSAKSI PENJUALAN'!$A$5:$A$504,A248)=0,"BELUM ADA",INDEX('TRANSAKSI PENJUALAN'!$M$5:$M$504,MATCH(A248,'TRANSAKSI PENJUALAN'!$A$5:$A$504,0))))</f>
        <v/>
      </c>
      <c r="R248" s="24" t="str">
        <f aca="false">IF(A248="","",COUNTIF($A$5:A248,A248))</f>
        <v/>
      </c>
      <c r="S248" s="24" t="str">
        <f aca="false">IF(A248="","",A248&amp;"|"&amp;R248)</f>
        <v/>
      </c>
    </row>
    <row r="249" customFormat="false" ht="15" hidden="false" customHeight="false" outlineLevel="0" collapsed="false">
      <c r="C249" s="0" t="str">
        <f aca="false">IF(B249="","",IF(COUNTIFS('MASTER MENU'!$A$5:$A$504,B249)=0,"BELUM ADA",INDEX('MASTER MENU'!$B$5:$B$504,MATCH(B249,'MASTER MENU'!$A$5:$A$504,0))))</f>
        <v/>
      </c>
      <c r="D249" s="0" t="str">
        <f aca="false">IF(B249="","",IF(COUNTIFS('MASTER MENU'!$A$5:$A$504,B249)=0,"BELUM ADA",INDEX('MASTER MENU'!$E$5:$E$504,MATCH(B249,'MASTER MENU'!$A$5:$A$504,0))))</f>
        <v/>
      </c>
      <c r="F249" s="0" t="str">
        <f aca="false">IF(B249="","",IF(COUNTIFS('MASTER MENU'!$A$5:$A$504,B249)=0,"BELUM ADA",INDEX('MASTER MENU'!$F$5:$F$504,MATCH(B249,'MASTER MENU'!$A$5:$A$504,0))))</f>
        <v/>
      </c>
      <c r="G249" s="0" t="str">
        <f aca="false">IF(A249="","",IF(OR(NOT(ISNUMBER(E249)),NOT(ISNUMBER(F249))),"BELUM LENGKAP",ROUND(E249*F249,0)))</f>
        <v/>
      </c>
      <c r="J249" s="0" t="str">
        <f aca="false">IF(A249="","",IF(NOT(ISNUMBER(G249)),"BELUM LENGKAP",G249-H249-I249))</f>
        <v/>
      </c>
      <c r="L249" s="0" t="str">
        <f aca="false">IF(A249="","",IF(NOT(ISNUMBER(K249)),"ISI SNAPSHOT HPP",ROUND(E249*K249,0)))</f>
        <v/>
      </c>
      <c r="M249" s="0" t="str">
        <f aca="false">IF(A249="","",IF(NOT(ISNUMBER(L249)),"BELUM LENGKAP",J249-L249))</f>
        <v/>
      </c>
      <c r="N249" s="0" t="str">
        <f aca="false">IF(B249="","",IF(COUNTIFS('RESEP DAN HPP'!$A$5:$A$504,B249,'RESEP DAN HPP'!$N$5:$N$504,"LENGKAP")=0,"BELUM LENGKAP",INDEX('RESEP DAN HPP'!$J$5:$J$504,MATCH(B249,'RESEP DAN HPP'!$A$5:$A$504,0))))</f>
        <v/>
      </c>
      <c r="P249" s="0" t="str">
        <f aca="false">IF(A249="","",IF(COUNTIFS('TRANSAKSI PENJUALAN'!$A$5:$A$504,A249)=0,"BELUM ADA",INDEX('TRANSAKSI PENJUALAN'!$B$5:$B$504,MATCH(A249,'TRANSAKSI PENJUALAN'!$A$5:$A$504,0))))</f>
        <v/>
      </c>
      <c r="Q249" s="0" t="str">
        <f aca="false">IF(A249="","",IF(COUNTIFS('TRANSAKSI PENJUALAN'!$A$5:$A$504,A249)=0,"BELUM ADA",INDEX('TRANSAKSI PENJUALAN'!$M$5:$M$504,MATCH(A249,'TRANSAKSI PENJUALAN'!$A$5:$A$504,0))))</f>
        <v/>
      </c>
      <c r="R249" s="24" t="str">
        <f aca="false">IF(A249="","",COUNTIF($A$5:A249,A249))</f>
        <v/>
      </c>
      <c r="S249" s="24" t="str">
        <f aca="false">IF(A249="","",A249&amp;"|"&amp;R249)</f>
        <v/>
      </c>
    </row>
    <row r="250" customFormat="false" ht="15" hidden="false" customHeight="false" outlineLevel="0" collapsed="false">
      <c r="C250" s="0" t="str">
        <f aca="false">IF(B250="","",IF(COUNTIFS('MASTER MENU'!$A$5:$A$504,B250)=0,"BELUM ADA",INDEX('MASTER MENU'!$B$5:$B$504,MATCH(B250,'MASTER MENU'!$A$5:$A$504,0))))</f>
        <v/>
      </c>
      <c r="D250" s="0" t="str">
        <f aca="false">IF(B250="","",IF(COUNTIFS('MASTER MENU'!$A$5:$A$504,B250)=0,"BELUM ADA",INDEX('MASTER MENU'!$E$5:$E$504,MATCH(B250,'MASTER MENU'!$A$5:$A$504,0))))</f>
        <v/>
      </c>
      <c r="F250" s="0" t="str">
        <f aca="false">IF(B250="","",IF(COUNTIFS('MASTER MENU'!$A$5:$A$504,B250)=0,"BELUM ADA",INDEX('MASTER MENU'!$F$5:$F$504,MATCH(B250,'MASTER MENU'!$A$5:$A$504,0))))</f>
        <v/>
      </c>
      <c r="G250" s="0" t="str">
        <f aca="false">IF(A250="","",IF(OR(NOT(ISNUMBER(E250)),NOT(ISNUMBER(F250))),"BELUM LENGKAP",ROUND(E250*F250,0)))</f>
        <v/>
      </c>
      <c r="J250" s="0" t="str">
        <f aca="false">IF(A250="","",IF(NOT(ISNUMBER(G250)),"BELUM LENGKAP",G250-H250-I250))</f>
        <v/>
      </c>
      <c r="L250" s="0" t="str">
        <f aca="false">IF(A250="","",IF(NOT(ISNUMBER(K250)),"ISI SNAPSHOT HPP",ROUND(E250*K250,0)))</f>
        <v/>
      </c>
      <c r="M250" s="0" t="str">
        <f aca="false">IF(A250="","",IF(NOT(ISNUMBER(L250)),"BELUM LENGKAP",J250-L250))</f>
        <v/>
      </c>
      <c r="N250" s="0" t="str">
        <f aca="false">IF(B250="","",IF(COUNTIFS('RESEP DAN HPP'!$A$5:$A$504,B250,'RESEP DAN HPP'!$N$5:$N$504,"LENGKAP")=0,"BELUM LENGKAP",INDEX('RESEP DAN HPP'!$J$5:$J$504,MATCH(B250,'RESEP DAN HPP'!$A$5:$A$504,0))))</f>
        <v/>
      </c>
      <c r="P250" s="0" t="str">
        <f aca="false">IF(A250="","",IF(COUNTIFS('TRANSAKSI PENJUALAN'!$A$5:$A$504,A250)=0,"BELUM ADA",INDEX('TRANSAKSI PENJUALAN'!$B$5:$B$504,MATCH(A250,'TRANSAKSI PENJUALAN'!$A$5:$A$504,0))))</f>
        <v/>
      </c>
      <c r="Q250" s="0" t="str">
        <f aca="false">IF(A250="","",IF(COUNTIFS('TRANSAKSI PENJUALAN'!$A$5:$A$504,A250)=0,"BELUM ADA",INDEX('TRANSAKSI PENJUALAN'!$M$5:$M$504,MATCH(A250,'TRANSAKSI PENJUALAN'!$A$5:$A$504,0))))</f>
        <v/>
      </c>
      <c r="R250" s="24" t="str">
        <f aca="false">IF(A250="","",COUNTIF($A$5:A250,A250))</f>
        <v/>
      </c>
      <c r="S250" s="24" t="str">
        <f aca="false">IF(A250="","",A250&amp;"|"&amp;R250)</f>
        <v/>
      </c>
    </row>
    <row r="251" customFormat="false" ht="15" hidden="false" customHeight="false" outlineLevel="0" collapsed="false">
      <c r="C251" s="0" t="str">
        <f aca="false">IF(B251="","",IF(COUNTIFS('MASTER MENU'!$A$5:$A$504,B251)=0,"BELUM ADA",INDEX('MASTER MENU'!$B$5:$B$504,MATCH(B251,'MASTER MENU'!$A$5:$A$504,0))))</f>
        <v/>
      </c>
      <c r="D251" s="0" t="str">
        <f aca="false">IF(B251="","",IF(COUNTIFS('MASTER MENU'!$A$5:$A$504,B251)=0,"BELUM ADA",INDEX('MASTER MENU'!$E$5:$E$504,MATCH(B251,'MASTER MENU'!$A$5:$A$504,0))))</f>
        <v/>
      </c>
      <c r="F251" s="0" t="str">
        <f aca="false">IF(B251="","",IF(COUNTIFS('MASTER MENU'!$A$5:$A$504,B251)=0,"BELUM ADA",INDEX('MASTER MENU'!$F$5:$F$504,MATCH(B251,'MASTER MENU'!$A$5:$A$504,0))))</f>
        <v/>
      </c>
      <c r="G251" s="0" t="str">
        <f aca="false">IF(A251="","",IF(OR(NOT(ISNUMBER(E251)),NOT(ISNUMBER(F251))),"BELUM LENGKAP",ROUND(E251*F251,0)))</f>
        <v/>
      </c>
      <c r="J251" s="0" t="str">
        <f aca="false">IF(A251="","",IF(NOT(ISNUMBER(G251)),"BELUM LENGKAP",G251-H251-I251))</f>
        <v/>
      </c>
      <c r="L251" s="0" t="str">
        <f aca="false">IF(A251="","",IF(NOT(ISNUMBER(K251)),"ISI SNAPSHOT HPP",ROUND(E251*K251,0)))</f>
        <v/>
      </c>
      <c r="M251" s="0" t="str">
        <f aca="false">IF(A251="","",IF(NOT(ISNUMBER(L251)),"BELUM LENGKAP",J251-L251))</f>
        <v/>
      </c>
      <c r="N251" s="0" t="str">
        <f aca="false">IF(B251="","",IF(COUNTIFS('RESEP DAN HPP'!$A$5:$A$504,B251,'RESEP DAN HPP'!$N$5:$N$504,"LENGKAP")=0,"BELUM LENGKAP",INDEX('RESEP DAN HPP'!$J$5:$J$504,MATCH(B251,'RESEP DAN HPP'!$A$5:$A$504,0))))</f>
        <v/>
      </c>
      <c r="P251" s="0" t="str">
        <f aca="false">IF(A251="","",IF(COUNTIFS('TRANSAKSI PENJUALAN'!$A$5:$A$504,A251)=0,"BELUM ADA",INDEX('TRANSAKSI PENJUALAN'!$B$5:$B$504,MATCH(A251,'TRANSAKSI PENJUALAN'!$A$5:$A$504,0))))</f>
        <v/>
      </c>
      <c r="Q251" s="0" t="str">
        <f aca="false">IF(A251="","",IF(COUNTIFS('TRANSAKSI PENJUALAN'!$A$5:$A$504,A251)=0,"BELUM ADA",INDEX('TRANSAKSI PENJUALAN'!$M$5:$M$504,MATCH(A251,'TRANSAKSI PENJUALAN'!$A$5:$A$504,0))))</f>
        <v/>
      </c>
      <c r="R251" s="24" t="str">
        <f aca="false">IF(A251="","",COUNTIF($A$5:A251,A251))</f>
        <v/>
      </c>
      <c r="S251" s="24" t="str">
        <f aca="false">IF(A251="","",A251&amp;"|"&amp;R251)</f>
        <v/>
      </c>
    </row>
    <row r="252" customFormat="false" ht="15" hidden="false" customHeight="false" outlineLevel="0" collapsed="false">
      <c r="C252" s="0" t="str">
        <f aca="false">IF(B252="","",IF(COUNTIFS('MASTER MENU'!$A$5:$A$504,B252)=0,"BELUM ADA",INDEX('MASTER MENU'!$B$5:$B$504,MATCH(B252,'MASTER MENU'!$A$5:$A$504,0))))</f>
        <v/>
      </c>
      <c r="D252" s="0" t="str">
        <f aca="false">IF(B252="","",IF(COUNTIFS('MASTER MENU'!$A$5:$A$504,B252)=0,"BELUM ADA",INDEX('MASTER MENU'!$E$5:$E$504,MATCH(B252,'MASTER MENU'!$A$5:$A$504,0))))</f>
        <v/>
      </c>
      <c r="F252" s="0" t="str">
        <f aca="false">IF(B252="","",IF(COUNTIFS('MASTER MENU'!$A$5:$A$504,B252)=0,"BELUM ADA",INDEX('MASTER MENU'!$F$5:$F$504,MATCH(B252,'MASTER MENU'!$A$5:$A$504,0))))</f>
        <v/>
      </c>
      <c r="G252" s="0" t="str">
        <f aca="false">IF(A252="","",IF(OR(NOT(ISNUMBER(E252)),NOT(ISNUMBER(F252))),"BELUM LENGKAP",ROUND(E252*F252,0)))</f>
        <v/>
      </c>
      <c r="J252" s="0" t="str">
        <f aca="false">IF(A252="","",IF(NOT(ISNUMBER(G252)),"BELUM LENGKAP",G252-H252-I252))</f>
        <v/>
      </c>
      <c r="L252" s="0" t="str">
        <f aca="false">IF(A252="","",IF(NOT(ISNUMBER(K252)),"ISI SNAPSHOT HPP",ROUND(E252*K252,0)))</f>
        <v/>
      </c>
      <c r="M252" s="0" t="str">
        <f aca="false">IF(A252="","",IF(NOT(ISNUMBER(L252)),"BELUM LENGKAP",J252-L252))</f>
        <v/>
      </c>
      <c r="N252" s="0" t="str">
        <f aca="false">IF(B252="","",IF(COUNTIFS('RESEP DAN HPP'!$A$5:$A$504,B252,'RESEP DAN HPP'!$N$5:$N$504,"LENGKAP")=0,"BELUM LENGKAP",INDEX('RESEP DAN HPP'!$J$5:$J$504,MATCH(B252,'RESEP DAN HPP'!$A$5:$A$504,0))))</f>
        <v/>
      </c>
      <c r="P252" s="0" t="str">
        <f aca="false">IF(A252="","",IF(COUNTIFS('TRANSAKSI PENJUALAN'!$A$5:$A$504,A252)=0,"BELUM ADA",INDEX('TRANSAKSI PENJUALAN'!$B$5:$B$504,MATCH(A252,'TRANSAKSI PENJUALAN'!$A$5:$A$504,0))))</f>
        <v/>
      </c>
      <c r="Q252" s="0" t="str">
        <f aca="false">IF(A252="","",IF(COUNTIFS('TRANSAKSI PENJUALAN'!$A$5:$A$504,A252)=0,"BELUM ADA",INDEX('TRANSAKSI PENJUALAN'!$M$5:$M$504,MATCH(A252,'TRANSAKSI PENJUALAN'!$A$5:$A$504,0))))</f>
        <v/>
      </c>
      <c r="R252" s="24" t="str">
        <f aca="false">IF(A252="","",COUNTIF($A$5:A252,A252))</f>
        <v/>
      </c>
      <c r="S252" s="24" t="str">
        <f aca="false">IF(A252="","",A252&amp;"|"&amp;R252)</f>
        <v/>
      </c>
    </row>
    <row r="253" customFormat="false" ht="15" hidden="false" customHeight="false" outlineLevel="0" collapsed="false">
      <c r="C253" s="0" t="str">
        <f aca="false">IF(B253="","",IF(COUNTIFS('MASTER MENU'!$A$5:$A$504,B253)=0,"BELUM ADA",INDEX('MASTER MENU'!$B$5:$B$504,MATCH(B253,'MASTER MENU'!$A$5:$A$504,0))))</f>
        <v/>
      </c>
      <c r="D253" s="0" t="str">
        <f aca="false">IF(B253="","",IF(COUNTIFS('MASTER MENU'!$A$5:$A$504,B253)=0,"BELUM ADA",INDEX('MASTER MENU'!$E$5:$E$504,MATCH(B253,'MASTER MENU'!$A$5:$A$504,0))))</f>
        <v/>
      </c>
      <c r="F253" s="0" t="str">
        <f aca="false">IF(B253="","",IF(COUNTIFS('MASTER MENU'!$A$5:$A$504,B253)=0,"BELUM ADA",INDEX('MASTER MENU'!$F$5:$F$504,MATCH(B253,'MASTER MENU'!$A$5:$A$504,0))))</f>
        <v/>
      </c>
      <c r="G253" s="0" t="str">
        <f aca="false">IF(A253="","",IF(OR(NOT(ISNUMBER(E253)),NOT(ISNUMBER(F253))),"BELUM LENGKAP",ROUND(E253*F253,0)))</f>
        <v/>
      </c>
      <c r="J253" s="0" t="str">
        <f aca="false">IF(A253="","",IF(NOT(ISNUMBER(G253)),"BELUM LENGKAP",G253-H253-I253))</f>
        <v/>
      </c>
      <c r="L253" s="0" t="str">
        <f aca="false">IF(A253="","",IF(NOT(ISNUMBER(K253)),"ISI SNAPSHOT HPP",ROUND(E253*K253,0)))</f>
        <v/>
      </c>
      <c r="M253" s="0" t="str">
        <f aca="false">IF(A253="","",IF(NOT(ISNUMBER(L253)),"BELUM LENGKAP",J253-L253))</f>
        <v/>
      </c>
      <c r="N253" s="0" t="str">
        <f aca="false">IF(B253="","",IF(COUNTIFS('RESEP DAN HPP'!$A$5:$A$504,B253,'RESEP DAN HPP'!$N$5:$N$504,"LENGKAP")=0,"BELUM LENGKAP",INDEX('RESEP DAN HPP'!$J$5:$J$504,MATCH(B253,'RESEP DAN HPP'!$A$5:$A$504,0))))</f>
        <v/>
      </c>
      <c r="P253" s="0" t="str">
        <f aca="false">IF(A253="","",IF(COUNTIFS('TRANSAKSI PENJUALAN'!$A$5:$A$504,A253)=0,"BELUM ADA",INDEX('TRANSAKSI PENJUALAN'!$B$5:$B$504,MATCH(A253,'TRANSAKSI PENJUALAN'!$A$5:$A$504,0))))</f>
        <v/>
      </c>
      <c r="Q253" s="0" t="str">
        <f aca="false">IF(A253="","",IF(COUNTIFS('TRANSAKSI PENJUALAN'!$A$5:$A$504,A253)=0,"BELUM ADA",INDEX('TRANSAKSI PENJUALAN'!$M$5:$M$504,MATCH(A253,'TRANSAKSI PENJUALAN'!$A$5:$A$504,0))))</f>
        <v/>
      </c>
      <c r="R253" s="24" t="str">
        <f aca="false">IF(A253="","",COUNTIF($A$5:A253,A253))</f>
        <v/>
      </c>
      <c r="S253" s="24" t="str">
        <f aca="false">IF(A253="","",A253&amp;"|"&amp;R253)</f>
        <v/>
      </c>
    </row>
    <row r="254" customFormat="false" ht="15" hidden="false" customHeight="false" outlineLevel="0" collapsed="false">
      <c r="C254" s="0" t="str">
        <f aca="false">IF(B254="","",IF(COUNTIFS('MASTER MENU'!$A$5:$A$504,B254)=0,"BELUM ADA",INDEX('MASTER MENU'!$B$5:$B$504,MATCH(B254,'MASTER MENU'!$A$5:$A$504,0))))</f>
        <v/>
      </c>
      <c r="D254" s="0" t="str">
        <f aca="false">IF(B254="","",IF(COUNTIFS('MASTER MENU'!$A$5:$A$504,B254)=0,"BELUM ADA",INDEX('MASTER MENU'!$E$5:$E$504,MATCH(B254,'MASTER MENU'!$A$5:$A$504,0))))</f>
        <v/>
      </c>
      <c r="F254" s="0" t="str">
        <f aca="false">IF(B254="","",IF(COUNTIFS('MASTER MENU'!$A$5:$A$504,B254)=0,"BELUM ADA",INDEX('MASTER MENU'!$F$5:$F$504,MATCH(B254,'MASTER MENU'!$A$5:$A$504,0))))</f>
        <v/>
      </c>
      <c r="G254" s="0" t="str">
        <f aca="false">IF(A254="","",IF(OR(NOT(ISNUMBER(E254)),NOT(ISNUMBER(F254))),"BELUM LENGKAP",ROUND(E254*F254,0)))</f>
        <v/>
      </c>
      <c r="J254" s="0" t="str">
        <f aca="false">IF(A254="","",IF(NOT(ISNUMBER(G254)),"BELUM LENGKAP",G254-H254-I254))</f>
        <v/>
      </c>
      <c r="L254" s="0" t="str">
        <f aca="false">IF(A254="","",IF(NOT(ISNUMBER(K254)),"ISI SNAPSHOT HPP",ROUND(E254*K254,0)))</f>
        <v/>
      </c>
      <c r="M254" s="0" t="str">
        <f aca="false">IF(A254="","",IF(NOT(ISNUMBER(L254)),"BELUM LENGKAP",J254-L254))</f>
        <v/>
      </c>
      <c r="N254" s="0" t="str">
        <f aca="false">IF(B254="","",IF(COUNTIFS('RESEP DAN HPP'!$A$5:$A$504,B254,'RESEP DAN HPP'!$N$5:$N$504,"LENGKAP")=0,"BELUM LENGKAP",INDEX('RESEP DAN HPP'!$J$5:$J$504,MATCH(B254,'RESEP DAN HPP'!$A$5:$A$504,0))))</f>
        <v/>
      </c>
      <c r="P254" s="0" t="str">
        <f aca="false">IF(A254="","",IF(COUNTIFS('TRANSAKSI PENJUALAN'!$A$5:$A$504,A254)=0,"BELUM ADA",INDEX('TRANSAKSI PENJUALAN'!$B$5:$B$504,MATCH(A254,'TRANSAKSI PENJUALAN'!$A$5:$A$504,0))))</f>
        <v/>
      </c>
      <c r="Q254" s="0" t="str">
        <f aca="false">IF(A254="","",IF(COUNTIFS('TRANSAKSI PENJUALAN'!$A$5:$A$504,A254)=0,"BELUM ADA",INDEX('TRANSAKSI PENJUALAN'!$M$5:$M$504,MATCH(A254,'TRANSAKSI PENJUALAN'!$A$5:$A$504,0))))</f>
        <v/>
      </c>
      <c r="R254" s="24" t="str">
        <f aca="false">IF(A254="","",COUNTIF($A$5:A254,A254))</f>
        <v/>
      </c>
      <c r="S254" s="24" t="str">
        <f aca="false">IF(A254="","",A254&amp;"|"&amp;R254)</f>
        <v/>
      </c>
    </row>
    <row r="255" customFormat="false" ht="15" hidden="false" customHeight="false" outlineLevel="0" collapsed="false">
      <c r="C255" s="0" t="str">
        <f aca="false">IF(B255="","",IF(COUNTIFS('MASTER MENU'!$A$5:$A$504,B255)=0,"BELUM ADA",INDEX('MASTER MENU'!$B$5:$B$504,MATCH(B255,'MASTER MENU'!$A$5:$A$504,0))))</f>
        <v/>
      </c>
      <c r="D255" s="0" t="str">
        <f aca="false">IF(B255="","",IF(COUNTIFS('MASTER MENU'!$A$5:$A$504,B255)=0,"BELUM ADA",INDEX('MASTER MENU'!$E$5:$E$504,MATCH(B255,'MASTER MENU'!$A$5:$A$504,0))))</f>
        <v/>
      </c>
      <c r="F255" s="0" t="str">
        <f aca="false">IF(B255="","",IF(COUNTIFS('MASTER MENU'!$A$5:$A$504,B255)=0,"BELUM ADA",INDEX('MASTER MENU'!$F$5:$F$504,MATCH(B255,'MASTER MENU'!$A$5:$A$504,0))))</f>
        <v/>
      </c>
      <c r="G255" s="0" t="str">
        <f aca="false">IF(A255="","",IF(OR(NOT(ISNUMBER(E255)),NOT(ISNUMBER(F255))),"BELUM LENGKAP",ROUND(E255*F255,0)))</f>
        <v/>
      </c>
      <c r="J255" s="0" t="str">
        <f aca="false">IF(A255="","",IF(NOT(ISNUMBER(G255)),"BELUM LENGKAP",G255-H255-I255))</f>
        <v/>
      </c>
      <c r="L255" s="0" t="str">
        <f aca="false">IF(A255="","",IF(NOT(ISNUMBER(K255)),"ISI SNAPSHOT HPP",ROUND(E255*K255,0)))</f>
        <v/>
      </c>
      <c r="M255" s="0" t="str">
        <f aca="false">IF(A255="","",IF(NOT(ISNUMBER(L255)),"BELUM LENGKAP",J255-L255))</f>
        <v/>
      </c>
      <c r="N255" s="0" t="str">
        <f aca="false">IF(B255="","",IF(COUNTIFS('RESEP DAN HPP'!$A$5:$A$504,B255,'RESEP DAN HPP'!$N$5:$N$504,"LENGKAP")=0,"BELUM LENGKAP",INDEX('RESEP DAN HPP'!$J$5:$J$504,MATCH(B255,'RESEP DAN HPP'!$A$5:$A$504,0))))</f>
        <v/>
      </c>
      <c r="P255" s="0" t="str">
        <f aca="false">IF(A255="","",IF(COUNTIFS('TRANSAKSI PENJUALAN'!$A$5:$A$504,A255)=0,"BELUM ADA",INDEX('TRANSAKSI PENJUALAN'!$B$5:$B$504,MATCH(A255,'TRANSAKSI PENJUALAN'!$A$5:$A$504,0))))</f>
        <v/>
      </c>
      <c r="Q255" s="0" t="str">
        <f aca="false">IF(A255="","",IF(COUNTIFS('TRANSAKSI PENJUALAN'!$A$5:$A$504,A255)=0,"BELUM ADA",INDEX('TRANSAKSI PENJUALAN'!$M$5:$M$504,MATCH(A255,'TRANSAKSI PENJUALAN'!$A$5:$A$504,0))))</f>
        <v/>
      </c>
      <c r="R255" s="24" t="str">
        <f aca="false">IF(A255="","",COUNTIF($A$5:A255,A255))</f>
        <v/>
      </c>
      <c r="S255" s="24" t="str">
        <f aca="false">IF(A255="","",A255&amp;"|"&amp;R255)</f>
        <v/>
      </c>
    </row>
    <row r="256" customFormat="false" ht="15" hidden="false" customHeight="false" outlineLevel="0" collapsed="false">
      <c r="C256" s="0" t="str">
        <f aca="false">IF(B256="","",IF(COUNTIFS('MASTER MENU'!$A$5:$A$504,B256)=0,"BELUM ADA",INDEX('MASTER MENU'!$B$5:$B$504,MATCH(B256,'MASTER MENU'!$A$5:$A$504,0))))</f>
        <v/>
      </c>
      <c r="D256" s="0" t="str">
        <f aca="false">IF(B256="","",IF(COUNTIFS('MASTER MENU'!$A$5:$A$504,B256)=0,"BELUM ADA",INDEX('MASTER MENU'!$E$5:$E$504,MATCH(B256,'MASTER MENU'!$A$5:$A$504,0))))</f>
        <v/>
      </c>
      <c r="F256" s="0" t="str">
        <f aca="false">IF(B256="","",IF(COUNTIFS('MASTER MENU'!$A$5:$A$504,B256)=0,"BELUM ADA",INDEX('MASTER MENU'!$F$5:$F$504,MATCH(B256,'MASTER MENU'!$A$5:$A$504,0))))</f>
        <v/>
      </c>
      <c r="G256" s="0" t="str">
        <f aca="false">IF(A256="","",IF(OR(NOT(ISNUMBER(E256)),NOT(ISNUMBER(F256))),"BELUM LENGKAP",ROUND(E256*F256,0)))</f>
        <v/>
      </c>
      <c r="J256" s="0" t="str">
        <f aca="false">IF(A256="","",IF(NOT(ISNUMBER(G256)),"BELUM LENGKAP",G256-H256-I256))</f>
        <v/>
      </c>
      <c r="L256" s="0" t="str">
        <f aca="false">IF(A256="","",IF(NOT(ISNUMBER(K256)),"ISI SNAPSHOT HPP",ROUND(E256*K256,0)))</f>
        <v/>
      </c>
      <c r="M256" s="0" t="str">
        <f aca="false">IF(A256="","",IF(NOT(ISNUMBER(L256)),"BELUM LENGKAP",J256-L256))</f>
        <v/>
      </c>
      <c r="N256" s="0" t="str">
        <f aca="false">IF(B256="","",IF(COUNTIFS('RESEP DAN HPP'!$A$5:$A$504,B256,'RESEP DAN HPP'!$N$5:$N$504,"LENGKAP")=0,"BELUM LENGKAP",INDEX('RESEP DAN HPP'!$J$5:$J$504,MATCH(B256,'RESEP DAN HPP'!$A$5:$A$504,0))))</f>
        <v/>
      </c>
      <c r="P256" s="0" t="str">
        <f aca="false">IF(A256="","",IF(COUNTIFS('TRANSAKSI PENJUALAN'!$A$5:$A$504,A256)=0,"BELUM ADA",INDEX('TRANSAKSI PENJUALAN'!$B$5:$B$504,MATCH(A256,'TRANSAKSI PENJUALAN'!$A$5:$A$504,0))))</f>
        <v/>
      </c>
      <c r="Q256" s="0" t="str">
        <f aca="false">IF(A256="","",IF(COUNTIFS('TRANSAKSI PENJUALAN'!$A$5:$A$504,A256)=0,"BELUM ADA",INDEX('TRANSAKSI PENJUALAN'!$M$5:$M$504,MATCH(A256,'TRANSAKSI PENJUALAN'!$A$5:$A$504,0))))</f>
        <v/>
      </c>
      <c r="R256" s="24" t="str">
        <f aca="false">IF(A256="","",COUNTIF($A$5:A256,A256))</f>
        <v/>
      </c>
      <c r="S256" s="24" t="str">
        <f aca="false">IF(A256="","",A256&amp;"|"&amp;R256)</f>
        <v/>
      </c>
    </row>
    <row r="257" customFormat="false" ht="15" hidden="false" customHeight="false" outlineLevel="0" collapsed="false">
      <c r="C257" s="0" t="str">
        <f aca="false">IF(B257="","",IF(COUNTIFS('MASTER MENU'!$A$5:$A$504,B257)=0,"BELUM ADA",INDEX('MASTER MENU'!$B$5:$B$504,MATCH(B257,'MASTER MENU'!$A$5:$A$504,0))))</f>
        <v/>
      </c>
      <c r="D257" s="0" t="str">
        <f aca="false">IF(B257="","",IF(COUNTIFS('MASTER MENU'!$A$5:$A$504,B257)=0,"BELUM ADA",INDEX('MASTER MENU'!$E$5:$E$504,MATCH(B257,'MASTER MENU'!$A$5:$A$504,0))))</f>
        <v/>
      </c>
      <c r="F257" s="0" t="str">
        <f aca="false">IF(B257="","",IF(COUNTIFS('MASTER MENU'!$A$5:$A$504,B257)=0,"BELUM ADA",INDEX('MASTER MENU'!$F$5:$F$504,MATCH(B257,'MASTER MENU'!$A$5:$A$504,0))))</f>
        <v/>
      </c>
      <c r="G257" s="0" t="str">
        <f aca="false">IF(A257="","",IF(OR(NOT(ISNUMBER(E257)),NOT(ISNUMBER(F257))),"BELUM LENGKAP",ROUND(E257*F257,0)))</f>
        <v/>
      </c>
      <c r="J257" s="0" t="str">
        <f aca="false">IF(A257="","",IF(NOT(ISNUMBER(G257)),"BELUM LENGKAP",G257-H257-I257))</f>
        <v/>
      </c>
      <c r="L257" s="0" t="str">
        <f aca="false">IF(A257="","",IF(NOT(ISNUMBER(K257)),"ISI SNAPSHOT HPP",ROUND(E257*K257,0)))</f>
        <v/>
      </c>
      <c r="M257" s="0" t="str">
        <f aca="false">IF(A257="","",IF(NOT(ISNUMBER(L257)),"BELUM LENGKAP",J257-L257))</f>
        <v/>
      </c>
      <c r="N257" s="0" t="str">
        <f aca="false">IF(B257="","",IF(COUNTIFS('RESEP DAN HPP'!$A$5:$A$504,B257,'RESEP DAN HPP'!$N$5:$N$504,"LENGKAP")=0,"BELUM LENGKAP",INDEX('RESEP DAN HPP'!$J$5:$J$504,MATCH(B257,'RESEP DAN HPP'!$A$5:$A$504,0))))</f>
        <v/>
      </c>
      <c r="P257" s="0" t="str">
        <f aca="false">IF(A257="","",IF(COUNTIFS('TRANSAKSI PENJUALAN'!$A$5:$A$504,A257)=0,"BELUM ADA",INDEX('TRANSAKSI PENJUALAN'!$B$5:$B$504,MATCH(A257,'TRANSAKSI PENJUALAN'!$A$5:$A$504,0))))</f>
        <v/>
      </c>
      <c r="Q257" s="0" t="str">
        <f aca="false">IF(A257="","",IF(COUNTIFS('TRANSAKSI PENJUALAN'!$A$5:$A$504,A257)=0,"BELUM ADA",INDEX('TRANSAKSI PENJUALAN'!$M$5:$M$504,MATCH(A257,'TRANSAKSI PENJUALAN'!$A$5:$A$504,0))))</f>
        <v/>
      </c>
      <c r="R257" s="24" t="str">
        <f aca="false">IF(A257="","",COUNTIF($A$5:A257,A257))</f>
        <v/>
      </c>
      <c r="S257" s="24" t="str">
        <f aca="false">IF(A257="","",A257&amp;"|"&amp;R257)</f>
        <v/>
      </c>
    </row>
    <row r="258" customFormat="false" ht="15" hidden="false" customHeight="false" outlineLevel="0" collapsed="false">
      <c r="C258" s="0" t="str">
        <f aca="false">IF(B258="","",IF(COUNTIFS('MASTER MENU'!$A$5:$A$504,B258)=0,"BELUM ADA",INDEX('MASTER MENU'!$B$5:$B$504,MATCH(B258,'MASTER MENU'!$A$5:$A$504,0))))</f>
        <v/>
      </c>
      <c r="D258" s="0" t="str">
        <f aca="false">IF(B258="","",IF(COUNTIFS('MASTER MENU'!$A$5:$A$504,B258)=0,"BELUM ADA",INDEX('MASTER MENU'!$E$5:$E$504,MATCH(B258,'MASTER MENU'!$A$5:$A$504,0))))</f>
        <v/>
      </c>
      <c r="F258" s="0" t="str">
        <f aca="false">IF(B258="","",IF(COUNTIFS('MASTER MENU'!$A$5:$A$504,B258)=0,"BELUM ADA",INDEX('MASTER MENU'!$F$5:$F$504,MATCH(B258,'MASTER MENU'!$A$5:$A$504,0))))</f>
        <v/>
      </c>
      <c r="G258" s="0" t="str">
        <f aca="false">IF(A258="","",IF(OR(NOT(ISNUMBER(E258)),NOT(ISNUMBER(F258))),"BELUM LENGKAP",ROUND(E258*F258,0)))</f>
        <v/>
      </c>
      <c r="J258" s="0" t="str">
        <f aca="false">IF(A258="","",IF(NOT(ISNUMBER(G258)),"BELUM LENGKAP",G258-H258-I258))</f>
        <v/>
      </c>
      <c r="L258" s="0" t="str">
        <f aca="false">IF(A258="","",IF(NOT(ISNUMBER(K258)),"ISI SNAPSHOT HPP",ROUND(E258*K258,0)))</f>
        <v/>
      </c>
      <c r="M258" s="0" t="str">
        <f aca="false">IF(A258="","",IF(NOT(ISNUMBER(L258)),"BELUM LENGKAP",J258-L258))</f>
        <v/>
      </c>
      <c r="N258" s="0" t="str">
        <f aca="false">IF(B258="","",IF(COUNTIFS('RESEP DAN HPP'!$A$5:$A$504,B258,'RESEP DAN HPP'!$N$5:$N$504,"LENGKAP")=0,"BELUM LENGKAP",INDEX('RESEP DAN HPP'!$J$5:$J$504,MATCH(B258,'RESEP DAN HPP'!$A$5:$A$504,0))))</f>
        <v/>
      </c>
      <c r="P258" s="0" t="str">
        <f aca="false">IF(A258="","",IF(COUNTIFS('TRANSAKSI PENJUALAN'!$A$5:$A$504,A258)=0,"BELUM ADA",INDEX('TRANSAKSI PENJUALAN'!$B$5:$B$504,MATCH(A258,'TRANSAKSI PENJUALAN'!$A$5:$A$504,0))))</f>
        <v/>
      </c>
      <c r="Q258" s="0" t="str">
        <f aca="false">IF(A258="","",IF(COUNTIFS('TRANSAKSI PENJUALAN'!$A$5:$A$504,A258)=0,"BELUM ADA",INDEX('TRANSAKSI PENJUALAN'!$M$5:$M$504,MATCH(A258,'TRANSAKSI PENJUALAN'!$A$5:$A$504,0))))</f>
        <v/>
      </c>
      <c r="R258" s="24" t="str">
        <f aca="false">IF(A258="","",COUNTIF($A$5:A258,A258))</f>
        <v/>
      </c>
      <c r="S258" s="24" t="str">
        <f aca="false">IF(A258="","",A258&amp;"|"&amp;R258)</f>
        <v/>
      </c>
    </row>
    <row r="259" customFormat="false" ht="15" hidden="false" customHeight="false" outlineLevel="0" collapsed="false">
      <c r="C259" s="0" t="str">
        <f aca="false">IF(B259="","",IF(COUNTIFS('MASTER MENU'!$A$5:$A$504,B259)=0,"BELUM ADA",INDEX('MASTER MENU'!$B$5:$B$504,MATCH(B259,'MASTER MENU'!$A$5:$A$504,0))))</f>
        <v/>
      </c>
      <c r="D259" s="0" t="str">
        <f aca="false">IF(B259="","",IF(COUNTIFS('MASTER MENU'!$A$5:$A$504,B259)=0,"BELUM ADA",INDEX('MASTER MENU'!$E$5:$E$504,MATCH(B259,'MASTER MENU'!$A$5:$A$504,0))))</f>
        <v/>
      </c>
      <c r="F259" s="0" t="str">
        <f aca="false">IF(B259="","",IF(COUNTIFS('MASTER MENU'!$A$5:$A$504,B259)=0,"BELUM ADA",INDEX('MASTER MENU'!$F$5:$F$504,MATCH(B259,'MASTER MENU'!$A$5:$A$504,0))))</f>
        <v/>
      </c>
      <c r="G259" s="0" t="str">
        <f aca="false">IF(A259="","",IF(OR(NOT(ISNUMBER(E259)),NOT(ISNUMBER(F259))),"BELUM LENGKAP",ROUND(E259*F259,0)))</f>
        <v/>
      </c>
      <c r="J259" s="0" t="str">
        <f aca="false">IF(A259="","",IF(NOT(ISNUMBER(G259)),"BELUM LENGKAP",G259-H259-I259))</f>
        <v/>
      </c>
      <c r="L259" s="0" t="str">
        <f aca="false">IF(A259="","",IF(NOT(ISNUMBER(K259)),"ISI SNAPSHOT HPP",ROUND(E259*K259,0)))</f>
        <v/>
      </c>
      <c r="M259" s="0" t="str">
        <f aca="false">IF(A259="","",IF(NOT(ISNUMBER(L259)),"BELUM LENGKAP",J259-L259))</f>
        <v/>
      </c>
      <c r="N259" s="0" t="str">
        <f aca="false">IF(B259="","",IF(COUNTIFS('RESEP DAN HPP'!$A$5:$A$504,B259,'RESEP DAN HPP'!$N$5:$N$504,"LENGKAP")=0,"BELUM LENGKAP",INDEX('RESEP DAN HPP'!$J$5:$J$504,MATCH(B259,'RESEP DAN HPP'!$A$5:$A$504,0))))</f>
        <v/>
      </c>
      <c r="P259" s="0" t="str">
        <f aca="false">IF(A259="","",IF(COUNTIFS('TRANSAKSI PENJUALAN'!$A$5:$A$504,A259)=0,"BELUM ADA",INDEX('TRANSAKSI PENJUALAN'!$B$5:$B$504,MATCH(A259,'TRANSAKSI PENJUALAN'!$A$5:$A$504,0))))</f>
        <v/>
      </c>
      <c r="Q259" s="0" t="str">
        <f aca="false">IF(A259="","",IF(COUNTIFS('TRANSAKSI PENJUALAN'!$A$5:$A$504,A259)=0,"BELUM ADA",INDEX('TRANSAKSI PENJUALAN'!$M$5:$M$504,MATCH(A259,'TRANSAKSI PENJUALAN'!$A$5:$A$504,0))))</f>
        <v/>
      </c>
      <c r="R259" s="24" t="str">
        <f aca="false">IF(A259="","",COUNTIF($A$5:A259,A259))</f>
        <v/>
      </c>
      <c r="S259" s="24" t="str">
        <f aca="false">IF(A259="","",A259&amp;"|"&amp;R259)</f>
        <v/>
      </c>
    </row>
    <row r="260" customFormat="false" ht="15" hidden="false" customHeight="false" outlineLevel="0" collapsed="false">
      <c r="C260" s="0" t="str">
        <f aca="false">IF(B260="","",IF(COUNTIFS('MASTER MENU'!$A$5:$A$504,B260)=0,"BELUM ADA",INDEX('MASTER MENU'!$B$5:$B$504,MATCH(B260,'MASTER MENU'!$A$5:$A$504,0))))</f>
        <v/>
      </c>
      <c r="D260" s="0" t="str">
        <f aca="false">IF(B260="","",IF(COUNTIFS('MASTER MENU'!$A$5:$A$504,B260)=0,"BELUM ADA",INDEX('MASTER MENU'!$E$5:$E$504,MATCH(B260,'MASTER MENU'!$A$5:$A$504,0))))</f>
        <v/>
      </c>
      <c r="F260" s="0" t="str">
        <f aca="false">IF(B260="","",IF(COUNTIFS('MASTER MENU'!$A$5:$A$504,B260)=0,"BELUM ADA",INDEX('MASTER MENU'!$F$5:$F$504,MATCH(B260,'MASTER MENU'!$A$5:$A$504,0))))</f>
        <v/>
      </c>
      <c r="G260" s="0" t="str">
        <f aca="false">IF(A260="","",IF(OR(NOT(ISNUMBER(E260)),NOT(ISNUMBER(F260))),"BELUM LENGKAP",ROUND(E260*F260,0)))</f>
        <v/>
      </c>
      <c r="J260" s="0" t="str">
        <f aca="false">IF(A260="","",IF(NOT(ISNUMBER(G260)),"BELUM LENGKAP",G260-H260-I260))</f>
        <v/>
      </c>
      <c r="L260" s="0" t="str">
        <f aca="false">IF(A260="","",IF(NOT(ISNUMBER(K260)),"ISI SNAPSHOT HPP",ROUND(E260*K260,0)))</f>
        <v/>
      </c>
      <c r="M260" s="0" t="str">
        <f aca="false">IF(A260="","",IF(NOT(ISNUMBER(L260)),"BELUM LENGKAP",J260-L260))</f>
        <v/>
      </c>
      <c r="N260" s="0" t="str">
        <f aca="false">IF(B260="","",IF(COUNTIFS('RESEP DAN HPP'!$A$5:$A$504,B260,'RESEP DAN HPP'!$N$5:$N$504,"LENGKAP")=0,"BELUM LENGKAP",INDEX('RESEP DAN HPP'!$J$5:$J$504,MATCH(B260,'RESEP DAN HPP'!$A$5:$A$504,0))))</f>
        <v/>
      </c>
      <c r="P260" s="0" t="str">
        <f aca="false">IF(A260="","",IF(COUNTIFS('TRANSAKSI PENJUALAN'!$A$5:$A$504,A260)=0,"BELUM ADA",INDEX('TRANSAKSI PENJUALAN'!$B$5:$B$504,MATCH(A260,'TRANSAKSI PENJUALAN'!$A$5:$A$504,0))))</f>
        <v/>
      </c>
      <c r="Q260" s="0" t="str">
        <f aca="false">IF(A260="","",IF(COUNTIFS('TRANSAKSI PENJUALAN'!$A$5:$A$504,A260)=0,"BELUM ADA",INDEX('TRANSAKSI PENJUALAN'!$M$5:$M$504,MATCH(A260,'TRANSAKSI PENJUALAN'!$A$5:$A$504,0))))</f>
        <v/>
      </c>
      <c r="R260" s="24" t="str">
        <f aca="false">IF(A260="","",COUNTIF($A$5:A260,A260))</f>
        <v/>
      </c>
      <c r="S260" s="24" t="str">
        <f aca="false">IF(A260="","",A260&amp;"|"&amp;R260)</f>
        <v/>
      </c>
    </row>
    <row r="261" customFormat="false" ht="15" hidden="false" customHeight="false" outlineLevel="0" collapsed="false">
      <c r="C261" s="0" t="str">
        <f aca="false">IF(B261="","",IF(COUNTIFS('MASTER MENU'!$A$5:$A$504,B261)=0,"BELUM ADA",INDEX('MASTER MENU'!$B$5:$B$504,MATCH(B261,'MASTER MENU'!$A$5:$A$504,0))))</f>
        <v/>
      </c>
      <c r="D261" s="0" t="str">
        <f aca="false">IF(B261="","",IF(COUNTIFS('MASTER MENU'!$A$5:$A$504,B261)=0,"BELUM ADA",INDEX('MASTER MENU'!$E$5:$E$504,MATCH(B261,'MASTER MENU'!$A$5:$A$504,0))))</f>
        <v/>
      </c>
      <c r="F261" s="0" t="str">
        <f aca="false">IF(B261="","",IF(COUNTIFS('MASTER MENU'!$A$5:$A$504,B261)=0,"BELUM ADA",INDEX('MASTER MENU'!$F$5:$F$504,MATCH(B261,'MASTER MENU'!$A$5:$A$504,0))))</f>
        <v/>
      </c>
      <c r="G261" s="0" t="str">
        <f aca="false">IF(A261="","",IF(OR(NOT(ISNUMBER(E261)),NOT(ISNUMBER(F261))),"BELUM LENGKAP",ROUND(E261*F261,0)))</f>
        <v/>
      </c>
      <c r="J261" s="0" t="str">
        <f aca="false">IF(A261="","",IF(NOT(ISNUMBER(G261)),"BELUM LENGKAP",G261-H261-I261))</f>
        <v/>
      </c>
      <c r="L261" s="0" t="str">
        <f aca="false">IF(A261="","",IF(NOT(ISNUMBER(K261)),"ISI SNAPSHOT HPP",ROUND(E261*K261,0)))</f>
        <v/>
      </c>
      <c r="M261" s="0" t="str">
        <f aca="false">IF(A261="","",IF(NOT(ISNUMBER(L261)),"BELUM LENGKAP",J261-L261))</f>
        <v/>
      </c>
      <c r="N261" s="0" t="str">
        <f aca="false">IF(B261="","",IF(COUNTIFS('RESEP DAN HPP'!$A$5:$A$504,B261,'RESEP DAN HPP'!$N$5:$N$504,"LENGKAP")=0,"BELUM LENGKAP",INDEX('RESEP DAN HPP'!$J$5:$J$504,MATCH(B261,'RESEP DAN HPP'!$A$5:$A$504,0))))</f>
        <v/>
      </c>
      <c r="P261" s="0" t="str">
        <f aca="false">IF(A261="","",IF(COUNTIFS('TRANSAKSI PENJUALAN'!$A$5:$A$504,A261)=0,"BELUM ADA",INDEX('TRANSAKSI PENJUALAN'!$B$5:$B$504,MATCH(A261,'TRANSAKSI PENJUALAN'!$A$5:$A$504,0))))</f>
        <v/>
      </c>
      <c r="Q261" s="0" t="str">
        <f aca="false">IF(A261="","",IF(COUNTIFS('TRANSAKSI PENJUALAN'!$A$5:$A$504,A261)=0,"BELUM ADA",INDEX('TRANSAKSI PENJUALAN'!$M$5:$M$504,MATCH(A261,'TRANSAKSI PENJUALAN'!$A$5:$A$504,0))))</f>
        <v/>
      </c>
      <c r="R261" s="24" t="str">
        <f aca="false">IF(A261="","",COUNTIF($A$5:A261,A261))</f>
        <v/>
      </c>
      <c r="S261" s="24" t="str">
        <f aca="false">IF(A261="","",A261&amp;"|"&amp;R261)</f>
        <v/>
      </c>
    </row>
    <row r="262" customFormat="false" ht="15" hidden="false" customHeight="false" outlineLevel="0" collapsed="false">
      <c r="C262" s="0" t="str">
        <f aca="false">IF(B262="","",IF(COUNTIFS('MASTER MENU'!$A$5:$A$504,B262)=0,"BELUM ADA",INDEX('MASTER MENU'!$B$5:$B$504,MATCH(B262,'MASTER MENU'!$A$5:$A$504,0))))</f>
        <v/>
      </c>
      <c r="D262" s="0" t="str">
        <f aca="false">IF(B262="","",IF(COUNTIFS('MASTER MENU'!$A$5:$A$504,B262)=0,"BELUM ADA",INDEX('MASTER MENU'!$E$5:$E$504,MATCH(B262,'MASTER MENU'!$A$5:$A$504,0))))</f>
        <v/>
      </c>
      <c r="F262" s="0" t="str">
        <f aca="false">IF(B262="","",IF(COUNTIFS('MASTER MENU'!$A$5:$A$504,B262)=0,"BELUM ADA",INDEX('MASTER MENU'!$F$5:$F$504,MATCH(B262,'MASTER MENU'!$A$5:$A$504,0))))</f>
        <v/>
      </c>
      <c r="G262" s="0" t="str">
        <f aca="false">IF(A262="","",IF(OR(NOT(ISNUMBER(E262)),NOT(ISNUMBER(F262))),"BELUM LENGKAP",ROUND(E262*F262,0)))</f>
        <v/>
      </c>
      <c r="J262" s="0" t="str">
        <f aca="false">IF(A262="","",IF(NOT(ISNUMBER(G262)),"BELUM LENGKAP",G262-H262-I262))</f>
        <v/>
      </c>
      <c r="L262" s="0" t="str">
        <f aca="false">IF(A262="","",IF(NOT(ISNUMBER(K262)),"ISI SNAPSHOT HPP",ROUND(E262*K262,0)))</f>
        <v/>
      </c>
      <c r="M262" s="0" t="str">
        <f aca="false">IF(A262="","",IF(NOT(ISNUMBER(L262)),"BELUM LENGKAP",J262-L262))</f>
        <v/>
      </c>
      <c r="N262" s="0" t="str">
        <f aca="false">IF(B262="","",IF(COUNTIFS('RESEP DAN HPP'!$A$5:$A$504,B262,'RESEP DAN HPP'!$N$5:$N$504,"LENGKAP")=0,"BELUM LENGKAP",INDEX('RESEP DAN HPP'!$J$5:$J$504,MATCH(B262,'RESEP DAN HPP'!$A$5:$A$504,0))))</f>
        <v/>
      </c>
      <c r="P262" s="0" t="str">
        <f aca="false">IF(A262="","",IF(COUNTIFS('TRANSAKSI PENJUALAN'!$A$5:$A$504,A262)=0,"BELUM ADA",INDEX('TRANSAKSI PENJUALAN'!$B$5:$B$504,MATCH(A262,'TRANSAKSI PENJUALAN'!$A$5:$A$504,0))))</f>
        <v/>
      </c>
      <c r="Q262" s="0" t="str">
        <f aca="false">IF(A262="","",IF(COUNTIFS('TRANSAKSI PENJUALAN'!$A$5:$A$504,A262)=0,"BELUM ADA",INDEX('TRANSAKSI PENJUALAN'!$M$5:$M$504,MATCH(A262,'TRANSAKSI PENJUALAN'!$A$5:$A$504,0))))</f>
        <v/>
      </c>
      <c r="R262" s="24" t="str">
        <f aca="false">IF(A262="","",COUNTIF($A$5:A262,A262))</f>
        <v/>
      </c>
      <c r="S262" s="24" t="str">
        <f aca="false">IF(A262="","",A262&amp;"|"&amp;R262)</f>
        <v/>
      </c>
    </row>
    <row r="263" customFormat="false" ht="15" hidden="false" customHeight="false" outlineLevel="0" collapsed="false">
      <c r="C263" s="0" t="str">
        <f aca="false">IF(B263="","",IF(COUNTIFS('MASTER MENU'!$A$5:$A$504,B263)=0,"BELUM ADA",INDEX('MASTER MENU'!$B$5:$B$504,MATCH(B263,'MASTER MENU'!$A$5:$A$504,0))))</f>
        <v/>
      </c>
      <c r="D263" s="0" t="str">
        <f aca="false">IF(B263="","",IF(COUNTIFS('MASTER MENU'!$A$5:$A$504,B263)=0,"BELUM ADA",INDEX('MASTER MENU'!$E$5:$E$504,MATCH(B263,'MASTER MENU'!$A$5:$A$504,0))))</f>
        <v/>
      </c>
      <c r="F263" s="0" t="str">
        <f aca="false">IF(B263="","",IF(COUNTIFS('MASTER MENU'!$A$5:$A$504,B263)=0,"BELUM ADA",INDEX('MASTER MENU'!$F$5:$F$504,MATCH(B263,'MASTER MENU'!$A$5:$A$504,0))))</f>
        <v/>
      </c>
      <c r="G263" s="0" t="str">
        <f aca="false">IF(A263="","",IF(OR(NOT(ISNUMBER(E263)),NOT(ISNUMBER(F263))),"BELUM LENGKAP",ROUND(E263*F263,0)))</f>
        <v/>
      </c>
      <c r="J263" s="0" t="str">
        <f aca="false">IF(A263="","",IF(NOT(ISNUMBER(G263)),"BELUM LENGKAP",G263-H263-I263))</f>
        <v/>
      </c>
      <c r="L263" s="0" t="str">
        <f aca="false">IF(A263="","",IF(NOT(ISNUMBER(K263)),"ISI SNAPSHOT HPP",ROUND(E263*K263,0)))</f>
        <v/>
      </c>
      <c r="M263" s="0" t="str">
        <f aca="false">IF(A263="","",IF(NOT(ISNUMBER(L263)),"BELUM LENGKAP",J263-L263))</f>
        <v/>
      </c>
      <c r="N263" s="0" t="str">
        <f aca="false">IF(B263="","",IF(COUNTIFS('RESEP DAN HPP'!$A$5:$A$504,B263,'RESEP DAN HPP'!$N$5:$N$504,"LENGKAP")=0,"BELUM LENGKAP",INDEX('RESEP DAN HPP'!$J$5:$J$504,MATCH(B263,'RESEP DAN HPP'!$A$5:$A$504,0))))</f>
        <v/>
      </c>
      <c r="P263" s="0" t="str">
        <f aca="false">IF(A263="","",IF(COUNTIFS('TRANSAKSI PENJUALAN'!$A$5:$A$504,A263)=0,"BELUM ADA",INDEX('TRANSAKSI PENJUALAN'!$B$5:$B$504,MATCH(A263,'TRANSAKSI PENJUALAN'!$A$5:$A$504,0))))</f>
        <v/>
      </c>
      <c r="Q263" s="0" t="str">
        <f aca="false">IF(A263="","",IF(COUNTIFS('TRANSAKSI PENJUALAN'!$A$5:$A$504,A263)=0,"BELUM ADA",INDEX('TRANSAKSI PENJUALAN'!$M$5:$M$504,MATCH(A263,'TRANSAKSI PENJUALAN'!$A$5:$A$504,0))))</f>
        <v/>
      </c>
      <c r="R263" s="24" t="str">
        <f aca="false">IF(A263="","",COUNTIF($A$5:A263,A263))</f>
        <v/>
      </c>
      <c r="S263" s="24" t="str">
        <f aca="false">IF(A263="","",A263&amp;"|"&amp;R263)</f>
        <v/>
      </c>
    </row>
    <row r="264" customFormat="false" ht="15" hidden="false" customHeight="false" outlineLevel="0" collapsed="false">
      <c r="C264" s="0" t="str">
        <f aca="false">IF(B264="","",IF(COUNTIFS('MASTER MENU'!$A$5:$A$504,B264)=0,"BELUM ADA",INDEX('MASTER MENU'!$B$5:$B$504,MATCH(B264,'MASTER MENU'!$A$5:$A$504,0))))</f>
        <v/>
      </c>
      <c r="D264" s="0" t="str">
        <f aca="false">IF(B264="","",IF(COUNTIFS('MASTER MENU'!$A$5:$A$504,B264)=0,"BELUM ADA",INDEX('MASTER MENU'!$E$5:$E$504,MATCH(B264,'MASTER MENU'!$A$5:$A$504,0))))</f>
        <v/>
      </c>
      <c r="F264" s="0" t="str">
        <f aca="false">IF(B264="","",IF(COUNTIFS('MASTER MENU'!$A$5:$A$504,B264)=0,"BELUM ADA",INDEX('MASTER MENU'!$F$5:$F$504,MATCH(B264,'MASTER MENU'!$A$5:$A$504,0))))</f>
        <v/>
      </c>
      <c r="G264" s="0" t="str">
        <f aca="false">IF(A264="","",IF(OR(NOT(ISNUMBER(E264)),NOT(ISNUMBER(F264))),"BELUM LENGKAP",ROUND(E264*F264,0)))</f>
        <v/>
      </c>
      <c r="J264" s="0" t="str">
        <f aca="false">IF(A264="","",IF(NOT(ISNUMBER(G264)),"BELUM LENGKAP",G264-H264-I264))</f>
        <v/>
      </c>
      <c r="L264" s="0" t="str">
        <f aca="false">IF(A264="","",IF(NOT(ISNUMBER(K264)),"ISI SNAPSHOT HPP",ROUND(E264*K264,0)))</f>
        <v/>
      </c>
      <c r="M264" s="0" t="str">
        <f aca="false">IF(A264="","",IF(NOT(ISNUMBER(L264)),"BELUM LENGKAP",J264-L264))</f>
        <v/>
      </c>
      <c r="N264" s="0" t="str">
        <f aca="false">IF(B264="","",IF(COUNTIFS('RESEP DAN HPP'!$A$5:$A$504,B264,'RESEP DAN HPP'!$N$5:$N$504,"LENGKAP")=0,"BELUM LENGKAP",INDEX('RESEP DAN HPP'!$J$5:$J$504,MATCH(B264,'RESEP DAN HPP'!$A$5:$A$504,0))))</f>
        <v/>
      </c>
      <c r="P264" s="0" t="str">
        <f aca="false">IF(A264="","",IF(COUNTIFS('TRANSAKSI PENJUALAN'!$A$5:$A$504,A264)=0,"BELUM ADA",INDEX('TRANSAKSI PENJUALAN'!$B$5:$B$504,MATCH(A264,'TRANSAKSI PENJUALAN'!$A$5:$A$504,0))))</f>
        <v/>
      </c>
      <c r="Q264" s="0" t="str">
        <f aca="false">IF(A264="","",IF(COUNTIFS('TRANSAKSI PENJUALAN'!$A$5:$A$504,A264)=0,"BELUM ADA",INDEX('TRANSAKSI PENJUALAN'!$M$5:$M$504,MATCH(A264,'TRANSAKSI PENJUALAN'!$A$5:$A$504,0))))</f>
        <v/>
      </c>
      <c r="R264" s="24" t="str">
        <f aca="false">IF(A264="","",COUNTIF($A$5:A264,A264))</f>
        <v/>
      </c>
      <c r="S264" s="24" t="str">
        <f aca="false">IF(A264="","",A264&amp;"|"&amp;R264)</f>
        <v/>
      </c>
    </row>
    <row r="265" customFormat="false" ht="15" hidden="false" customHeight="false" outlineLevel="0" collapsed="false">
      <c r="C265" s="0" t="str">
        <f aca="false">IF(B265="","",IF(COUNTIFS('MASTER MENU'!$A$5:$A$504,B265)=0,"BELUM ADA",INDEX('MASTER MENU'!$B$5:$B$504,MATCH(B265,'MASTER MENU'!$A$5:$A$504,0))))</f>
        <v/>
      </c>
      <c r="D265" s="0" t="str">
        <f aca="false">IF(B265="","",IF(COUNTIFS('MASTER MENU'!$A$5:$A$504,B265)=0,"BELUM ADA",INDEX('MASTER MENU'!$E$5:$E$504,MATCH(B265,'MASTER MENU'!$A$5:$A$504,0))))</f>
        <v/>
      </c>
      <c r="F265" s="0" t="str">
        <f aca="false">IF(B265="","",IF(COUNTIFS('MASTER MENU'!$A$5:$A$504,B265)=0,"BELUM ADA",INDEX('MASTER MENU'!$F$5:$F$504,MATCH(B265,'MASTER MENU'!$A$5:$A$504,0))))</f>
        <v/>
      </c>
      <c r="G265" s="0" t="str">
        <f aca="false">IF(A265="","",IF(OR(NOT(ISNUMBER(E265)),NOT(ISNUMBER(F265))),"BELUM LENGKAP",ROUND(E265*F265,0)))</f>
        <v/>
      </c>
      <c r="J265" s="0" t="str">
        <f aca="false">IF(A265="","",IF(NOT(ISNUMBER(G265)),"BELUM LENGKAP",G265-H265-I265))</f>
        <v/>
      </c>
      <c r="L265" s="0" t="str">
        <f aca="false">IF(A265="","",IF(NOT(ISNUMBER(K265)),"ISI SNAPSHOT HPP",ROUND(E265*K265,0)))</f>
        <v/>
      </c>
      <c r="M265" s="0" t="str">
        <f aca="false">IF(A265="","",IF(NOT(ISNUMBER(L265)),"BELUM LENGKAP",J265-L265))</f>
        <v/>
      </c>
      <c r="N265" s="0" t="str">
        <f aca="false">IF(B265="","",IF(COUNTIFS('RESEP DAN HPP'!$A$5:$A$504,B265,'RESEP DAN HPP'!$N$5:$N$504,"LENGKAP")=0,"BELUM LENGKAP",INDEX('RESEP DAN HPP'!$J$5:$J$504,MATCH(B265,'RESEP DAN HPP'!$A$5:$A$504,0))))</f>
        <v/>
      </c>
      <c r="P265" s="0" t="str">
        <f aca="false">IF(A265="","",IF(COUNTIFS('TRANSAKSI PENJUALAN'!$A$5:$A$504,A265)=0,"BELUM ADA",INDEX('TRANSAKSI PENJUALAN'!$B$5:$B$504,MATCH(A265,'TRANSAKSI PENJUALAN'!$A$5:$A$504,0))))</f>
        <v/>
      </c>
      <c r="Q265" s="0" t="str">
        <f aca="false">IF(A265="","",IF(COUNTIFS('TRANSAKSI PENJUALAN'!$A$5:$A$504,A265)=0,"BELUM ADA",INDEX('TRANSAKSI PENJUALAN'!$M$5:$M$504,MATCH(A265,'TRANSAKSI PENJUALAN'!$A$5:$A$504,0))))</f>
        <v/>
      </c>
      <c r="R265" s="24" t="str">
        <f aca="false">IF(A265="","",COUNTIF($A$5:A265,A265))</f>
        <v/>
      </c>
      <c r="S265" s="24" t="str">
        <f aca="false">IF(A265="","",A265&amp;"|"&amp;R265)</f>
        <v/>
      </c>
    </row>
    <row r="266" customFormat="false" ht="15" hidden="false" customHeight="false" outlineLevel="0" collapsed="false">
      <c r="C266" s="0" t="str">
        <f aca="false">IF(B266="","",IF(COUNTIFS('MASTER MENU'!$A$5:$A$504,B266)=0,"BELUM ADA",INDEX('MASTER MENU'!$B$5:$B$504,MATCH(B266,'MASTER MENU'!$A$5:$A$504,0))))</f>
        <v/>
      </c>
      <c r="D266" s="0" t="str">
        <f aca="false">IF(B266="","",IF(COUNTIFS('MASTER MENU'!$A$5:$A$504,B266)=0,"BELUM ADA",INDEX('MASTER MENU'!$E$5:$E$504,MATCH(B266,'MASTER MENU'!$A$5:$A$504,0))))</f>
        <v/>
      </c>
      <c r="F266" s="0" t="str">
        <f aca="false">IF(B266="","",IF(COUNTIFS('MASTER MENU'!$A$5:$A$504,B266)=0,"BELUM ADA",INDEX('MASTER MENU'!$F$5:$F$504,MATCH(B266,'MASTER MENU'!$A$5:$A$504,0))))</f>
        <v/>
      </c>
      <c r="G266" s="0" t="str">
        <f aca="false">IF(A266="","",IF(OR(NOT(ISNUMBER(E266)),NOT(ISNUMBER(F266))),"BELUM LENGKAP",ROUND(E266*F266,0)))</f>
        <v/>
      </c>
      <c r="J266" s="0" t="str">
        <f aca="false">IF(A266="","",IF(NOT(ISNUMBER(G266)),"BELUM LENGKAP",G266-H266-I266))</f>
        <v/>
      </c>
      <c r="L266" s="0" t="str">
        <f aca="false">IF(A266="","",IF(NOT(ISNUMBER(K266)),"ISI SNAPSHOT HPP",ROUND(E266*K266,0)))</f>
        <v/>
      </c>
      <c r="M266" s="0" t="str">
        <f aca="false">IF(A266="","",IF(NOT(ISNUMBER(L266)),"BELUM LENGKAP",J266-L266))</f>
        <v/>
      </c>
      <c r="N266" s="0" t="str">
        <f aca="false">IF(B266="","",IF(COUNTIFS('RESEP DAN HPP'!$A$5:$A$504,B266,'RESEP DAN HPP'!$N$5:$N$504,"LENGKAP")=0,"BELUM LENGKAP",INDEX('RESEP DAN HPP'!$J$5:$J$504,MATCH(B266,'RESEP DAN HPP'!$A$5:$A$504,0))))</f>
        <v/>
      </c>
      <c r="P266" s="0" t="str">
        <f aca="false">IF(A266="","",IF(COUNTIFS('TRANSAKSI PENJUALAN'!$A$5:$A$504,A266)=0,"BELUM ADA",INDEX('TRANSAKSI PENJUALAN'!$B$5:$B$504,MATCH(A266,'TRANSAKSI PENJUALAN'!$A$5:$A$504,0))))</f>
        <v/>
      </c>
      <c r="Q266" s="0" t="str">
        <f aca="false">IF(A266="","",IF(COUNTIFS('TRANSAKSI PENJUALAN'!$A$5:$A$504,A266)=0,"BELUM ADA",INDEX('TRANSAKSI PENJUALAN'!$M$5:$M$504,MATCH(A266,'TRANSAKSI PENJUALAN'!$A$5:$A$504,0))))</f>
        <v/>
      </c>
      <c r="R266" s="24" t="str">
        <f aca="false">IF(A266="","",COUNTIF($A$5:A266,A266))</f>
        <v/>
      </c>
      <c r="S266" s="24" t="str">
        <f aca="false">IF(A266="","",A266&amp;"|"&amp;R266)</f>
        <v/>
      </c>
    </row>
    <row r="267" customFormat="false" ht="15" hidden="false" customHeight="false" outlineLevel="0" collapsed="false">
      <c r="C267" s="0" t="str">
        <f aca="false">IF(B267="","",IF(COUNTIFS('MASTER MENU'!$A$5:$A$504,B267)=0,"BELUM ADA",INDEX('MASTER MENU'!$B$5:$B$504,MATCH(B267,'MASTER MENU'!$A$5:$A$504,0))))</f>
        <v/>
      </c>
      <c r="D267" s="0" t="str">
        <f aca="false">IF(B267="","",IF(COUNTIFS('MASTER MENU'!$A$5:$A$504,B267)=0,"BELUM ADA",INDEX('MASTER MENU'!$E$5:$E$504,MATCH(B267,'MASTER MENU'!$A$5:$A$504,0))))</f>
        <v/>
      </c>
      <c r="F267" s="0" t="str">
        <f aca="false">IF(B267="","",IF(COUNTIFS('MASTER MENU'!$A$5:$A$504,B267)=0,"BELUM ADA",INDEX('MASTER MENU'!$F$5:$F$504,MATCH(B267,'MASTER MENU'!$A$5:$A$504,0))))</f>
        <v/>
      </c>
      <c r="G267" s="0" t="str">
        <f aca="false">IF(A267="","",IF(OR(NOT(ISNUMBER(E267)),NOT(ISNUMBER(F267))),"BELUM LENGKAP",ROUND(E267*F267,0)))</f>
        <v/>
      </c>
      <c r="J267" s="0" t="str">
        <f aca="false">IF(A267="","",IF(NOT(ISNUMBER(G267)),"BELUM LENGKAP",G267-H267-I267))</f>
        <v/>
      </c>
      <c r="L267" s="0" t="str">
        <f aca="false">IF(A267="","",IF(NOT(ISNUMBER(K267)),"ISI SNAPSHOT HPP",ROUND(E267*K267,0)))</f>
        <v/>
      </c>
      <c r="M267" s="0" t="str">
        <f aca="false">IF(A267="","",IF(NOT(ISNUMBER(L267)),"BELUM LENGKAP",J267-L267))</f>
        <v/>
      </c>
      <c r="N267" s="0" t="str">
        <f aca="false">IF(B267="","",IF(COUNTIFS('RESEP DAN HPP'!$A$5:$A$504,B267,'RESEP DAN HPP'!$N$5:$N$504,"LENGKAP")=0,"BELUM LENGKAP",INDEX('RESEP DAN HPP'!$J$5:$J$504,MATCH(B267,'RESEP DAN HPP'!$A$5:$A$504,0))))</f>
        <v/>
      </c>
      <c r="P267" s="0" t="str">
        <f aca="false">IF(A267="","",IF(COUNTIFS('TRANSAKSI PENJUALAN'!$A$5:$A$504,A267)=0,"BELUM ADA",INDEX('TRANSAKSI PENJUALAN'!$B$5:$B$504,MATCH(A267,'TRANSAKSI PENJUALAN'!$A$5:$A$504,0))))</f>
        <v/>
      </c>
      <c r="Q267" s="0" t="str">
        <f aca="false">IF(A267="","",IF(COUNTIFS('TRANSAKSI PENJUALAN'!$A$5:$A$504,A267)=0,"BELUM ADA",INDEX('TRANSAKSI PENJUALAN'!$M$5:$M$504,MATCH(A267,'TRANSAKSI PENJUALAN'!$A$5:$A$504,0))))</f>
        <v/>
      </c>
      <c r="R267" s="24" t="str">
        <f aca="false">IF(A267="","",COUNTIF($A$5:A267,A267))</f>
        <v/>
      </c>
      <c r="S267" s="24" t="str">
        <f aca="false">IF(A267="","",A267&amp;"|"&amp;R267)</f>
        <v/>
      </c>
    </row>
    <row r="268" customFormat="false" ht="15" hidden="false" customHeight="false" outlineLevel="0" collapsed="false">
      <c r="C268" s="0" t="str">
        <f aca="false">IF(B268="","",IF(COUNTIFS('MASTER MENU'!$A$5:$A$504,B268)=0,"BELUM ADA",INDEX('MASTER MENU'!$B$5:$B$504,MATCH(B268,'MASTER MENU'!$A$5:$A$504,0))))</f>
        <v/>
      </c>
      <c r="D268" s="0" t="str">
        <f aca="false">IF(B268="","",IF(COUNTIFS('MASTER MENU'!$A$5:$A$504,B268)=0,"BELUM ADA",INDEX('MASTER MENU'!$E$5:$E$504,MATCH(B268,'MASTER MENU'!$A$5:$A$504,0))))</f>
        <v/>
      </c>
      <c r="F268" s="0" t="str">
        <f aca="false">IF(B268="","",IF(COUNTIFS('MASTER MENU'!$A$5:$A$504,B268)=0,"BELUM ADA",INDEX('MASTER MENU'!$F$5:$F$504,MATCH(B268,'MASTER MENU'!$A$5:$A$504,0))))</f>
        <v/>
      </c>
      <c r="G268" s="0" t="str">
        <f aca="false">IF(A268="","",IF(OR(NOT(ISNUMBER(E268)),NOT(ISNUMBER(F268))),"BELUM LENGKAP",ROUND(E268*F268,0)))</f>
        <v/>
      </c>
      <c r="J268" s="0" t="str">
        <f aca="false">IF(A268="","",IF(NOT(ISNUMBER(G268)),"BELUM LENGKAP",G268-H268-I268))</f>
        <v/>
      </c>
      <c r="L268" s="0" t="str">
        <f aca="false">IF(A268="","",IF(NOT(ISNUMBER(K268)),"ISI SNAPSHOT HPP",ROUND(E268*K268,0)))</f>
        <v/>
      </c>
      <c r="M268" s="0" t="str">
        <f aca="false">IF(A268="","",IF(NOT(ISNUMBER(L268)),"BELUM LENGKAP",J268-L268))</f>
        <v/>
      </c>
      <c r="N268" s="0" t="str">
        <f aca="false">IF(B268="","",IF(COUNTIFS('RESEP DAN HPP'!$A$5:$A$504,B268,'RESEP DAN HPP'!$N$5:$N$504,"LENGKAP")=0,"BELUM LENGKAP",INDEX('RESEP DAN HPP'!$J$5:$J$504,MATCH(B268,'RESEP DAN HPP'!$A$5:$A$504,0))))</f>
        <v/>
      </c>
      <c r="P268" s="0" t="str">
        <f aca="false">IF(A268="","",IF(COUNTIFS('TRANSAKSI PENJUALAN'!$A$5:$A$504,A268)=0,"BELUM ADA",INDEX('TRANSAKSI PENJUALAN'!$B$5:$B$504,MATCH(A268,'TRANSAKSI PENJUALAN'!$A$5:$A$504,0))))</f>
        <v/>
      </c>
      <c r="Q268" s="0" t="str">
        <f aca="false">IF(A268="","",IF(COUNTIFS('TRANSAKSI PENJUALAN'!$A$5:$A$504,A268)=0,"BELUM ADA",INDEX('TRANSAKSI PENJUALAN'!$M$5:$M$504,MATCH(A268,'TRANSAKSI PENJUALAN'!$A$5:$A$504,0))))</f>
        <v/>
      </c>
      <c r="R268" s="24" t="str">
        <f aca="false">IF(A268="","",COUNTIF($A$5:A268,A268))</f>
        <v/>
      </c>
      <c r="S268" s="24" t="str">
        <f aca="false">IF(A268="","",A268&amp;"|"&amp;R268)</f>
        <v/>
      </c>
    </row>
    <row r="269" customFormat="false" ht="15" hidden="false" customHeight="false" outlineLevel="0" collapsed="false">
      <c r="C269" s="0" t="str">
        <f aca="false">IF(B269="","",IF(COUNTIFS('MASTER MENU'!$A$5:$A$504,B269)=0,"BELUM ADA",INDEX('MASTER MENU'!$B$5:$B$504,MATCH(B269,'MASTER MENU'!$A$5:$A$504,0))))</f>
        <v/>
      </c>
      <c r="D269" s="0" t="str">
        <f aca="false">IF(B269="","",IF(COUNTIFS('MASTER MENU'!$A$5:$A$504,B269)=0,"BELUM ADA",INDEX('MASTER MENU'!$E$5:$E$504,MATCH(B269,'MASTER MENU'!$A$5:$A$504,0))))</f>
        <v/>
      </c>
      <c r="F269" s="0" t="str">
        <f aca="false">IF(B269="","",IF(COUNTIFS('MASTER MENU'!$A$5:$A$504,B269)=0,"BELUM ADA",INDEX('MASTER MENU'!$F$5:$F$504,MATCH(B269,'MASTER MENU'!$A$5:$A$504,0))))</f>
        <v/>
      </c>
      <c r="G269" s="0" t="str">
        <f aca="false">IF(A269="","",IF(OR(NOT(ISNUMBER(E269)),NOT(ISNUMBER(F269))),"BELUM LENGKAP",ROUND(E269*F269,0)))</f>
        <v/>
      </c>
      <c r="J269" s="0" t="str">
        <f aca="false">IF(A269="","",IF(NOT(ISNUMBER(G269)),"BELUM LENGKAP",G269-H269-I269))</f>
        <v/>
      </c>
      <c r="L269" s="0" t="str">
        <f aca="false">IF(A269="","",IF(NOT(ISNUMBER(K269)),"ISI SNAPSHOT HPP",ROUND(E269*K269,0)))</f>
        <v/>
      </c>
      <c r="M269" s="0" t="str">
        <f aca="false">IF(A269="","",IF(NOT(ISNUMBER(L269)),"BELUM LENGKAP",J269-L269))</f>
        <v/>
      </c>
      <c r="N269" s="0" t="str">
        <f aca="false">IF(B269="","",IF(COUNTIFS('RESEP DAN HPP'!$A$5:$A$504,B269,'RESEP DAN HPP'!$N$5:$N$504,"LENGKAP")=0,"BELUM LENGKAP",INDEX('RESEP DAN HPP'!$J$5:$J$504,MATCH(B269,'RESEP DAN HPP'!$A$5:$A$504,0))))</f>
        <v/>
      </c>
      <c r="P269" s="0" t="str">
        <f aca="false">IF(A269="","",IF(COUNTIFS('TRANSAKSI PENJUALAN'!$A$5:$A$504,A269)=0,"BELUM ADA",INDEX('TRANSAKSI PENJUALAN'!$B$5:$B$504,MATCH(A269,'TRANSAKSI PENJUALAN'!$A$5:$A$504,0))))</f>
        <v/>
      </c>
      <c r="Q269" s="0" t="str">
        <f aca="false">IF(A269="","",IF(COUNTIFS('TRANSAKSI PENJUALAN'!$A$5:$A$504,A269)=0,"BELUM ADA",INDEX('TRANSAKSI PENJUALAN'!$M$5:$M$504,MATCH(A269,'TRANSAKSI PENJUALAN'!$A$5:$A$504,0))))</f>
        <v/>
      </c>
      <c r="R269" s="24" t="str">
        <f aca="false">IF(A269="","",COUNTIF($A$5:A269,A269))</f>
        <v/>
      </c>
      <c r="S269" s="24" t="str">
        <f aca="false">IF(A269="","",A269&amp;"|"&amp;R269)</f>
        <v/>
      </c>
    </row>
    <row r="270" customFormat="false" ht="15" hidden="false" customHeight="false" outlineLevel="0" collapsed="false">
      <c r="C270" s="0" t="str">
        <f aca="false">IF(B270="","",IF(COUNTIFS('MASTER MENU'!$A$5:$A$504,B270)=0,"BELUM ADA",INDEX('MASTER MENU'!$B$5:$B$504,MATCH(B270,'MASTER MENU'!$A$5:$A$504,0))))</f>
        <v/>
      </c>
      <c r="D270" s="0" t="str">
        <f aca="false">IF(B270="","",IF(COUNTIFS('MASTER MENU'!$A$5:$A$504,B270)=0,"BELUM ADA",INDEX('MASTER MENU'!$E$5:$E$504,MATCH(B270,'MASTER MENU'!$A$5:$A$504,0))))</f>
        <v/>
      </c>
      <c r="F270" s="0" t="str">
        <f aca="false">IF(B270="","",IF(COUNTIFS('MASTER MENU'!$A$5:$A$504,B270)=0,"BELUM ADA",INDEX('MASTER MENU'!$F$5:$F$504,MATCH(B270,'MASTER MENU'!$A$5:$A$504,0))))</f>
        <v/>
      </c>
      <c r="G270" s="0" t="str">
        <f aca="false">IF(A270="","",IF(OR(NOT(ISNUMBER(E270)),NOT(ISNUMBER(F270))),"BELUM LENGKAP",ROUND(E270*F270,0)))</f>
        <v/>
      </c>
      <c r="J270" s="0" t="str">
        <f aca="false">IF(A270="","",IF(NOT(ISNUMBER(G270)),"BELUM LENGKAP",G270-H270-I270))</f>
        <v/>
      </c>
      <c r="L270" s="0" t="str">
        <f aca="false">IF(A270="","",IF(NOT(ISNUMBER(K270)),"ISI SNAPSHOT HPP",ROUND(E270*K270,0)))</f>
        <v/>
      </c>
      <c r="M270" s="0" t="str">
        <f aca="false">IF(A270="","",IF(NOT(ISNUMBER(L270)),"BELUM LENGKAP",J270-L270))</f>
        <v/>
      </c>
      <c r="N270" s="0" t="str">
        <f aca="false">IF(B270="","",IF(COUNTIFS('RESEP DAN HPP'!$A$5:$A$504,B270,'RESEP DAN HPP'!$N$5:$N$504,"LENGKAP")=0,"BELUM LENGKAP",INDEX('RESEP DAN HPP'!$J$5:$J$504,MATCH(B270,'RESEP DAN HPP'!$A$5:$A$504,0))))</f>
        <v/>
      </c>
      <c r="P270" s="0" t="str">
        <f aca="false">IF(A270="","",IF(COUNTIFS('TRANSAKSI PENJUALAN'!$A$5:$A$504,A270)=0,"BELUM ADA",INDEX('TRANSAKSI PENJUALAN'!$B$5:$B$504,MATCH(A270,'TRANSAKSI PENJUALAN'!$A$5:$A$504,0))))</f>
        <v/>
      </c>
      <c r="Q270" s="0" t="str">
        <f aca="false">IF(A270="","",IF(COUNTIFS('TRANSAKSI PENJUALAN'!$A$5:$A$504,A270)=0,"BELUM ADA",INDEX('TRANSAKSI PENJUALAN'!$M$5:$M$504,MATCH(A270,'TRANSAKSI PENJUALAN'!$A$5:$A$504,0))))</f>
        <v/>
      </c>
      <c r="R270" s="24" t="str">
        <f aca="false">IF(A270="","",COUNTIF($A$5:A270,A270))</f>
        <v/>
      </c>
      <c r="S270" s="24" t="str">
        <f aca="false">IF(A270="","",A270&amp;"|"&amp;R270)</f>
        <v/>
      </c>
    </row>
    <row r="271" customFormat="false" ht="15" hidden="false" customHeight="false" outlineLevel="0" collapsed="false">
      <c r="C271" s="0" t="str">
        <f aca="false">IF(B271="","",IF(COUNTIFS('MASTER MENU'!$A$5:$A$504,B271)=0,"BELUM ADA",INDEX('MASTER MENU'!$B$5:$B$504,MATCH(B271,'MASTER MENU'!$A$5:$A$504,0))))</f>
        <v/>
      </c>
      <c r="D271" s="0" t="str">
        <f aca="false">IF(B271="","",IF(COUNTIFS('MASTER MENU'!$A$5:$A$504,B271)=0,"BELUM ADA",INDEX('MASTER MENU'!$E$5:$E$504,MATCH(B271,'MASTER MENU'!$A$5:$A$504,0))))</f>
        <v/>
      </c>
      <c r="F271" s="0" t="str">
        <f aca="false">IF(B271="","",IF(COUNTIFS('MASTER MENU'!$A$5:$A$504,B271)=0,"BELUM ADA",INDEX('MASTER MENU'!$F$5:$F$504,MATCH(B271,'MASTER MENU'!$A$5:$A$504,0))))</f>
        <v/>
      </c>
      <c r="G271" s="0" t="str">
        <f aca="false">IF(A271="","",IF(OR(NOT(ISNUMBER(E271)),NOT(ISNUMBER(F271))),"BELUM LENGKAP",ROUND(E271*F271,0)))</f>
        <v/>
      </c>
      <c r="J271" s="0" t="str">
        <f aca="false">IF(A271="","",IF(NOT(ISNUMBER(G271)),"BELUM LENGKAP",G271-H271-I271))</f>
        <v/>
      </c>
      <c r="L271" s="0" t="str">
        <f aca="false">IF(A271="","",IF(NOT(ISNUMBER(K271)),"ISI SNAPSHOT HPP",ROUND(E271*K271,0)))</f>
        <v/>
      </c>
      <c r="M271" s="0" t="str">
        <f aca="false">IF(A271="","",IF(NOT(ISNUMBER(L271)),"BELUM LENGKAP",J271-L271))</f>
        <v/>
      </c>
      <c r="N271" s="0" t="str">
        <f aca="false">IF(B271="","",IF(COUNTIFS('RESEP DAN HPP'!$A$5:$A$504,B271,'RESEP DAN HPP'!$N$5:$N$504,"LENGKAP")=0,"BELUM LENGKAP",INDEX('RESEP DAN HPP'!$J$5:$J$504,MATCH(B271,'RESEP DAN HPP'!$A$5:$A$504,0))))</f>
        <v/>
      </c>
      <c r="P271" s="0" t="str">
        <f aca="false">IF(A271="","",IF(COUNTIFS('TRANSAKSI PENJUALAN'!$A$5:$A$504,A271)=0,"BELUM ADA",INDEX('TRANSAKSI PENJUALAN'!$B$5:$B$504,MATCH(A271,'TRANSAKSI PENJUALAN'!$A$5:$A$504,0))))</f>
        <v/>
      </c>
      <c r="Q271" s="0" t="str">
        <f aca="false">IF(A271="","",IF(COUNTIFS('TRANSAKSI PENJUALAN'!$A$5:$A$504,A271)=0,"BELUM ADA",INDEX('TRANSAKSI PENJUALAN'!$M$5:$M$504,MATCH(A271,'TRANSAKSI PENJUALAN'!$A$5:$A$504,0))))</f>
        <v/>
      </c>
      <c r="R271" s="24" t="str">
        <f aca="false">IF(A271="","",COUNTIF($A$5:A271,A271))</f>
        <v/>
      </c>
      <c r="S271" s="24" t="str">
        <f aca="false">IF(A271="","",A271&amp;"|"&amp;R271)</f>
        <v/>
      </c>
    </row>
    <row r="272" customFormat="false" ht="15" hidden="false" customHeight="false" outlineLevel="0" collapsed="false">
      <c r="C272" s="0" t="str">
        <f aca="false">IF(B272="","",IF(COUNTIFS('MASTER MENU'!$A$5:$A$504,B272)=0,"BELUM ADA",INDEX('MASTER MENU'!$B$5:$B$504,MATCH(B272,'MASTER MENU'!$A$5:$A$504,0))))</f>
        <v/>
      </c>
      <c r="D272" s="0" t="str">
        <f aca="false">IF(B272="","",IF(COUNTIFS('MASTER MENU'!$A$5:$A$504,B272)=0,"BELUM ADA",INDEX('MASTER MENU'!$E$5:$E$504,MATCH(B272,'MASTER MENU'!$A$5:$A$504,0))))</f>
        <v/>
      </c>
      <c r="F272" s="0" t="str">
        <f aca="false">IF(B272="","",IF(COUNTIFS('MASTER MENU'!$A$5:$A$504,B272)=0,"BELUM ADA",INDEX('MASTER MENU'!$F$5:$F$504,MATCH(B272,'MASTER MENU'!$A$5:$A$504,0))))</f>
        <v/>
      </c>
      <c r="G272" s="0" t="str">
        <f aca="false">IF(A272="","",IF(OR(NOT(ISNUMBER(E272)),NOT(ISNUMBER(F272))),"BELUM LENGKAP",ROUND(E272*F272,0)))</f>
        <v/>
      </c>
      <c r="J272" s="0" t="str">
        <f aca="false">IF(A272="","",IF(NOT(ISNUMBER(G272)),"BELUM LENGKAP",G272-H272-I272))</f>
        <v/>
      </c>
      <c r="L272" s="0" t="str">
        <f aca="false">IF(A272="","",IF(NOT(ISNUMBER(K272)),"ISI SNAPSHOT HPP",ROUND(E272*K272,0)))</f>
        <v/>
      </c>
      <c r="M272" s="0" t="str">
        <f aca="false">IF(A272="","",IF(NOT(ISNUMBER(L272)),"BELUM LENGKAP",J272-L272))</f>
        <v/>
      </c>
      <c r="N272" s="0" t="str">
        <f aca="false">IF(B272="","",IF(COUNTIFS('RESEP DAN HPP'!$A$5:$A$504,B272,'RESEP DAN HPP'!$N$5:$N$504,"LENGKAP")=0,"BELUM LENGKAP",INDEX('RESEP DAN HPP'!$J$5:$J$504,MATCH(B272,'RESEP DAN HPP'!$A$5:$A$504,0))))</f>
        <v/>
      </c>
      <c r="P272" s="0" t="str">
        <f aca="false">IF(A272="","",IF(COUNTIFS('TRANSAKSI PENJUALAN'!$A$5:$A$504,A272)=0,"BELUM ADA",INDEX('TRANSAKSI PENJUALAN'!$B$5:$B$504,MATCH(A272,'TRANSAKSI PENJUALAN'!$A$5:$A$504,0))))</f>
        <v/>
      </c>
      <c r="Q272" s="0" t="str">
        <f aca="false">IF(A272="","",IF(COUNTIFS('TRANSAKSI PENJUALAN'!$A$5:$A$504,A272)=0,"BELUM ADA",INDEX('TRANSAKSI PENJUALAN'!$M$5:$M$504,MATCH(A272,'TRANSAKSI PENJUALAN'!$A$5:$A$504,0))))</f>
        <v/>
      </c>
      <c r="R272" s="24" t="str">
        <f aca="false">IF(A272="","",COUNTIF($A$5:A272,A272))</f>
        <v/>
      </c>
      <c r="S272" s="24" t="str">
        <f aca="false">IF(A272="","",A272&amp;"|"&amp;R272)</f>
        <v/>
      </c>
    </row>
    <row r="273" customFormat="false" ht="15" hidden="false" customHeight="false" outlineLevel="0" collapsed="false">
      <c r="C273" s="0" t="str">
        <f aca="false">IF(B273="","",IF(COUNTIFS('MASTER MENU'!$A$5:$A$504,B273)=0,"BELUM ADA",INDEX('MASTER MENU'!$B$5:$B$504,MATCH(B273,'MASTER MENU'!$A$5:$A$504,0))))</f>
        <v/>
      </c>
      <c r="D273" s="0" t="str">
        <f aca="false">IF(B273="","",IF(COUNTIFS('MASTER MENU'!$A$5:$A$504,B273)=0,"BELUM ADA",INDEX('MASTER MENU'!$E$5:$E$504,MATCH(B273,'MASTER MENU'!$A$5:$A$504,0))))</f>
        <v/>
      </c>
      <c r="F273" s="0" t="str">
        <f aca="false">IF(B273="","",IF(COUNTIFS('MASTER MENU'!$A$5:$A$504,B273)=0,"BELUM ADA",INDEX('MASTER MENU'!$F$5:$F$504,MATCH(B273,'MASTER MENU'!$A$5:$A$504,0))))</f>
        <v/>
      </c>
      <c r="G273" s="0" t="str">
        <f aca="false">IF(A273="","",IF(OR(NOT(ISNUMBER(E273)),NOT(ISNUMBER(F273))),"BELUM LENGKAP",ROUND(E273*F273,0)))</f>
        <v/>
      </c>
      <c r="J273" s="0" t="str">
        <f aca="false">IF(A273="","",IF(NOT(ISNUMBER(G273)),"BELUM LENGKAP",G273-H273-I273))</f>
        <v/>
      </c>
      <c r="L273" s="0" t="str">
        <f aca="false">IF(A273="","",IF(NOT(ISNUMBER(K273)),"ISI SNAPSHOT HPP",ROUND(E273*K273,0)))</f>
        <v/>
      </c>
      <c r="M273" s="0" t="str">
        <f aca="false">IF(A273="","",IF(NOT(ISNUMBER(L273)),"BELUM LENGKAP",J273-L273))</f>
        <v/>
      </c>
      <c r="N273" s="0" t="str">
        <f aca="false">IF(B273="","",IF(COUNTIFS('RESEP DAN HPP'!$A$5:$A$504,B273,'RESEP DAN HPP'!$N$5:$N$504,"LENGKAP")=0,"BELUM LENGKAP",INDEX('RESEP DAN HPP'!$J$5:$J$504,MATCH(B273,'RESEP DAN HPP'!$A$5:$A$504,0))))</f>
        <v/>
      </c>
      <c r="P273" s="0" t="str">
        <f aca="false">IF(A273="","",IF(COUNTIFS('TRANSAKSI PENJUALAN'!$A$5:$A$504,A273)=0,"BELUM ADA",INDEX('TRANSAKSI PENJUALAN'!$B$5:$B$504,MATCH(A273,'TRANSAKSI PENJUALAN'!$A$5:$A$504,0))))</f>
        <v/>
      </c>
      <c r="Q273" s="0" t="str">
        <f aca="false">IF(A273="","",IF(COUNTIFS('TRANSAKSI PENJUALAN'!$A$5:$A$504,A273)=0,"BELUM ADA",INDEX('TRANSAKSI PENJUALAN'!$M$5:$M$504,MATCH(A273,'TRANSAKSI PENJUALAN'!$A$5:$A$504,0))))</f>
        <v/>
      </c>
      <c r="R273" s="24" t="str">
        <f aca="false">IF(A273="","",COUNTIF($A$5:A273,A273))</f>
        <v/>
      </c>
      <c r="S273" s="24" t="str">
        <f aca="false">IF(A273="","",A273&amp;"|"&amp;R273)</f>
        <v/>
      </c>
    </row>
    <row r="274" customFormat="false" ht="15" hidden="false" customHeight="false" outlineLevel="0" collapsed="false">
      <c r="C274" s="0" t="str">
        <f aca="false">IF(B274="","",IF(COUNTIFS('MASTER MENU'!$A$5:$A$504,B274)=0,"BELUM ADA",INDEX('MASTER MENU'!$B$5:$B$504,MATCH(B274,'MASTER MENU'!$A$5:$A$504,0))))</f>
        <v/>
      </c>
      <c r="D274" s="0" t="str">
        <f aca="false">IF(B274="","",IF(COUNTIFS('MASTER MENU'!$A$5:$A$504,B274)=0,"BELUM ADA",INDEX('MASTER MENU'!$E$5:$E$504,MATCH(B274,'MASTER MENU'!$A$5:$A$504,0))))</f>
        <v/>
      </c>
      <c r="F274" s="0" t="str">
        <f aca="false">IF(B274="","",IF(COUNTIFS('MASTER MENU'!$A$5:$A$504,B274)=0,"BELUM ADA",INDEX('MASTER MENU'!$F$5:$F$504,MATCH(B274,'MASTER MENU'!$A$5:$A$504,0))))</f>
        <v/>
      </c>
      <c r="G274" s="0" t="str">
        <f aca="false">IF(A274="","",IF(OR(NOT(ISNUMBER(E274)),NOT(ISNUMBER(F274))),"BELUM LENGKAP",ROUND(E274*F274,0)))</f>
        <v/>
      </c>
      <c r="J274" s="0" t="str">
        <f aca="false">IF(A274="","",IF(NOT(ISNUMBER(G274)),"BELUM LENGKAP",G274-H274-I274))</f>
        <v/>
      </c>
      <c r="L274" s="0" t="str">
        <f aca="false">IF(A274="","",IF(NOT(ISNUMBER(K274)),"ISI SNAPSHOT HPP",ROUND(E274*K274,0)))</f>
        <v/>
      </c>
      <c r="M274" s="0" t="str">
        <f aca="false">IF(A274="","",IF(NOT(ISNUMBER(L274)),"BELUM LENGKAP",J274-L274))</f>
        <v/>
      </c>
      <c r="N274" s="0" t="str">
        <f aca="false">IF(B274="","",IF(COUNTIFS('RESEP DAN HPP'!$A$5:$A$504,B274,'RESEP DAN HPP'!$N$5:$N$504,"LENGKAP")=0,"BELUM LENGKAP",INDEX('RESEP DAN HPP'!$J$5:$J$504,MATCH(B274,'RESEP DAN HPP'!$A$5:$A$504,0))))</f>
        <v/>
      </c>
      <c r="P274" s="0" t="str">
        <f aca="false">IF(A274="","",IF(COUNTIFS('TRANSAKSI PENJUALAN'!$A$5:$A$504,A274)=0,"BELUM ADA",INDEX('TRANSAKSI PENJUALAN'!$B$5:$B$504,MATCH(A274,'TRANSAKSI PENJUALAN'!$A$5:$A$504,0))))</f>
        <v/>
      </c>
      <c r="Q274" s="0" t="str">
        <f aca="false">IF(A274="","",IF(COUNTIFS('TRANSAKSI PENJUALAN'!$A$5:$A$504,A274)=0,"BELUM ADA",INDEX('TRANSAKSI PENJUALAN'!$M$5:$M$504,MATCH(A274,'TRANSAKSI PENJUALAN'!$A$5:$A$504,0))))</f>
        <v/>
      </c>
      <c r="R274" s="24" t="str">
        <f aca="false">IF(A274="","",COUNTIF($A$5:A274,A274))</f>
        <v/>
      </c>
      <c r="S274" s="24" t="str">
        <f aca="false">IF(A274="","",A274&amp;"|"&amp;R274)</f>
        <v/>
      </c>
    </row>
    <row r="275" customFormat="false" ht="15" hidden="false" customHeight="false" outlineLevel="0" collapsed="false">
      <c r="C275" s="0" t="str">
        <f aca="false">IF(B275="","",IF(COUNTIFS('MASTER MENU'!$A$5:$A$504,B275)=0,"BELUM ADA",INDEX('MASTER MENU'!$B$5:$B$504,MATCH(B275,'MASTER MENU'!$A$5:$A$504,0))))</f>
        <v/>
      </c>
      <c r="D275" s="0" t="str">
        <f aca="false">IF(B275="","",IF(COUNTIFS('MASTER MENU'!$A$5:$A$504,B275)=0,"BELUM ADA",INDEX('MASTER MENU'!$E$5:$E$504,MATCH(B275,'MASTER MENU'!$A$5:$A$504,0))))</f>
        <v/>
      </c>
      <c r="F275" s="0" t="str">
        <f aca="false">IF(B275="","",IF(COUNTIFS('MASTER MENU'!$A$5:$A$504,B275)=0,"BELUM ADA",INDEX('MASTER MENU'!$F$5:$F$504,MATCH(B275,'MASTER MENU'!$A$5:$A$504,0))))</f>
        <v/>
      </c>
      <c r="G275" s="0" t="str">
        <f aca="false">IF(A275="","",IF(OR(NOT(ISNUMBER(E275)),NOT(ISNUMBER(F275))),"BELUM LENGKAP",ROUND(E275*F275,0)))</f>
        <v/>
      </c>
      <c r="J275" s="0" t="str">
        <f aca="false">IF(A275="","",IF(NOT(ISNUMBER(G275)),"BELUM LENGKAP",G275-H275-I275))</f>
        <v/>
      </c>
      <c r="L275" s="0" t="str">
        <f aca="false">IF(A275="","",IF(NOT(ISNUMBER(K275)),"ISI SNAPSHOT HPP",ROUND(E275*K275,0)))</f>
        <v/>
      </c>
      <c r="M275" s="0" t="str">
        <f aca="false">IF(A275="","",IF(NOT(ISNUMBER(L275)),"BELUM LENGKAP",J275-L275))</f>
        <v/>
      </c>
      <c r="N275" s="0" t="str">
        <f aca="false">IF(B275="","",IF(COUNTIFS('RESEP DAN HPP'!$A$5:$A$504,B275,'RESEP DAN HPP'!$N$5:$N$504,"LENGKAP")=0,"BELUM LENGKAP",INDEX('RESEP DAN HPP'!$J$5:$J$504,MATCH(B275,'RESEP DAN HPP'!$A$5:$A$504,0))))</f>
        <v/>
      </c>
      <c r="P275" s="0" t="str">
        <f aca="false">IF(A275="","",IF(COUNTIFS('TRANSAKSI PENJUALAN'!$A$5:$A$504,A275)=0,"BELUM ADA",INDEX('TRANSAKSI PENJUALAN'!$B$5:$B$504,MATCH(A275,'TRANSAKSI PENJUALAN'!$A$5:$A$504,0))))</f>
        <v/>
      </c>
      <c r="Q275" s="0" t="str">
        <f aca="false">IF(A275="","",IF(COUNTIFS('TRANSAKSI PENJUALAN'!$A$5:$A$504,A275)=0,"BELUM ADA",INDEX('TRANSAKSI PENJUALAN'!$M$5:$M$504,MATCH(A275,'TRANSAKSI PENJUALAN'!$A$5:$A$504,0))))</f>
        <v/>
      </c>
      <c r="R275" s="24" t="str">
        <f aca="false">IF(A275="","",COUNTIF($A$5:A275,A275))</f>
        <v/>
      </c>
      <c r="S275" s="24" t="str">
        <f aca="false">IF(A275="","",A275&amp;"|"&amp;R275)</f>
        <v/>
      </c>
    </row>
    <row r="276" customFormat="false" ht="15" hidden="false" customHeight="false" outlineLevel="0" collapsed="false">
      <c r="C276" s="0" t="str">
        <f aca="false">IF(B276="","",IF(COUNTIFS('MASTER MENU'!$A$5:$A$504,B276)=0,"BELUM ADA",INDEX('MASTER MENU'!$B$5:$B$504,MATCH(B276,'MASTER MENU'!$A$5:$A$504,0))))</f>
        <v/>
      </c>
      <c r="D276" s="0" t="str">
        <f aca="false">IF(B276="","",IF(COUNTIFS('MASTER MENU'!$A$5:$A$504,B276)=0,"BELUM ADA",INDEX('MASTER MENU'!$E$5:$E$504,MATCH(B276,'MASTER MENU'!$A$5:$A$504,0))))</f>
        <v/>
      </c>
      <c r="F276" s="0" t="str">
        <f aca="false">IF(B276="","",IF(COUNTIFS('MASTER MENU'!$A$5:$A$504,B276)=0,"BELUM ADA",INDEX('MASTER MENU'!$F$5:$F$504,MATCH(B276,'MASTER MENU'!$A$5:$A$504,0))))</f>
        <v/>
      </c>
      <c r="G276" s="0" t="str">
        <f aca="false">IF(A276="","",IF(OR(NOT(ISNUMBER(E276)),NOT(ISNUMBER(F276))),"BELUM LENGKAP",ROUND(E276*F276,0)))</f>
        <v/>
      </c>
      <c r="J276" s="0" t="str">
        <f aca="false">IF(A276="","",IF(NOT(ISNUMBER(G276)),"BELUM LENGKAP",G276-H276-I276))</f>
        <v/>
      </c>
      <c r="L276" s="0" t="str">
        <f aca="false">IF(A276="","",IF(NOT(ISNUMBER(K276)),"ISI SNAPSHOT HPP",ROUND(E276*K276,0)))</f>
        <v/>
      </c>
      <c r="M276" s="0" t="str">
        <f aca="false">IF(A276="","",IF(NOT(ISNUMBER(L276)),"BELUM LENGKAP",J276-L276))</f>
        <v/>
      </c>
      <c r="N276" s="0" t="str">
        <f aca="false">IF(B276="","",IF(COUNTIFS('RESEP DAN HPP'!$A$5:$A$504,B276,'RESEP DAN HPP'!$N$5:$N$504,"LENGKAP")=0,"BELUM LENGKAP",INDEX('RESEP DAN HPP'!$J$5:$J$504,MATCH(B276,'RESEP DAN HPP'!$A$5:$A$504,0))))</f>
        <v/>
      </c>
      <c r="P276" s="0" t="str">
        <f aca="false">IF(A276="","",IF(COUNTIFS('TRANSAKSI PENJUALAN'!$A$5:$A$504,A276)=0,"BELUM ADA",INDEX('TRANSAKSI PENJUALAN'!$B$5:$B$504,MATCH(A276,'TRANSAKSI PENJUALAN'!$A$5:$A$504,0))))</f>
        <v/>
      </c>
      <c r="Q276" s="0" t="str">
        <f aca="false">IF(A276="","",IF(COUNTIFS('TRANSAKSI PENJUALAN'!$A$5:$A$504,A276)=0,"BELUM ADA",INDEX('TRANSAKSI PENJUALAN'!$M$5:$M$504,MATCH(A276,'TRANSAKSI PENJUALAN'!$A$5:$A$504,0))))</f>
        <v/>
      </c>
      <c r="R276" s="24" t="str">
        <f aca="false">IF(A276="","",COUNTIF($A$5:A276,A276))</f>
        <v/>
      </c>
      <c r="S276" s="24" t="str">
        <f aca="false">IF(A276="","",A276&amp;"|"&amp;R276)</f>
        <v/>
      </c>
    </row>
    <row r="277" customFormat="false" ht="15" hidden="false" customHeight="false" outlineLevel="0" collapsed="false">
      <c r="C277" s="0" t="str">
        <f aca="false">IF(B277="","",IF(COUNTIFS('MASTER MENU'!$A$5:$A$504,B277)=0,"BELUM ADA",INDEX('MASTER MENU'!$B$5:$B$504,MATCH(B277,'MASTER MENU'!$A$5:$A$504,0))))</f>
        <v/>
      </c>
      <c r="D277" s="0" t="str">
        <f aca="false">IF(B277="","",IF(COUNTIFS('MASTER MENU'!$A$5:$A$504,B277)=0,"BELUM ADA",INDEX('MASTER MENU'!$E$5:$E$504,MATCH(B277,'MASTER MENU'!$A$5:$A$504,0))))</f>
        <v/>
      </c>
      <c r="F277" s="0" t="str">
        <f aca="false">IF(B277="","",IF(COUNTIFS('MASTER MENU'!$A$5:$A$504,B277)=0,"BELUM ADA",INDEX('MASTER MENU'!$F$5:$F$504,MATCH(B277,'MASTER MENU'!$A$5:$A$504,0))))</f>
        <v/>
      </c>
      <c r="G277" s="0" t="str">
        <f aca="false">IF(A277="","",IF(OR(NOT(ISNUMBER(E277)),NOT(ISNUMBER(F277))),"BELUM LENGKAP",ROUND(E277*F277,0)))</f>
        <v/>
      </c>
      <c r="J277" s="0" t="str">
        <f aca="false">IF(A277="","",IF(NOT(ISNUMBER(G277)),"BELUM LENGKAP",G277-H277-I277))</f>
        <v/>
      </c>
      <c r="L277" s="0" t="str">
        <f aca="false">IF(A277="","",IF(NOT(ISNUMBER(K277)),"ISI SNAPSHOT HPP",ROUND(E277*K277,0)))</f>
        <v/>
      </c>
      <c r="M277" s="0" t="str">
        <f aca="false">IF(A277="","",IF(NOT(ISNUMBER(L277)),"BELUM LENGKAP",J277-L277))</f>
        <v/>
      </c>
      <c r="N277" s="0" t="str">
        <f aca="false">IF(B277="","",IF(COUNTIFS('RESEP DAN HPP'!$A$5:$A$504,B277,'RESEP DAN HPP'!$N$5:$N$504,"LENGKAP")=0,"BELUM LENGKAP",INDEX('RESEP DAN HPP'!$J$5:$J$504,MATCH(B277,'RESEP DAN HPP'!$A$5:$A$504,0))))</f>
        <v/>
      </c>
      <c r="P277" s="0" t="str">
        <f aca="false">IF(A277="","",IF(COUNTIFS('TRANSAKSI PENJUALAN'!$A$5:$A$504,A277)=0,"BELUM ADA",INDEX('TRANSAKSI PENJUALAN'!$B$5:$B$504,MATCH(A277,'TRANSAKSI PENJUALAN'!$A$5:$A$504,0))))</f>
        <v/>
      </c>
      <c r="Q277" s="0" t="str">
        <f aca="false">IF(A277="","",IF(COUNTIFS('TRANSAKSI PENJUALAN'!$A$5:$A$504,A277)=0,"BELUM ADA",INDEX('TRANSAKSI PENJUALAN'!$M$5:$M$504,MATCH(A277,'TRANSAKSI PENJUALAN'!$A$5:$A$504,0))))</f>
        <v/>
      </c>
      <c r="R277" s="24" t="str">
        <f aca="false">IF(A277="","",COUNTIF($A$5:A277,A277))</f>
        <v/>
      </c>
      <c r="S277" s="24" t="str">
        <f aca="false">IF(A277="","",A277&amp;"|"&amp;R277)</f>
        <v/>
      </c>
    </row>
    <row r="278" customFormat="false" ht="15" hidden="false" customHeight="false" outlineLevel="0" collapsed="false">
      <c r="C278" s="0" t="str">
        <f aca="false">IF(B278="","",IF(COUNTIFS('MASTER MENU'!$A$5:$A$504,B278)=0,"BELUM ADA",INDEX('MASTER MENU'!$B$5:$B$504,MATCH(B278,'MASTER MENU'!$A$5:$A$504,0))))</f>
        <v/>
      </c>
      <c r="D278" s="0" t="str">
        <f aca="false">IF(B278="","",IF(COUNTIFS('MASTER MENU'!$A$5:$A$504,B278)=0,"BELUM ADA",INDEX('MASTER MENU'!$E$5:$E$504,MATCH(B278,'MASTER MENU'!$A$5:$A$504,0))))</f>
        <v/>
      </c>
      <c r="F278" s="0" t="str">
        <f aca="false">IF(B278="","",IF(COUNTIFS('MASTER MENU'!$A$5:$A$504,B278)=0,"BELUM ADA",INDEX('MASTER MENU'!$F$5:$F$504,MATCH(B278,'MASTER MENU'!$A$5:$A$504,0))))</f>
        <v/>
      </c>
      <c r="G278" s="0" t="str">
        <f aca="false">IF(A278="","",IF(OR(NOT(ISNUMBER(E278)),NOT(ISNUMBER(F278))),"BELUM LENGKAP",ROUND(E278*F278,0)))</f>
        <v/>
      </c>
      <c r="J278" s="0" t="str">
        <f aca="false">IF(A278="","",IF(NOT(ISNUMBER(G278)),"BELUM LENGKAP",G278-H278-I278))</f>
        <v/>
      </c>
      <c r="L278" s="0" t="str">
        <f aca="false">IF(A278="","",IF(NOT(ISNUMBER(K278)),"ISI SNAPSHOT HPP",ROUND(E278*K278,0)))</f>
        <v/>
      </c>
      <c r="M278" s="0" t="str">
        <f aca="false">IF(A278="","",IF(NOT(ISNUMBER(L278)),"BELUM LENGKAP",J278-L278))</f>
        <v/>
      </c>
      <c r="N278" s="0" t="str">
        <f aca="false">IF(B278="","",IF(COUNTIFS('RESEP DAN HPP'!$A$5:$A$504,B278,'RESEP DAN HPP'!$N$5:$N$504,"LENGKAP")=0,"BELUM LENGKAP",INDEX('RESEP DAN HPP'!$J$5:$J$504,MATCH(B278,'RESEP DAN HPP'!$A$5:$A$504,0))))</f>
        <v/>
      </c>
      <c r="P278" s="0" t="str">
        <f aca="false">IF(A278="","",IF(COUNTIFS('TRANSAKSI PENJUALAN'!$A$5:$A$504,A278)=0,"BELUM ADA",INDEX('TRANSAKSI PENJUALAN'!$B$5:$B$504,MATCH(A278,'TRANSAKSI PENJUALAN'!$A$5:$A$504,0))))</f>
        <v/>
      </c>
      <c r="Q278" s="0" t="str">
        <f aca="false">IF(A278="","",IF(COUNTIFS('TRANSAKSI PENJUALAN'!$A$5:$A$504,A278)=0,"BELUM ADA",INDEX('TRANSAKSI PENJUALAN'!$M$5:$M$504,MATCH(A278,'TRANSAKSI PENJUALAN'!$A$5:$A$504,0))))</f>
        <v/>
      </c>
      <c r="R278" s="24" t="str">
        <f aca="false">IF(A278="","",COUNTIF($A$5:A278,A278))</f>
        <v/>
      </c>
      <c r="S278" s="24" t="str">
        <f aca="false">IF(A278="","",A278&amp;"|"&amp;R278)</f>
        <v/>
      </c>
    </row>
    <row r="279" customFormat="false" ht="15" hidden="false" customHeight="false" outlineLevel="0" collapsed="false">
      <c r="C279" s="0" t="str">
        <f aca="false">IF(B279="","",IF(COUNTIFS('MASTER MENU'!$A$5:$A$504,B279)=0,"BELUM ADA",INDEX('MASTER MENU'!$B$5:$B$504,MATCH(B279,'MASTER MENU'!$A$5:$A$504,0))))</f>
        <v/>
      </c>
      <c r="D279" s="0" t="str">
        <f aca="false">IF(B279="","",IF(COUNTIFS('MASTER MENU'!$A$5:$A$504,B279)=0,"BELUM ADA",INDEX('MASTER MENU'!$E$5:$E$504,MATCH(B279,'MASTER MENU'!$A$5:$A$504,0))))</f>
        <v/>
      </c>
      <c r="F279" s="0" t="str">
        <f aca="false">IF(B279="","",IF(COUNTIFS('MASTER MENU'!$A$5:$A$504,B279)=0,"BELUM ADA",INDEX('MASTER MENU'!$F$5:$F$504,MATCH(B279,'MASTER MENU'!$A$5:$A$504,0))))</f>
        <v/>
      </c>
      <c r="G279" s="0" t="str">
        <f aca="false">IF(A279="","",IF(OR(NOT(ISNUMBER(E279)),NOT(ISNUMBER(F279))),"BELUM LENGKAP",ROUND(E279*F279,0)))</f>
        <v/>
      </c>
      <c r="J279" s="0" t="str">
        <f aca="false">IF(A279="","",IF(NOT(ISNUMBER(G279)),"BELUM LENGKAP",G279-H279-I279))</f>
        <v/>
      </c>
      <c r="L279" s="0" t="str">
        <f aca="false">IF(A279="","",IF(NOT(ISNUMBER(K279)),"ISI SNAPSHOT HPP",ROUND(E279*K279,0)))</f>
        <v/>
      </c>
      <c r="M279" s="0" t="str">
        <f aca="false">IF(A279="","",IF(NOT(ISNUMBER(L279)),"BELUM LENGKAP",J279-L279))</f>
        <v/>
      </c>
      <c r="N279" s="0" t="str">
        <f aca="false">IF(B279="","",IF(COUNTIFS('RESEP DAN HPP'!$A$5:$A$504,B279,'RESEP DAN HPP'!$N$5:$N$504,"LENGKAP")=0,"BELUM LENGKAP",INDEX('RESEP DAN HPP'!$J$5:$J$504,MATCH(B279,'RESEP DAN HPP'!$A$5:$A$504,0))))</f>
        <v/>
      </c>
      <c r="P279" s="0" t="str">
        <f aca="false">IF(A279="","",IF(COUNTIFS('TRANSAKSI PENJUALAN'!$A$5:$A$504,A279)=0,"BELUM ADA",INDEX('TRANSAKSI PENJUALAN'!$B$5:$B$504,MATCH(A279,'TRANSAKSI PENJUALAN'!$A$5:$A$504,0))))</f>
        <v/>
      </c>
      <c r="Q279" s="0" t="str">
        <f aca="false">IF(A279="","",IF(COUNTIFS('TRANSAKSI PENJUALAN'!$A$5:$A$504,A279)=0,"BELUM ADA",INDEX('TRANSAKSI PENJUALAN'!$M$5:$M$504,MATCH(A279,'TRANSAKSI PENJUALAN'!$A$5:$A$504,0))))</f>
        <v/>
      </c>
      <c r="R279" s="24" t="str">
        <f aca="false">IF(A279="","",COUNTIF($A$5:A279,A279))</f>
        <v/>
      </c>
      <c r="S279" s="24" t="str">
        <f aca="false">IF(A279="","",A279&amp;"|"&amp;R279)</f>
        <v/>
      </c>
    </row>
    <row r="280" customFormat="false" ht="15" hidden="false" customHeight="false" outlineLevel="0" collapsed="false">
      <c r="C280" s="0" t="str">
        <f aca="false">IF(B280="","",IF(COUNTIFS('MASTER MENU'!$A$5:$A$504,B280)=0,"BELUM ADA",INDEX('MASTER MENU'!$B$5:$B$504,MATCH(B280,'MASTER MENU'!$A$5:$A$504,0))))</f>
        <v/>
      </c>
      <c r="D280" s="0" t="str">
        <f aca="false">IF(B280="","",IF(COUNTIFS('MASTER MENU'!$A$5:$A$504,B280)=0,"BELUM ADA",INDEX('MASTER MENU'!$E$5:$E$504,MATCH(B280,'MASTER MENU'!$A$5:$A$504,0))))</f>
        <v/>
      </c>
      <c r="F280" s="0" t="str">
        <f aca="false">IF(B280="","",IF(COUNTIFS('MASTER MENU'!$A$5:$A$504,B280)=0,"BELUM ADA",INDEX('MASTER MENU'!$F$5:$F$504,MATCH(B280,'MASTER MENU'!$A$5:$A$504,0))))</f>
        <v/>
      </c>
      <c r="G280" s="0" t="str">
        <f aca="false">IF(A280="","",IF(OR(NOT(ISNUMBER(E280)),NOT(ISNUMBER(F280))),"BELUM LENGKAP",ROUND(E280*F280,0)))</f>
        <v/>
      </c>
      <c r="J280" s="0" t="str">
        <f aca="false">IF(A280="","",IF(NOT(ISNUMBER(G280)),"BELUM LENGKAP",G280-H280-I280))</f>
        <v/>
      </c>
      <c r="L280" s="0" t="str">
        <f aca="false">IF(A280="","",IF(NOT(ISNUMBER(K280)),"ISI SNAPSHOT HPP",ROUND(E280*K280,0)))</f>
        <v/>
      </c>
      <c r="M280" s="0" t="str">
        <f aca="false">IF(A280="","",IF(NOT(ISNUMBER(L280)),"BELUM LENGKAP",J280-L280))</f>
        <v/>
      </c>
      <c r="N280" s="0" t="str">
        <f aca="false">IF(B280="","",IF(COUNTIFS('RESEP DAN HPP'!$A$5:$A$504,B280,'RESEP DAN HPP'!$N$5:$N$504,"LENGKAP")=0,"BELUM LENGKAP",INDEX('RESEP DAN HPP'!$J$5:$J$504,MATCH(B280,'RESEP DAN HPP'!$A$5:$A$504,0))))</f>
        <v/>
      </c>
      <c r="P280" s="0" t="str">
        <f aca="false">IF(A280="","",IF(COUNTIFS('TRANSAKSI PENJUALAN'!$A$5:$A$504,A280)=0,"BELUM ADA",INDEX('TRANSAKSI PENJUALAN'!$B$5:$B$504,MATCH(A280,'TRANSAKSI PENJUALAN'!$A$5:$A$504,0))))</f>
        <v/>
      </c>
      <c r="Q280" s="0" t="str">
        <f aca="false">IF(A280="","",IF(COUNTIFS('TRANSAKSI PENJUALAN'!$A$5:$A$504,A280)=0,"BELUM ADA",INDEX('TRANSAKSI PENJUALAN'!$M$5:$M$504,MATCH(A280,'TRANSAKSI PENJUALAN'!$A$5:$A$504,0))))</f>
        <v/>
      </c>
      <c r="R280" s="24" t="str">
        <f aca="false">IF(A280="","",COUNTIF($A$5:A280,A280))</f>
        <v/>
      </c>
      <c r="S280" s="24" t="str">
        <f aca="false">IF(A280="","",A280&amp;"|"&amp;R280)</f>
        <v/>
      </c>
    </row>
    <row r="281" customFormat="false" ht="15" hidden="false" customHeight="false" outlineLevel="0" collapsed="false">
      <c r="C281" s="0" t="str">
        <f aca="false">IF(B281="","",IF(COUNTIFS('MASTER MENU'!$A$5:$A$504,B281)=0,"BELUM ADA",INDEX('MASTER MENU'!$B$5:$B$504,MATCH(B281,'MASTER MENU'!$A$5:$A$504,0))))</f>
        <v/>
      </c>
      <c r="D281" s="0" t="str">
        <f aca="false">IF(B281="","",IF(COUNTIFS('MASTER MENU'!$A$5:$A$504,B281)=0,"BELUM ADA",INDEX('MASTER MENU'!$E$5:$E$504,MATCH(B281,'MASTER MENU'!$A$5:$A$504,0))))</f>
        <v/>
      </c>
      <c r="F281" s="0" t="str">
        <f aca="false">IF(B281="","",IF(COUNTIFS('MASTER MENU'!$A$5:$A$504,B281)=0,"BELUM ADA",INDEX('MASTER MENU'!$F$5:$F$504,MATCH(B281,'MASTER MENU'!$A$5:$A$504,0))))</f>
        <v/>
      </c>
      <c r="G281" s="0" t="str">
        <f aca="false">IF(A281="","",IF(OR(NOT(ISNUMBER(E281)),NOT(ISNUMBER(F281))),"BELUM LENGKAP",ROUND(E281*F281,0)))</f>
        <v/>
      </c>
      <c r="J281" s="0" t="str">
        <f aca="false">IF(A281="","",IF(NOT(ISNUMBER(G281)),"BELUM LENGKAP",G281-H281-I281))</f>
        <v/>
      </c>
      <c r="L281" s="0" t="str">
        <f aca="false">IF(A281="","",IF(NOT(ISNUMBER(K281)),"ISI SNAPSHOT HPP",ROUND(E281*K281,0)))</f>
        <v/>
      </c>
      <c r="M281" s="0" t="str">
        <f aca="false">IF(A281="","",IF(NOT(ISNUMBER(L281)),"BELUM LENGKAP",J281-L281))</f>
        <v/>
      </c>
      <c r="N281" s="0" t="str">
        <f aca="false">IF(B281="","",IF(COUNTIFS('RESEP DAN HPP'!$A$5:$A$504,B281,'RESEP DAN HPP'!$N$5:$N$504,"LENGKAP")=0,"BELUM LENGKAP",INDEX('RESEP DAN HPP'!$J$5:$J$504,MATCH(B281,'RESEP DAN HPP'!$A$5:$A$504,0))))</f>
        <v/>
      </c>
      <c r="P281" s="0" t="str">
        <f aca="false">IF(A281="","",IF(COUNTIFS('TRANSAKSI PENJUALAN'!$A$5:$A$504,A281)=0,"BELUM ADA",INDEX('TRANSAKSI PENJUALAN'!$B$5:$B$504,MATCH(A281,'TRANSAKSI PENJUALAN'!$A$5:$A$504,0))))</f>
        <v/>
      </c>
      <c r="Q281" s="0" t="str">
        <f aca="false">IF(A281="","",IF(COUNTIFS('TRANSAKSI PENJUALAN'!$A$5:$A$504,A281)=0,"BELUM ADA",INDEX('TRANSAKSI PENJUALAN'!$M$5:$M$504,MATCH(A281,'TRANSAKSI PENJUALAN'!$A$5:$A$504,0))))</f>
        <v/>
      </c>
      <c r="R281" s="24" t="str">
        <f aca="false">IF(A281="","",COUNTIF($A$5:A281,A281))</f>
        <v/>
      </c>
      <c r="S281" s="24" t="str">
        <f aca="false">IF(A281="","",A281&amp;"|"&amp;R281)</f>
        <v/>
      </c>
    </row>
    <row r="282" customFormat="false" ht="15" hidden="false" customHeight="false" outlineLevel="0" collapsed="false">
      <c r="C282" s="0" t="str">
        <f aca="false">IF(B282="","",IF(COUNTIFS('MASTER MENU'!$A$5:$A$504,B282)=0,"BELUM ADA",INDEX('MASTER MENU'!$B$5:$B$504,MATCH(B282,'MASTER MENU'!$A$5:$A$504,0))))</f>
        <v/>
      </c>
      <c r="D282" s="0" t="str">
        <f aca="false">IF(B282="","",IF(COUNTIFS('MASTER MENU'!$A$5:$A$504,B282)=0,"BELUM ADA",INDEX('MASTER MENU'!$E$5:$E$504,MATCH(B282,'MASTER MENU'!$A$5:$A$504,0))))</f>
        <v/>
      </c>
      <c r="F282" s="0" t="str">
        <f aca="false">IF(B282="","",IF(COUNTIFS('MASTER MENU'!$A$5:$A$504,B282)=0,"BELUM ADA",INDEX('MASTER MENU'!$F$5:$F$504,MATCH(B282,'MASTER MENU'!$A$5:$A$504,0))))</f>
        <v/>
      </c>
      <c r="G282" s="0" t="str">
        <f aca="false">IF(A282="","",IF(OR(NOT(ISNUMBER(E282)),NOT(ISNUMBER(F282))),"BELUM LENGKAP",ROUND(E282*F282,0)))</f>
        <v/>
      </c>
      <c r="J282" s="0" t="str">
        <f aca="false">IF(A282="","",IF(NOT(ISNUMBER(G282)),"BELUM LENGKAP",G282-H282-I282))</f>
        <v/>
      </c>
      <c r="L282" s="0" t="str">
        <f aca="false">IF(A282="","",IF(NOT(ISNUMBER(K282)),"ISI SNAPSHOT HPP",ROUND(E282*K282,0)))</f>
        <v/>
      </c>
      <c r="M282" s="0" t="str">
        <f aca="false">IF(A282="","",IF(NOT(ISNUMBER(L282)),"BELUM LENGKAP",J282-L282))</f>
        <v/>
      </c>
      <c r="N282" s="0" t="str">
        <f aca="false">IF(B282="","",IF(COUNTIFS('RESEP DAN HPP'!$A$5:$A$504,B282,'RESEP DAN HPP'!$N$5:$N$504,"LENGKAP")=0,"BELUM LENGKAP",INDEX('RESEP DAN HPP'!$J$5:$J$504,MATCH(B282,'RESEP DAN HPP'!$A$5:$A$504,0))))</f>
        <v/>
      </c>
      <c r="P282" s="0" t="str">
        <f aca="false">IF(A282="","",IF(COUNTIFS('TRANSAKSI PENJUALAN'!$A$5:$A$504,A282)=0,"BELUM ADA",INDEX('TRANSAKSI PENJUALAN'!$B$5:$B$504,MATCH(A282,'TRANSAKSI PENJUALAN'!$A$5:$A$504,0))))</f>
        <v/>
      </c>
      <c r="Q282" s="0" t="str">
        <f aca="false">IF(A282="","",IF(COUNTIFS('TRANSAKSI PENJUALAN'!$A$5:$A$504,A282)=0,"BELUM ADA",INDEX('TRANSAKSI PENJUALAN'!$M$5:$M$504,MATCH(A282,'TRANSAKSI PENJUALAN'!$A$5:$A$504,0))))</f>
        <v/>
      </c>
      <c r="R282" s="24" t="str">
        <f aca="false">IF(A282="","",COUNTIF($A$5:A282,A282))</f>
        <v/>
      </c>
      <c r="S282" s="24" t="str">
        <f aca="false">IF(A282="","",A282&amp;"|"&amp;R282)</f>
        <v/>
      </c>
    </row>
    <row r="283" customFormat="false" ht="15" hidden="false" customHeight="false" outlineLevel="0" collapsed="false">
      <c r="C283" s="0" t="str">
        <f aca="false">IF(B283="","",IF(COUNTIFS('MASTER MENU'!$A$5:$A$504,B283)=0,"BELUM ADA",INDEX('MASTER MENU'!$B$5:$B$504,MATCH(B283,'MASTER MENU'!$A$5:$A$504,0))))</f>
        <v/>
      </c>
      <c r="D283" s="0" t="str">
        <f aca="false">IF(B283="","",IF(COUNTIFS('MASTER MENU'!$A$5:$A$504,B283)=0,"BELUM ADA",INDEX('MASTER MENU'!$E$5:$E$504,MATCH(B283,'MASTER MENU'!$A$5:$A$504,0))))</f>
        <v/>
      </c>
      <c r="F283" s="0" t="str">
        <f aca="false">IF(B283="","",IF(COUNTIFS('MASTER MENU'!$A$5:$A$504,B283)=0,"BELUM ADA",INDEX('MASTER MENU'!$F$5:$F$504,MATCH(B283,'MASTER MENU'!$A$5:$A$504,0))))</f>
        <v/>
      </c>
      <c r="G283" s="0" t="str">
        <f aca="false">IF(A283="","",IF(OR(NOT(ISNUMBER(E283)),NOT(ISNUMBER(F283))),"BELUM LENGKAP",ROUND(E283*F283,0)))</f>
        <v/>
      </c>
      <c r="J283" s="0" t="str">
        <f aca="false">IF(A283="","",IF(NOT(ISNUMBER(G283)),"BELUM LENGKAP",G283-H283-I283))</f>
        <v/>
      </c>
      <c r="L283" s="0" t="str">
        <f aca="false">IF(A283="","",IF(NOT(ISNUMBER(K283)),"ISI SNAPSHOT HPP",ROUND(E283*K283,0)))</f>
        <v/>
      </c>
      <c r="M283" s="0" t="str">
        <f aca="false">IF(A283="","",IF(NOT(ISNUMBER(L283)),"BELUM LENGKAP",J283-L283))</f>
        <v/>
      </c>
      <c r="N283" s="0" t="str">
        <f aca="false">IF(B283="","",IF(COUNTIFS('RESEP DAN HPP'!$A$5:$A$504,B283,'RESEP DAN HPP'!$N$5:$N$504,"LENGKAP")=0,"BELUM LENGKAP",INDEX('RESEP DAN HPP'!$J$5:$J$504,MATCH(B283,'RESEP DAN HPP'!$A$5:$A$504,0))))</f>
        <v/>
      </c>
      <c r="P283" s="0" t="str">
        <f aca="false">IF(A283="","",IF(COUNTIFS('TRANSAKSI PENJUALAN'!$A$5:$A$504,A283)=0,"BELUM ADA",INDEX('TRANSAKSI PENJUALAN'!$B$5:$B$504,MATCH(A283,'TRANSAKSI PENJUALAN'!$A$5:$A$504,0))))</f>
        <v/>
      </c>
      <c r="Q283" s="0" t="str">
        <f aca="false">IF(A283="","",IF(COUNTIFS('TRANSAKSI PENJUALAN'!$A$5:$A$504,A283)=0,"BELUM ADA",INDEX('TRANSAKSI PENJUALAN'!$M$5:$M$504,MATCH(A283,'TRANSAKSI PENJUALAN'!$A$5:$A$504,0))))</f>
        <v/>
      </c>
      <c r="R283" s="24" t="str">
        <f aca="false">IF(A283="","",COUNTIF($A$5:A283,A283))</f>
        <v/>
      </c>
      <c r="S283" s="24" t="str">
        <f aca="false">IF(A283="","",A283&amp;"|"&amp;R283)</f>
        <v/>
      </c>
    </row>
    <row r="284" customFormat="false" ht="15" hidden="false" customHeight="false" outlineLevel="0" collapsed="false">
      <c r="C284" s="0" t="str">
        <f aca="false">IF(B284="","",IF(COUNTIFS('MASTER MENU'!$A$5:$A$504,B284)=0,"BELUM ADA",INDEX('MASTER MENU'!$B$5:$B$504,MATCH(B284,'MASTER MENU'!$A$5:$A$504,0))))</f>
        <v/>
      </c>
      <c r="D284" s="0" t="str">
        <f aca="false">IF(B284="","",IF(COUNTIFS('MASTER MENU'!$A$5:$A$504,B284)=0,"BELUM ADA",INDEX('MASTER MENU'!$E$5:$E$504,MATCH(B284,'MASTER MENU'!$A$5:$A$504,0))))</f>
        <v/>
      </c>
      <c r="F284" s="0" t="str">
        <f aca="false">IF(B284="","",IF(COUNTIFS('MASTER MENU'!$A$5:$A$504,B284)=0,"BELUM ADA",INDEX('MASTER MENU'!$F$5:$F$504,MATCH(B284,'MASTER MENU'!$A$5:$A$504,0))))</f>
        <v/>
      </c>
      <c r="G284" s="0" t="str">
        <f aca="false">IF(A284="","",IF(OR(NOT(ISNUMBER(E284)),NOT(ISNUMBER(F284))),"BELUM LENGKAP",ROUND(E284*F284,0)))</f>
        <v/>
      </c>
      <c r="J284" s="0" t="str">
        <f aca="false">IF(A284="","",IF(NOT(ISNUMBER(G284)),"BELUM LENGKAP",G284-H284-I284))</f>
        <v/>
      </c>
      <c r="L284" s="0" t="str">
        <f aca="false">IF(A284="","",IF(NOT(ISNUMBER(K284)),"ISI SNAPSHOT HPP",ROUND(E284*K284,0)))</f>
        <v/>
      </c>
      <c r="M284" s="0" t="str">
        <f aca="false">IF(A284="","",IF(NOT(ISNUMBER(L284)),"BELUM LENGKAP",J284-L284))</f>
        <v/>
      </c>
      <c r="N284" s="0" t="str">
        <f aca="false">IF(B284="","",IF(COUNTIFS('RESEP DAN HPP'!$A$5:$A$504,B284,'RESEP DAN HPP'!$N$5:$N$504,"LENGKAP")=0,"BELUM LENGKAP",INDEX('RESEP DAN HPP'!$J$5:$J$504,MATCH(B284,'RESEP DAN HPP'!$A$5:$A$504,0))))</f>
        <v/>
      </c>
      <c r="P284" s="0" t="str">
        <f aca="false">IF(A284="","",IF(COUNTIFS('TRANSAKSI PENJUALAN'!$A$5:$A$504,A284)=0,"BELUM ADA",INDEX('TRANSAKSI PENJUALAN'!$B$5:$B$504,MATCH(A284,'TRANSAKSI PENJUALAN'!$A$5:$A$504,0))))</f>
        <v/>
      </c>
      <c r="Q284" s="0" t="str">
        <f aca="false">IF(A284="","",IF(COUNTIFS('TRANSAKSI PENJUALAN'!$A$5:$A$504,A284)=0,"BELUM ADA",INDEX('TRANSAKSI PENJUALAN'!$M$5:$M$504,MATCH(A284,'TRANSAKSI PENJUALAN'!$A$5:$A$504,0))))</f>
        <v/>
      </c>
      <c r="R284" s="24" t="str">
        <f aca="false">IF(A284="","",COUNTIF($A$5:A284,A284))</f>
        <v/>
      </c>
      <c r="S284" s="24" t="str">
        <f aca="false">IF(A284="","",A284&amp;"|"&amp;R284)</f>
        <v/>
      </c>
    </row>
    <row r="285" customFormat="false" ht="15" hidden="false" customHeight="false" outlineLevel="0" collapsed="false">
      <c r="C285" s="0" t="str">
        <f aca="false">IF(B285="","",IF(COUNTIFS('MASTER MENU'!$A$5:$A$504,B285)=0,"BELUM ADA",INDEX('MASTER MENU'!$B$5:$B$504,MATCH(B285,'MASTER MENU'!$A$5:$A$504,0))))</f>
        <v/>
      </c>
      <c r="D285" s="0" t="str">
        <f aca="false">IF(B285="","",IF(COUNTIFS('MASTER MENU'!$A$5:$A$504,B285)=0,"BELUM ADA",INDEX('MASTER MENU'!$E$5:$E$504,MATCH(B285,'MASTER MENU'!$A$5:$A$504,0))))</f>
        <v/>
      </c>
      <c r="F285" s="0" t="str">
        <f aca="false">IF(B285="","",IF(COUNTIFS('MASTER MENU'!$A$5:$A$504,B285)=0,"BELUM ADA",INDEX('MASTER MENU'!$F$5:$F$504,MATCH(B285,'MASTER MENU'!$A$5:$A$504,0))))</f>
        <v/>
      </c>
      <c r="G285" s="0" t="str">
        <f aca="false">IF(A285="","",IF(OR(NOT(ISNUMBER(E285)),NOT(ISNUMBER(F285))),"BELUM LENGKAP",ROUND(E285*F285,0)))</f>
        <v/>
      </c>
      <c r="J285" s="0" t="str">
        <f aca="false">IF(A285="","",IF(NOT(ISNUMBER(G285)),"BELUM LENGKAP",G285-H285-I285))</f>
        <v/>
      </c>
      <c r="L285" s="0" t="str">
        <f aca="false">IF(A285="","",IF(NOT(ISNUMBER(K285)),"ISI SNAPSHOT HPP",ROUND(E285*K285,0)))</f>
        <v/>
      </c>
      <c r="M285" s="0" t="str">
        <f aca="false">IF(A285="","",IF(NOT(ISNUMBER(L285)),"BELUM LENGKAP",J285-L285))</f>
        <v/>
      </c>
      <c r="N285" s="0" t="str">
        <f aca="false">IF(B285="","",IF(COUNTIFS('RESEP DAN HPP'!$A$5:$A$504,B285,'RESEP DAN HPP'!$N$5:$N$504,"LENGKAP")=0,"BELUM LENGKAP",INDEX('RESEP DAN HPP'!$J$5:$J$504,MATCH(B285,'RESEP DAN HPP'!$A$5:$A$504,0))))</f>
        <v/>
      </c>
      <c r="P285" s="0" t="str">
        <f aca="false">IF(A285="","",IF(COUNTIFS('TRANSAKSI PENJUALAN'!$A$5:$A$504,A285)=0,"BELUM ADA",INDEX('TRANSAKSI PENJUALAN'!$B$5:$B$504,MATCH(A285,'TRANSAKSI PENJUALAN'!$A$5:$A$504,0))))</f>
        <v/>
      </c>
      <c r="Q285" s="0" t="str">
        <f aca="false">IF(A285="","",IF(COUNTIFS('TRANSAKSI PENJUALAN'!$A$5:$A$504,A285)=0,"BELUM ADA",INDEX('TRANSAKSI PENJUALAN'!$M$5:$M$504,MATCH(A285,'TRANSAKSI PENJUALAN'!$A$5:$A$504,0))))</f>
        <v/>
      </c>
      <c r="R285" s="24" t="str">
        <f aca="false">IF(A285="","",COUNTIF($A$5:A285,A285))</f>
        <v/>
      </c>
      <c r="S285" s="24" t="str">
        <f aca="false">IF(A285="","",A285&amp;"|"&amp;R285)</f>
        <v/>
      </c>
    </row>
    <row r="286" customFormat="false" ht="15" hidden="false" customHeight="false" outlineLevel="0" collapsed="false">
      <c r="C286" s="0" t="str">
        <f aca="false">IF(B286="","",IF(COUNTIFS('MASTER MENU'!$A$5:$A$504,B286)=0,"BELUM ADA",INDEX('MASTER MENU'!$B$5:$B$504,MATCH(B286,'MASTER MENU'!$A$5:$A$504,0))))</f>
        <v/>
      </c>
      <c r="D286" s="0" t="str">
        <f aca="false">IF(B286="","",IF(COUNTIFS('MASTER MENU'!$A$5:$A$504,B286)=0,"BELUM ADA",INDEX('MASTER MENU'!$E$5:$E$504,MATCH(B286,'MASTER MENU'!$A$5:$A$504,0))))</f>
        <v/>
      </c>
      <c r="F286" s="0" t="str">
        <f aca="false">IF(B286="","",IF(COUNTIFS('MASTER MENU'!$A$5:$A$504,B286)=0,"BELUM ADA",INDEX('MASTER MENU'!$F$5:$F$504,MATCH(B286,'MASTER MENU'!$A$5:$A$504,0))))</f>
        <v/>
      </c>
      <c r="G286" s="0" t="str">
        <f aca="false">IF(A286="","",IF(OR(NOT(ISNUMBER(E286)),NOT(ISNUMBER(F286))),"BELUM LENGKAP",ROUND(E286*F286,0)))</f>
        <v/>
      </c>
      <c r="J286" s="0" t="str">
        <f aca="false">IF(A286="","",IF(NOT(ISNUMBER(G286)),"BELUM LENGKAP",G286-H286-I286))</f>
        <v/>
      </c>
      <c r="L286" s="0" t="str">
        <f aca="false">IF(A286="","",IF(NOT(ISNUMBER(K286)),"ISI SNAPSHOT HPP",ROUND(E286*K286,0)))</f>
        <v/>
      </c>
      <c r="M286" s="0" t="str">
        <f aca="false">IF(A286="","",IF(NOT(ISNUMBER(L286)),"BELUM LENGKAP",J286-L286))</f>
        <v/>
      </c>
      <c r="N286" s="0" t="str">
        <f aca="false">IF(B286="","",IF(COUNTIFS('RESEP DAN HPP'!$A$5:$A$504,B286,'RESEP DAN HPP'!$N$5:$N$504,"LENGKAP")=0,"BELUM LENGKAP",INDEX('RESEP DAN HPP'!$J$5:$J$504,MATCH(B286,'RESEP DAN HPP'!$A$5:$A$504,0))))</f>
        <v/>
      </c>
      <c r="P286" s="0" t="str">
        <f aca="false">IF(A286="","",IF(COUNTIFS('TRANSAKSI PENJUALAN'!$A$5:$A$504,A286)=0,"BELUM ADA",INDEX('TRANSAKSI PENJUALAN'!$B$5:$B$504,MATCH(A286,'TRANSAKSI PENJUALAN'!$A$5:$A$504,0))))</f>
        <v/>
      </c>
      <c r="Q286" s="0" t="str">
        <f aca="false">IF(A286="","",IF(COUNTIFS('TRANSAKSI PENJUALAN'!$A$5:$A$504,A286)=0,"BELUM ADA",INDEX('TRANSAKSI PENJUALAN'!$M$5:$M$504,MATCH(A286,'TRANSAKSI PENJUALAN'!$A$5:$A$504,0))))</f>
        <v/>
      </c>
      <c r="R286" s="24" t="str">
        <f aca="false">IF(A286="","",COUNTIF($A$5:A286,A286))</f>
        <v/>
      </c>
      <c r="S286" s="24" t="str">
        <f aca="false">IF(A286="","",A286&amp;"|"&amp;R286)</f>
        <v/>
      </c>
    </row>
    <row r="287" customFormat="false" ht="15" hidden="false" customHeight="false" outlineLevel="0" collapsed="false">
      <c r="C287" s="0" t="str">
        <f aca="false">IF(B287="","",IF(COUNTIFS('MASTER MENU'!$A$5:$A$504,B287)=0,"BELUM ADA",INDEX('MASTER MENU'!$B$5:$B$504,MATCH(B287,'MASTER MENU'!$A$5:$A$504,0))))</f>
        <v/>
      </c>
      <c r="D287" s="0" t="str">
        <f aca="false">IF(B287="","",IF(COUNTIFS('MASTER MENU'!$A$5:$A$504,B287)=0,"BELUM ADA",INDEX('MASTER MENU'!$E$5:$E$504,MATCH(B287,'MASTER MENU'!$A$5:$A$504,0))))</f>
        <v/>
      </c>
      <c r="F287" s="0" t="str">
        <f aca="false">IF(B287="","",IF(COUNTIFS('MASTER MENU'!$A$5:$A$504,B287)=0,"BELUM ADA",INDEX('MASTER MENU'!$F$5:$F$504,MATCH(B287,'MASTER MENU'!$A$5:$A$504,0))))</f>
        <v/>
      </c>
      <c r="G287" s="0" t="str">
        <f aca="false">IF(A287="","",IF(OR(NOT(ISNUMBER(E287)),NOT(ISNUMBER(F287))),"BELUM LENGKAP",ROUND(E287*F287,0)))</f>
        <v/>
      </c>
      <c r="J287" s="0" t="str">
        <f aca="false">IF(A287="","",IF(NOT(ISNUMBER(G287)),"BELUM LENGKAP",G287-H287-I287))</f>
        <v/>
      </c>
      <c r="L287" s="0" t="str">
        <f aca="false">IF(A287="","",IF(NOT(ISNUMBER(K287)),"ISI SNAPSHOT HPP",ROUND(E287*K287,0)))</f>
        <v/>
      </c>
      <c r="M287" s="0" t="str">
        <f aca="false">IF(A287="","",IF(NOT(ISNUMBER(L287)),"BELUM LENGKAP",J287-L287))</f>
        <v/>
      </c>
      <c r="N287" s="0" t="str">
        <f aca="false">IF(B287="","",IF(COUNTIFS('RESEP DAN HPP'!$A$5:$A$504,B287,'RESEP DAN HPP'!$N$5:$N$504,"LENGKAP")=0,"BELUM LENGKAP",INDEX('RESEP DAN HPP'!$J$5:$J$504,MATCH(B287,'RESEP DAN HPP'!$A$5:$A$504,0))))</f>
        <v/>
      </c>
      <c r="P287" s="0" t="str">
        <f aca="false">IF(A287="","",IF(COUNTIFS('TRANSAKSI PENJUALAN'!$A$5:$A$504,A287)=0,"BELUM ADA",INDEX('TRANSAKSI PENJUALAN'!$B$5:$B$504,MATCH(A287,'TRANSAKSI PENJUALAN'!$A$5:$A$504,0))))</f>
        <v/>
      </c>
      <c r="Q287" s="0" t="str">
        <f aca="false">IF(A287="","",IF(COUNTIFS('TRANSAKSI PENJUALAN'!$A$5:$A$504,A287)=0,"BELUM ADA",INDEX('TRANSAKSI PENJUALAN'!$M$5:$M$504,MATCH(A287,'TRANSAKSI PENJUALAN'!$A$5:$A$504,0))))</f>
        <v/>
      </c>
      <c r="R287" s="24" t="str">
        <f aca="false">IF(A287="","",COUNTIF($A$5:A287,A287))</f>
        <v/>
      </c>
      <c r="S287" s="24" t="str">
        <f aca="false">IF(A287="","",A287&amp;"|"&amp;R287)</f>
        <v/>
      </c>
    </row>
    <row r="288" customFormat="false" ht="15" hidden="false" customHeight="false" outlineLevel="0" collapsed="false">
      <c r="C288" s="0" t="str">
        <f aca="false">IF(B288="","",IF(COUNTIFS('MASTER MENU'!$A$5:$A$504,B288)=0,"BELUM ADA",INDEX('MASTER MENU'!$B$5:$B$504,MATCH(B288,'MASTER MENU'!$A$5:$A$504,0))))</f>
        <v/>
      </c>
      <c r="D288" s="0" t="str">
        <f aca="false">IF(B288="","",IF(COUNTIFS('MASTER MENU'!$A$5:$A$504,B288)=0,"BELUM ADA",INDEX('MASTER MENU'!$E$5:$E$504,MATCH(B288,'MASTER MENU'!$A$5:$A$504,0))))</f>
        <v/>
      </c>
      <c r="F288" s="0" t="str">
        <f aca="false">IF(B288="","",IF(COUNTIFS('MASTER MENU'!$A$5:$A$504,B288)=0,"BELUM ADA",INDEX('MASTER MENU'!$F$5:$F$504,MATCH(B288,'MASTER MENU'!$A$5:$A$504,0))))</f>
        <v/>
      </c>
      <c r="G288" s="0" t="str">
        <f aca="false">IF(A288="","",IF(OR(NOT(ISNUMBER(E288)),NOT(ISNUMBER(F288))),"BELUM LENGKAP",ROUND(E288*F288,0)))</f>
        <v/>
      </c>
      <c r="J288" s="0" t="str">
        <f aca="false">IF(A288="","",IF(NOT(ISNUMBER(G288)),"BELUM LENGKAP",G288-H288-I288))</f>
        <v/>
      </c>
      <c r="L288" s="0" t="str">
        <f aca="false">IF(A288="","",IF(NOT(ISNUMBER(K288)),"ISI SNAPSHOT HPP",ROUND(E288*K288,0)))</f>
        <v/>
      </c>
      <c r="M288" s="0" t="str">
        <f aca="false">IF(A288="","",IF(NOT(ISNUMBER(L288)),"BELUM LENGKAP",J288-L288))</f>
        <v/>
      </c>
      <c r="N288" s="0" t="str">
        <f aca="false">IF(B288="","",IF(COUNTIFS('RESEP DAN HPP'!$A$5:$A$504,B288,'RESEP DAN HPP'!$N$5:$N$504,"LENGKAP")=0,"BELUM LENGKAP",INDEX('RESEP DAN HPP'!$J$5:$J$504,MATCH(B288,'RESEP DAN HPP'!$A$5:$A$504,0))))</f>
        <v/>
      </c>
      <c r="P288" s="0" t="str">
        <f aca="false">IF(A288="","",IF(COUNTIFS('TRANSAKSI PENJUALAN'!$A$5:$A$504,A288)=0,"BELUM ADA",INDEX('TRANSAKSI PENJUALAN'!$B$5:$B$504,MATCH(A288,'TRANSAKSI PENJUALAN'!$A$5:$A$504,0))))</f>
        <v/>
      </c>
      <c r="Q288" s="0" t="str">
        <f aca="false">IF(A288="","",IF(COUNTIFS('TRANSAKSI PENJUALAN'!$A$5:$A$504,A288)=0,"BELUM ADA",INDEX('TRANSAKSI PENJUALAN'!$M$5:$M$504,MATCH(A288,'TRANSAKSI PENJUALAN'!$A$5:$A$504,0))))</f>
        <v/>
      </c>
      <c r="R288" s="24" t="str">
        <f aca="false">IF(A288="","",COUNTIF($A$5:A288,A288))</f>
        <v/>
      </c>
      <c r="S288" s="24" t="str">
        <f aca="false">IF(A288="","",A288&amp;"|"&amp;R288)</f>
        <v/>
      </c>
    </row>
    <row r="289" customFormat="false" ht="15" hidden="false" customHeight="false" outlineLevel="0" collapsed="false">
      <c r="C289" s="0" t="str">
        <f aca="false">IF(B289="","",IF(COUNTIFS('MASTER MENU'!$A$5:$A$504,B289)=0,"BELUM ADA",INDEX('MASTER MENU'!$B$5:$B$504,MATCH(B289,'MASTER MENU'!$A$5:$A$504,0))))</f>
        <v/>
      </c>
      <c r="D289" s="0" t="str">
        <f aca="false">IF(B289="","",IF(COUNTIFS('MASTER MENU'!$A$5:$A$504,B289)=0,"BELUM ADA",INDEX('MASTER MENU'!$E$5:$E$504,MATCH(B289,'MASTER MENU'!$A$5:$A$504,0))))</f>
        <v/>
      </c>
      <c r="F289" s="0" t="str">
        <f aca="false">IF(B289="","",IF(COUNTIFS('MASTER MENU'!$A$5:$A$504,B289)=0,"BELUM ADA",INDEX('MASTER MENU'!$F$5:$F$504,MATCH(B289,'MASTER MENU'!$A$5:$A$504,0))))</f>
        <v/>
      </c>
      <c r="G289" s="0" t="str">
        <f aca="false">IF(A289="","",IF(OR(NOT(ISNUMBER(E289)),NOT(ISNUMBER(F289))),"BELUM LENGKAP",ROUND(E289*F289,0)))</f>
        <v/>
      </c>
      <c r="J289" s="0" t="str">
        <f aca="false">IF(A289="","",IF(NOT(ISNUMBER(G289)),"BELUM LENGKAP",G289-H289-I289))</f>
        <v/>
      </c>
      <c r="L289" s="0" t="str">
        <f aca="false">IF(A289="","",IF(NOT(ISNUMBER(K289)),"ISI SNAPSHOT HPP",ROUND(E289*K289,0)))</f>
        <v/>
      </c>
      <c r="M289" s="0" t="str">
        <f aca="false">IF(A289="","",IF(NOT(ISNUMBER(L289)),"BELUM LENGKAP",J289-L289))</f>
        <v/>
      </c>
      <c r="N289" s="0" t="str">
        <f aca="false">IF(B289="","",IF(COUNTIFS('RESEP DAN HPP'!$A$5:$A$504,B289,'RESEP DAN HPP'!$N$5:$N$504,"LENGKAP")=0,"BELUM LENGKAP",INDEX('RESEP DAN HPP'!$J$5:$J$504,MATCH(B289,'RESEP DAN HPP'!$A$5:$A$504,0))))</f>
        <v/>
      </c>
      <c r="P289" s="0" t="str">
        <f aca="false">IF(A289="","",IF(COUNTIFS('TRANSAKSI PENJUALAN'!$A$5:$A$504,A289)=0,"BELUM ADA",INDEX('TRANSAKSI PENJUALAN'!$B$5:$B$504,MATCH(A289,'TRANSAKSI PENJUALAN'!$A$5:$A$504,0))))</f>
        <v/>
      </c>
      <c r="Q289" s="0" t="str">
        <f aca="false">IF(A289="","",IF(COUNTIFS('TRANSAKSI PENJUALAN'!$A$5:$A$504,A289)=0,"BELUM ADA",INDEX('TRANSAKSI PENJUALAN'!$M$5:$M$504,MATCH(A289,'TRANSAKSI PENJUALAN'!$A$5:$A$504,0))))</f>
        <v/>
      </c>
      <c r="R289" s="24" t="str">
        <f aca="false">IF(A289="","",COUNTIF($A$5:A289,A289))</f>
        <v/>
      </c>
      <c r="S289" s="24" t="str">
        <f aca="false">IF(A289="","",A289&amp;"|"&amp;R289)</f>
        <v/>
      </c>
    </row>
    <row r="290" customFormat="false" ht="15" hidden="false" customHeight="false" outlineLevel="0" collapsed="false">
      <c r="C290" s="0" t="str">
        <f aca="false">IF(B290="","",IF(COUNTIFS('MASTER MENU'!$A$5:$A$504,B290)=0,"BELUM ADA",INDEX('MASTER MENU'!$B$5:$B$504,MATCH(B290,'MASTER MENU'!$A$5:$A$504,0))))</f>
        <v/>
      </c>
      <c r="D290" s="0" t="str">
        <f aca="false">IF(B290="","",IF(COUNTIFS('MASTER MENU'!$A$5:$A$504,B290)=0,"BELUM ADA",INDEX('MASTER MENU'!$E$5:$E$504,MATCH(B290,'MASTER MENU'!$A$5:$A$504,0))))</f>
        <v/>
      </c>
      <c r="F290" s="0" t="str">
        <f aca="false">IF(B290="","",IF(COUNTIFS('MASTER MENU'!$A$5:$A$504,B290)=0,"BELUM ADA",INDEX('MASTER MENU'!$F$5:$F$504,MATCH(B290,'MASTER MENU'!$A$5:$A$504,0))))</f>
        <v/>
      </c>
      <c r="G290" s="0" t="str">
        <f aca="false">IF(A290="","",IF(OR(NOT(ISNUMBER(E290)),NOT(ISNUMBER(F290))),"BELUM LENGKAP",ROUND(E290*F290,0)))</f>
        <v/>
      </c>
      <c r="J290" s="0" t="str">
        <f aca="false">IF(A290="","",IF(NOT(ISNUMBER(G290)),"BELUM LENGKAP",G290-H290-I290))</f>
        <v/>
      </c>
      <c r="L290" s="0" t="str">
        <f aca="false">IF(A290="","",IF(NOT(ISNUMBER(K290)),"ISI SNAPSHOT HPP",ROUND(E290*K290,0)))</f>
        <v/>
      </c>
      <c r="M290" s="0" t="str">
        <f aca="false">IF(A290="","",IF(NOT(ISNUMBER(L290)),"BELUM LENGKAP",J290-L290))</f>
        <v/>
      </c>
      <c r="N290" s="0" t="str">
        <f aca="false">IF(B290="","",IF(COUNTIFS('RESEP DAN HPP'!$A$5:$A$504,B290,'RESEP DAN HPP'!$N$5:$N$504,"LENGKAP")=0,"BELUM LENGKAP",INDEX('RESEP DAN HPP'!$J$5:$J$504,MATCH(B290,'RESEP DAN HPP'!$A$5:$A$504,0))))</f>
        <v/>
      </c>
      <c r="P290" s="0" t="str">
        <f aca="false">IF(A290="","",IF(COUNTIFS('TRANSAKSI PENJUALAN'!$A$5:$A$504,A290)=0,"BELUM ADA",INDEX('TRANSAKSI PENJUALAN'!$B$5:$B$504,MATCH(A290,'TRANSAKSI PENJUALAN'!$A$5:$A$504,0))))</f>
        <v/>
      </c>
      <c r="Q290" s="0" t="str">
        <f aca="false">IF(A290="","",IF(COUNTIFS('TRANSAKSI PENJUALAN'!$A$5:$A$504,A290)=0,"BELUM ADA",INDEX('TRANSAKSI PENJUALAN'!$M$5:$M$504,MATCH(A290,'TRANSAKSI PENJUALAN'!$A$5:$A$504,0))))</f>
        <v/>
      </c>
      <c r="R290" s="24" t="str">
        <f aca="false">IF(A290="","",COUNTIF($A$5:A290,A290))</f>
        <v/>
      </c>
      <c r="S290" s="24" t="str">
        <f aca="false">IF(A290="","",A290&amp;"|"&amp;R290)</f>
        <v/>
      </c>
    </row>
    <row r="291" customFormat="false" ht="15" hidden="false" customHeight="false" outlineLevel="0" collapsed="false">
      <c r="C291" s="0" t="str">
        <f aca="false">IF(B291="","",IF(COUNTIFS('MASTER MENU'!$A$5:$A$504,B291)=0,"BELUM ADA",INDEX('MASTER MENU'!$B$5:$B$504,MATCH(B291,'MASTER MENU'!$A$5:$A$504,0))))</f>
        <v/>
      </c>
      <c r="D291" s="0" t="str">
        <f aca="false">IF(B291="","",IF(COUNTIFS('MASTER MENU'!$A$5:$A$504,B291)=0,"BELUM ADA",INDEX('MASTER MENU'!$E$5:$E$504,MATCH(B291,'MASTER MENU'!$A$5:$A$504,0))))</f>
        <v/>
      </c>
      <c r="F291" s="0" t="str">
        <f aca="false">IF(B291="","",IF(COUNTIFS('MASTER MENU'!$A$5:$A$504,B291)=0,"BELUM ADA",INDEX('MASTER MENU'!$F$5:$F$504,MATCH(B291,'MASTER MENU'!$A$5:$A$504,0))))</f>
        <v/>
      </c>
      <c r="G291" s="0" t="str">
        <f aca="false">IF(A291="","",IF(OR(NOT(ISNUMBER(E291)),NOT(ISNUMBER(F291))),"BELUM LENGKAP",ROUND(E291*F291,0)))</f>
        <v/>
      </c>
      <c r="J291" s="0" t="str">
        <f aca="false">IF(A291="","",IF(NOT(ISNUMBER(G291)),"BELUM LENGKAP",G291-H291-I291))</f>
        <v/>
      </c>
      <c r="L291" s="0" t="str">
        <f aca="false">IF(A291="","",IF(NOT(ISNUMBER(K291)),"ISI SNAPSHOT HPP",ROUND(E291*K291,0)))</f>
        <v/>
      </c>
      <c r="M291" s="0" t="str">
        <f aca="false">IF(A291="","",IF(NOT(ISNUMBER(L291)),"BELUM LENGKAP",J291-L291))</f>
        <v/>
      </c>
      <c r="N291" s="0" t="str">
        <f aca="false">IF(B291="","",IF(COUNTIFS('RESEP DAN HPP'!$A$5:$A$504,B291,'RESEP DAN HPP'!$N$5:$N$504,"LENGKAP")=0,"BELUM LENGKAP",INDEX('RESEP DAN HPP'!$J$5:$J$504,MATCH(B291,'RESEP DAN HPP'!$A$5:$A$504,0))))</f>
        <v/>
      </c>
      <c r="P291" s="0" t="str">
        <f aca="false">IF(A291="","",IF(COUNTIFS('TRANSAKSI PENJUALAN'!$A$5:$A$504,A291)=0,"BELUM ADA",INDEX('TRANSAKSI PENJUALAN'!$B$5:$B$504,MATCH(A291,'TRANSAKSI PENJUALAN'!$A$5:$A$504,0))))</f>
        <v/>
      </c>
      <c r="Q291" s="0" t="str">
        <f aca="false">IF(A291="","",IF(COUNTIFS('TRANSAKSI PENJUALAN'!$A$5:$A$504,A291)=0,"BELUM ADA",INDEX('TRANSAKSI PENJUALAN'!$M$5:$M$504,MATCH(A291,'TRANSAKSI PENJUALAN'!$A$5:$A$504,0))))</f>
        <v/>
      </c>
      <c r="R291" s="24" t="str">
        <f aca="false">IF(A291="","",COUNTIF($A$5:A291,A291))</f>
        <v/>
      </c>
      <c r="S291" s="24" t="str">
        <f aca="false">IF(A291="","",A291&amp;"|"&amp;R291)</f>
        <v/>
      </c>
    </row>
    <row r="292" customFormat="false" ht="15" hidden="false" customHeight="false" outlineLevel="0" collapsed="false">
      <c r="C292" s="0" t="str">
        <f aca="false">IF(B292="","",IF(COUNTIFS('MASTER MENU'!$A$5:$A$504,B292)=0,"BELUM ADA",INDEX('MASTER MENU'!$B$5:$B$504,MATCH(B292,'MASTER MENU'!$A$5:$A$504,0))))</f>
        <v/>
      </c>
      <c r="D292" s="0" t="str">
        <f aca="false">IF(B292="","",IF(COUNTIFS('MASTER MENU'!$A$5:$A$504,B292)=0,"BELUM ADA",INDEX('MASTER MENU'!$E$5:$E$504,MATCH(B292,'MASTER MENU'!$A$5:$A$504,0))))</f>
        <v/>
      </c>
      <c r="F292" s="0" t="str">
        <f aca="false">IF(B292="","",IF(COUNTIFS('MASTER MENU'!$A$5:$A$504,B292)=0,"BELUM ADA",INDEX('MASTER MENU'!$F$5:$F$504,MATCH(B292,'MASTER MENU'!$A$5:$A$504,0))))</f>
        <v/>
      </c>
      <c r="G292" s="0" t="str">
        <f aca="false">IF(A292="","",IF(OR(NOT(ISNUMBER(E292)),NOT(ISNUMBER(F292))),"BELUM LENGKAP",ROUND(E292*F292,0)))</f>
        <v/>
      </c>
      <c r="J292" s="0" t="str">
        <f aca="false">IF(A292="","",IF(NOT(ISNUMBER(G292)),"BELUM LENGKAP",G292-H292-I292))</f>
        <v/>
      </c>
      <c r="L292" s="0" t="str">
        <f aca="false">IF(A292="","",IF(NOT(ISNUMBER(K292)),"ISI SNAPSHOT HPP",ROUND(E292*K292,0)))</f>
        <v/>
      </c>
      <c r="M292" s="0" t="str">
        <f aca="false">IF(A292="","",IF(NOT(ISNUMBER(L292)),"BELUM LENGKAP",J292-L292))</f>
        <v/>
      </c>
      <c r="N292" s="0" t="str">
        <f aca="false">IF(B292="","",IF(COUNTIFS('RESEP DAN HPP'!$A$5:$A$504,B292,'RESEP DAN HPP'!$N$5:$N$504,"LENGKAP")=0,"BELUM LENGKAP",INDEX('RESEP DAN HPP'!$J$5:$J$504,MATCH(B292,'RESEP DAN HPP'!$A$5:$A$504,0))))</f>
        <v/>
      </c>
      <c r="P292" s="0" t="str">
        <f aca="false">IF(A292="","",IF(COUNTIFS('TRANSAKSI PENJUALAN'!$A$5:$A$504,A292)=0,"BELUM ADA",INDEX('TRANSAKSI PENJUALAN'!$B$5:$B$504,MATCH(A292,'TRANSAKSI PENJUALAN'!$A$5:$A$504,0))))</f>
        <v/>
      </c>
      <c r="Q292" s="0" t="str">
        <f aca="false">IF(A292="","",IF(COUNTIFS('TRANSAKSI PENJUALAN'!$A$5:$A$504,A292)=0,"BELUM ADA",INDEX('TRANSAKSI PENJUALAN'!$M$5:$M$504,MATCH(A292,'TRANSAKSI PENJUALAN'!$A$5:$A$504,0))))</f>
        <v/>
      </c>
      <c r="R292" s="24" t="str">
        <f aca="false">IF(A292="","",COUNTIF($A$5:A292,A292))</f>
        <v/>
      </c>
      <c r="S292" s="24" t="str">
        <f aca="false">IF(A292="","",A292&amp;"|"&amp;R292)</f>
        <v/>
      </c>
    </row>
    <row r="293" customFormat="false" ht="15" hidden="false" customHeight="false" outlineLevel="0" collapsed="false">
      <c r="C293" s="0" t="str">
        <f aca="false">IF(B293="","",IF(COUNTIFS('MASTER MENU'!$A$5:$A$504,B293)=0,"BELUM ADA",INDEX('MASTER MENU'!$B$5:$B$504,MATCH(B293,'MASTER MENU'!$A$5:$A$504,0))))</f>
        <v/>
      </c>
      <c r="D293" s="0" t="str">
        <f aca="false">IF(B293="","",IF(COUNTIFS('MASTER MENU'!$A$5:$A$504,B293)=0,"BELUM ADA",INDEX('MASTER MENU'!$E$5:$E$504,MATCH(B293,'MASTER MENU'!$A$5:$A$504,0))))</f>
        <v/>
      </c>
      <c r="F293" s="0" t="str">
        <f aca="false">IF(B293="","",IF(COUNTIFS('MASTER MENU'!$A$5:$A$504,B293)=0,"BELUM ADA",INDEX('MASTER MENU'!$F$5:$F$504,MATCH(B293,'MASTER MENU'!$A$5:$A$504,0))))</f>
        <v/>
      </c>
      <c r="G293" s="0" t="str">
        <f aca="false">IF(A293="","",IF(OR(NOT(ISNUMBER(E293)),NOT(ISNUMBER(F293))),"BELUM LENGKAP",ROUND(E293*F293,0)))</f>
        <v/>
      </c>
      <c r="J293" s="0" t="str">
        <f aca="false">IF(A293="","",IF(NOT(ISNUMBER(G293)),"BELUM LENGKAP",G293-H293-I293))</f>
        <v/>
      </c>
      <c r="L293" s="0" t="str">
        <f aca="false">IF(A293="","",IF(NOT(ISNUMBER(K293)),"ISI SNAPSHOT HPP",ROUND(E293*K293,0)))</f>
        <v/>
      </c>
      <c r="M293" s="0" t="str">
        <f aca="false">IF(A293="","",IF(NOT(ISNUMBER(L293)),"BELUM LENGKAP",J293-L293))</f>
        <v/>
      </c>
      <c r="N293" s="0" t="str">
        <f aca="false">IF(B293="","",IF(COUNTIFS('RESEP DAN HPP'!$A$5:$A$504,B293,'RESEP DAN HPP'!$N$5:$N$504,"LENGKAP")=0,"BELUM LENGKAP",INDEX('RESEP DAN HPP'!$J$5:$J$504,MATCH(B293,'RESEP DAN HPP'!$A$5:$A$504,0))))</f>
        <v/>
      </c>
      <c r="P293" s="0" t="str">
        <f aca="false">IF(A293="","",IF(COUNTIFS('TRANSAKSI PENJUALAN'!$A$5:$A$504,A293)=0,"BELUM ADA",INDEX('TRANSAKSI PENJUALAN'!$B$5:$B$504,MATCH(A293,'TRANSAKSI PENJUALAN'!$A$5:$A$504,0))))</f>
        <v/>
      </c>
      <c r="Q293" s="0" t="str">
        <f aca="false">IF(A293="","",IF(COUNTIFS('TRANSAKSI PENJUALAN'!$A$5:$A$504,A293)=0,"BELUM ADA",INDEX('TRANSAKSI PENJUALAN'!$M$5:$M$504,MATCH(A293,'TRANSAKSI PENJUALAN'!$A$5:$A$504,0))))</f>
        <v/>
      </c>
      <c r="R293" s="24" t="str">
        <f aca="false">IF(A293="","",COUNTIF($A$5:A293,A293))</f>
        <v/>
      </c>
      <c r="S293" s="24" t="str">
        <f aca="false">IF(A293="","",A293&amp;"|"&amp;R293)</f>
        <v/>
      </c>
    </row>
    <row r="294" customFormat="false" ht="15" hidden="false" customHeight="false" outlineLevel="0" collapsed="false">
      <c r="C294" s="0" t="str">
        <f aca="false">IF(B294="","",IF(COUNTIFS('MASTER MENU'!$A$5:$A$504,B294)=0,"BELUM ADA",INDEX('MASTER MENU'!$B$5:$B$504,MATCH(B294,'MASTER MENU'!$A$5:$A$504,0))))</f>
        <v/>
      </c>
      <c r="D294" s="0" t="str">
        <f aca="false">IF(B294="","",IF(COUNTIFS('MASTER MENU'!$A$5:$A$504,B294)=0,"BELUM ADA",INDEX('MASTER MENU'!$E$5:$E$504,MATCH(B294,'MASTER MENU'!$A$5:$A$504,0))))</f>
        <v/>
      </c>
      <c r="F294" s="0" t="str">
        <f aca="false">IF(B294="","",IF(COUNTIFS('MASTER MENU'!$A$5:$A$504,B294)=0,"BELUM ADA",INDEX('MASTER MENU'!$F$5:$F$504,MATCH(B294,'MASTER MENU'!$A$5:$A$504,0))))</f>
        <v/>
      </c>
      <c r="G294" s="0" t="str">
        <f aca="false">IF(A294="","",IF(OR(NOT(ISNUMBER(E294)),NOT(ISNUMBER(F294))),"BELUM LENGKAP",ROUND(E294*F294,0)))</f>
        <v/>
      </c>
      <c r="J294" s="0" t="str">
        <f aca="false">IF(A294="","",IF(NOT(ISNUMBER(G294)),"BELUM LENGKAP",G294-H294-I294))</f>
        <v/>
      </c>
      <c r="L294" s="0" t="str">
        <f aca="false">IF(A294="","",IF(NOT(ISNUMBER(K294)),"ISI SNAPSHOT HPP",ROUND(E294*K294,0)))</f>
        <v/>
      </c>
      <c r="M294" s="0" t="str">
        <f aca="false">IF(A294="","",IF(NOT(ISNUMBER(L294)),"BELUM LENGKAP",J294-L294))</f>
        <v/>
      </c>
      <c r="N294" s="0" t="str">
        <f aca="false">IF(B294="","",IF(COUNTIFS('RESEP DAN HPP'!$A$5:$A$504,B294,'RESEP DAN HPP'!$N$5:$N$504,"LENGKAP")=0,"BELUM LENGKAP",INDEX('RESEP DAN HPP'!$J$5:$J$504,MATCH(B294,'RESEP DAN HPP'!$A$5:$A$504,0))))</f>
        <v/>
      </c>
      <c r="P294" s="0" t="str">
        <f aca="false">IF(A294="","",IF(COUNTIFS('TRANSAKSI PENJUALAN'!$A$5:$A$504,A294)=0,"BELUM ADA",INDEX('TRANSAKSI PENJUALAN'!$B$5:$B$504,MATCH(A294,'TRANSAKSI PENJUALAN'!$A$5:$A$504,0))))</f>
        <v/>
      </c>
      <c r="Q294" s="0" t="str">
        <f aca="false">IF(A294="","",IF(COUNTIFS('TRANSAKSI PENJUALAN'!$A$5:$A$504,A294)=0,"BELUM ADA",INDEX('TRANSAKSI PENJUALAN'!$M$5:$M$504,MATCH(A294,'TRANSAKSI PENJUALAN'!$A$5:$A$504,0))))</f>
        <v/>
      </c>
      <c r="R294" s="24" t="str">
        <f aca="false">IF(A294="","",COUNTIF($A$5:A294,A294))</f>
        <v/>
      </c>
      <c r="S294" s="24" t="str">
        <f aca="false">IF(A294="","",A294&amp;"|"&amp;R294)</f>
        <v/>
      </c>
    </row>
    <row r="295" customFormat="false" ht="15" hidden="false" customHeight="false" outlineLevel="0" collapsed="false">
      <c r="C295" s="0" t="str">
        <f aca="false">IF(B295="","",IF(COUNTIFS('MASTER MENU'!$A$5:$A$504,B295)=0,"BELUM ADA",INDEX('MASTER MENU'!$B$5:$B$504,MATCH(B295,'MASTER MENU'!$A$5:$A$504,0))))</f>
        <v/>
      </c>
      <c r="D295" s="0" t="str">
        <f aca="false">IF(B295="","",IF(COUNTIFS('MASTER MENU'!$A$5:$A$504,B295)=0,"BELUM ADA",INDEX('MASTER MENU'!$E$5:$E$504,MATCH(B295,'MASTER MENU'!$A$5:$A$504,0))))</f>
        <v/>
      </c>
      <c r="F295" s="0" t="str">
        <f aca="false">IF(B295="","",IF(COUNTIFS('MASTER MENU'!$A$5:$A$504,B295)=0,"BELUM ADA",INDEX('MASTER MENU'!$F$5:$F$504,MATCH(B295,'MASTER MENU'!$A$5:$A$504,0))))</f>
        <v/>
      </c>
      <c r="G295" s="0" t="str">
        <f aca="false">IF(A295="","",IF(OR(NOT(ISNUMBER(E295)),NOT(ISNUMBER(F295))),"BELUM LENGKAP",ROUND(E295*F295,0)))</f>
        <v/>
      </c>
      <c r="J295" s="0" t="str">
        <f aca="false">IF(A295="","",IF(NOT(ISNUMBER(G295)),"BELUM LENGKAP",G295-H295-I295))</f>
        <v/>
      </c>
      <c r="L295" s="0" t="str">
        <f aca="false">IF(A295="","",IF(NOT(ISNUMBER(K295)),"ISI SNAPSHOT HPP",ROUND(E295*K295,0)))</f>
        <v/>
      </c>
      <c r="M295" s="0" t="str">
        <f aca="false">IF(A295="","",IF(NOT(ISNUMBER(L295)),"BELUM LENGKAP",J295-L295))</f>
        <v/>
      </c>
      <c r="N295" s="0" t="str">
        <f aca="false">IF(B295="","",IF(COUNTIFS('RESEP DAN HPP'!$A$5:$A$504,B295,'RESEP DAN HPP'!$N$5:$N$504,"LENGKAP")=0,"BELUM LENGKAP",INDEX('RESEP DAN HPP'!$J$5:$J$504,MATCH(B295,'RESEP DAN HPP'!$A$5:$A$504,0))))</f>
        <v/>
      </c>
      <c r="P295" s="0" t="str">
        <f aca="false">IF(A295="","",IF(COUNTIFS('TRANSAKSI PENJUALAN'!$A$5:$A$504,A295)=0,"BELUM ADA",INDEX('TRANSAKSI PENJUALAN'!$B$5:$B$504,MATCH(A295,'TRANSAKSI PENJUALAN'!$A$5:$A$504,0))))</f>
        <v/>
      </c>
      <c r="Q295" s="0" t="str">
        <f aca="false">IF(A295="","",IF(COUNTIFS('TRANSAKSI PENJUALAN'!$A$5:$A$504,A295)=0,"BELUM ADA",INDEX('TRANSAKSI PENJUALAN'!$M$5:$M$504,MATCH(A295,'TRANSAKSI PENJUALAN'!$A$5:$A$504,0))))</f>
        <v/>
      </c>
      <c r="R295" s="24" t="str">
        <f aca="false">IF(A295="","",COUNTIF($A$5:A295,A295))</f>
        <v/>
      </c>
      <c r="S295" s="24" t="str">
        <f aca="false">IF(A295="","",A295&amp;"|"&amp;R295)</f>
        <v/>
      </c>
    </row>
    <row r="296" customFormat="false" ht="15" hidden="false" customHeight="false" outlineLevel="0" collapsed="false">
      <c r="C296" s="0" t="str">
        <f aca="false">IF(B296="","",IF(COUNTIFS('MASTER MENU'!$A$5:$A$504,B296)=0,"BELUM ADA",INDEX('MASTER MENU'!$B$5:$B$504,MATCH(B296,'MASTER MENU'!$A$5:$A$504,0))))</f>
        <v/>
      </c>
      <c r="D296" s="0" t="str">
        <f aca="false">IF(B296="","",IF(COUNTIFS('MASTER MENU'!$A$5:$A$504,B296)=0,"BELUM ADA",INDEX('MASTER MENU'!$E$5:$E$504,MATCH(B296,'MASTER MENU'!$A$5:$A$504,0))))</f>
        <v/>
      </c>
      <c r="F296" s="0" t="str">
        <f aca="false">IF(B296="","",IF(COUNTIFS('MASTER MENU'!$A$5:$A$504,B296)=0,"BELUM ADA",INDEX('MASTER MENU'!$F$5:$F$504,MATCH(B296,'MASTER MENU'!$A$5:$A$504,0))))</f>
        <v/>
      </c>
      <c r="G296" s="0" t="str">
        <f aca="false">IF(A296="","",IF(OR(NOT(ISNUMBER(E296)),NOT(ISNUMBER(F296))),"BELUM LENGKAP",ROUND(E296*F296,0)))</f>
        <v/>
      </c>
      <c r="J296" s="0" t="str">
        <f aca="false">IF(A296="","",IF(NOT(ISNUMBER(G296)),"BELUM LENGKAP",G296-H296-I296))</f>
        <v/>
      </c>
      <c r="L296" s="0" t="str">
        <f aca="false">IF(A296="","",IF(NOT(ISNUMBER(K296)),"ISI SNAPSHOT HPP",ROUND(E296*K296,0)))</f>
        <v/>
      </c>
      <c r="M296" s="0" t="str">
        <f aca="false">IF(A296="","",IF(NOT(ISNUMBER(L296)),"BELUM LENGKAP",J296-L296))</f>
        <v/>
      </c>
      <c r="N296" s="0" t="str">
        <f aca="false">IF(B296="","",IF(COUNTIFS('RESEP DAN HPP'!$A$5:$A$504,B296,'RESEP DAN HPP'!$N$5:$N$504,"LENGKAP")=0,"BELUM LENGKAP",INDEX('RESEP DAN HPP'!$J$5:$J$504,MATCH(B296,'RESEP DAN HPP'!$A$5:$A$504,0))))</f>
        <v/>
      </c>
      <c r="P296" s="0" t="str">
        <f aca="false">IF(A296="","",IF(COUNTIFS('TRANSAKSI PENJUALAN'!$A$5:$A$504,A296)=0,"BELUM ADA",INDEX('TRANSAKSI PENJUALAN'!$B$5:$B$504,MATCH(A296,'TRANSAKSI PENJUALAN'!$A$5:$A$504,0))))</f>
        <v/>
      </c>
      <c r="Q296" s="0" t="str">
        <f aca="false">IF(A296="","",IF(COUNTIFS('TRANSAKSI PENJUALAN'!$A$5:$A$504,A296)=0,"BELUM ADA",INDEX('TRANSAKSI PENJUALAN'!$M$5:$M$504,MATCH(A296,'TRANSAKSI PENJUALAN'!$A$5:$A$504,0))))</f>
        <v/>
      </c>
      <c r="R296" s="24" t="str">
        <f aca="false">IF(A296="","",COUNTIF($A$5:A296,A296))</f>
        <v/>
      </c>
      <c r="S296" s="24" t="str">
        <f aca="false">IF(A296="","",A296&amp;"|"&amp;R296)</f>
        <v/>
      </c>
    </row>
    <row r="297" customFormat="false" ht="15" hidden="false" customHeight="false" outlineLevel="0" collapsed="false">
      <c r="C297" s="0" t="str">
        <f aca="false">IF(B297="","",IF(COUNTIFS('MASTER MENU'!$A$5:$A$504,B297)=0,"BELUM ADA",INDEX('MASTER MENU'!$B$5:$B$504,MATCH(B297,'MASTER MENU'!$A$5:$A$504,0))))</f>
        <v/>
      </c>
      <c r="D297" s="0" t="str">
        <f aca="false">IF(B297="","",IF(COUNTIFS('MASTER MENU'!$A$5:$A$504,B297)=0,"BELUM ADA",INDEX('MASTER MENU'!$E$5:$E$504,MATCH(B297,'MASTER MENU'!$A$5:$A$504,0))))</f>
        <v/>
      </c>
      <c r="F297" s="0" t="str">
        <f aca="false">IF(B297="","",IF(COUNTIFS('MASTER MENU'!$A$5:$A$504,B297)=0,"BELUM ADA",INDEX('MASTER MENU'!$F$5:$F$504,MATCH(B297,'MASTER MENU'!$A$5:$A$504,0))))</f>
        <v/>
      </c>
      <c r="G297" s="0" t="str">
        <f aca="false">IF(A297="","",IF(OR(NOT(ISNUMBER(E297)),NOT(ISNUMBER(F297))),"BELUM LENGKAP",ROUND(E297*F297,0)))</f>
        <v/>
      </c>
      <c r="J297" s="0" t="str">
        <f aca="false">IF(A297="","",IF(NOT(ISNUMBER(G297)),"BELUM LENGKAP",G297-H297-I297))</f>
        <v/>
      </c>
      <c r="L297" s="0" t="str">
        <f aca="false">IF(A297="","",IF(NOT(ISNUMBER(K297)),"ISI SNAPSHOT HPP",ROUND(E297*K297,0)))</f>
        <v/>
      </c>
      <c r="M297" s="0" t="str">
        <f aca="false">IF(A297="","",IF(NOT(ISNUMBER(L297)),"BELUM LENGKAP",J297-L297))</f>
        <v/>
      </c>
      <c r="N297" s="0" t="str">
        <f aca="false">IF(B297="","",IF(COUNTIFS('RESEP DAN HPP'!$A$5:$A$504,B297,'RESEP DAN HPP'!$N$5:$N$504,"LENGKAP")=0,"BELUM LENGKAP",INDEX('RESEP DAN HPP'!$J$5:$J$504,MATCH(B297,'RESEP DAN HPP'!$A$5:$A$504,0))))</f>
        <v/>
      </c>
      <c r="P297" s="0" t="str">
        <f aca="false">IF(A297="","",IF(COUNTIFS('TRANSAKSI PENJUALAN'!$A$5:$A$504,A297)=0,"BELUM ADA",INDEX('TRANSAKSI PENJUALAN'!$B$5:$B$504,MATCH(A297,'TRANSAKSI PENJUALAN'!$A$5:$A$504,0))))</f>
        <v/>
      </c>
      <c r="Q297" s="0" t="str">
        <f aca="false">IF(A297="","",IF(COUNTIFS('TRANSAKSI PENJUALAN'!$A$5:$A$504,A297)=0,"BELUM ADA",INDEX('TRANSAKSI PENJUALAN'!$M$5:$M$504,MATCH(A297,'TRANSAKSI PENJUALAN'!$A$5:$A$504,0))))</f>
        <v/>
      </c>
      <c r="R297" s="24" t="str">
        <f aca="false">IF(A297="","",COUNTIF($A$5:A297,A297))</f>
        <v/>
      </c>
      <c r="S297" s="24" t="str">
        <f aca="false">IF(A297="","",A297&amp;"|"&amp;R297)</f>
        <v/>
      </c>
    </row>
    <row r="298" customFormat="false" ht="15" hidden="false" customHeight="false" outlineLevel="0" collapsed="false">
      <c r="C298" s="0" t="str">
        <f aca="false">IF(B298="","",IF(COUNTIFS('MASTER MENU'!$A$5:$A$504,B298)=0,"BELUM ADA",INDEX('MASTER MENU'!$B$5:$B$504,MATCH(B298,'MASTER MENU'!$A$5:$A$504,0))))</f>
        <v/>
      </c>
      <c r="D298" s="0" t="str">
        <f aca="false">IF(B298="","",IF(COUNTIFS('MASTER MENU'!$A$5:$A$504,B298)=0,"BELUM ADA",INDEX('MASTER MENU'!$E$5:$E$504,MATCH(B298,'MASTER MENU'!$A$5:$A$504,0))))</f>
        <v/>
      </c>
      <c r="F298" s="0" t="str">
        <f aca="false">IF(B298="","",IF(COUNTIFS('MASTER MENU'!$A$5:$A$504,B298)=0,"BELUM ADA",INDEX('MASTER MENU'!$F$5:$F$504,MATCH(B298,'MASTER MENU'!$A$5:$A$504,0))))</f>
        <v/>
      </c>
      <c r="G298" s="0" t="str">
        <f aca="false">IF(A298="","",IF(OR(NOT(ISNUMBER(E298)),NOT(ISNUMBER(F298))),"BELUM LENGKAP",ROUND(E298*F298,0)))</f>
        <v/>
      </c>
      <c r="J298" s="0" t="str">
        <f aca="false">IF(A298="","",IF(NOT(ISNUMBER(G298)),"BELUM LENGKAP",G298-H298-I298))</f>
        <v/>
      </c>
      <c r="L298" s="0" t="str">
        <f aca="false">IF(A298="","",IF(NOT(ISNUMBER(K298)),"ISI SNAPSHOT HPP",ROUND(E298*K298,0)))</f>
        <v/>
      </c>
      <c r="M298" s="0" t="str">
        <f aca="false">IF(A298="","",IF(NOT(ISNUMBER(L298)),"BELUM LENGKAP",J298-L298))</f>
        <v/>
      </c>
      <c r="N298" s="0" t="str">
        <f aca="false">IF(B298="","",IF(COUNTIFS('RESEP DAN HPP'!$A$5:$A$504,B298,'RESEP DAN HPP'!$N$5:$N$504,"LENGKAP")=0,"BELUM LENGKAP",INDEX('RESEP DAN HPP'!$J$5:$J$504,MATCH(B298,'RESEP DAN HPP'!$A$5:$A$504,0))))</f>
        <v/>
      </c>
      <c r="P298" s="0" t="str">
        <f aca="false">IF(A298="","",IF(COUNTIFS('TRANSAKSI PENJUALAN'!$A$5:$A$504,A298)=0,"BELUM ADA",INDEX('TRANSAKSI PENJUALAN'!$B$5:$B$504,MATCH(A298,'TRANSAKSI PENJUALAN'!$A$5:$A$504,0))))</f>
        <v/>
      </c>
      <c r="Q298" s="0" t="str">
        <f aca="false">IF(A298="","",IF(COUNTIFS('TRANSAKSI PENJUALAN'!$A$5:$A$504,A298)=0,"BELUM ADA",INDEX('TRANSAKSI PENJUALAN'!$M$5:$M$504,MATCH(A298,'TRANSAKSI PENJUALAN'!$A$5:$A$504,0))))</f>
        <v/>
      </c>
      <c r="R298" s="24" t="str">
        <f aca="false">IF(A298="","",COUNTIF($A$5:A298,A298))</f>
        <v/>
      </c>
      <c r="S298" s="24" t="str">
        <f aca="false">IF(A298="","",A298&amp;"|"&amp;R298)</f>
        <v/>
      </c>
    </row>
    <row r="299" customFormat="false" ht="15" hidden="false" customHeight="false" outlineLevel="0" collapsed="false">
      <c r="C299" s="0" t="str">
        <f aca="false">IF(B299="","",IF(COUNTIFS('MASTER MENU'!$A$5:$A$504,B299)=0,"BELUM ADA",INDEX('MASTER MENU'!$B$5:$B$504,MATCH(B299,'MASTER MENU'!$A$5:$A$504,0))))</f>
        <v/>
      </c>
      <c r="D299" s="0" t="str">
        <f aca="false">IF(B299="","",IF(COUNTIFS('MASTER MENU'!$A$5:$A$504,B299)=0,"BELUM ADA",INDEX('MASTER MENU'!$E$5:$E$504,MATCH(B299,'MASTER MENU'!$A$5:$A$504,0))))</f>
        <v/>
      </c>
      <c r="F299" s="0" t="str">
        <f aca="false">IF(B299="","",IF(COUNTIFS('MASTER MENU'!$A$5:$A$504,B299)=0,"BELUM ADA",INDEX('MASTER MENU'!$F$5:$F$504,MATCH(B299,'MASTER MENU'!$A$5:$A$504,0))))</f>
        <v/>
      </c>
      <c r="G299" s="0" t="str">
        <f aca="false">IF(A299="","",IF(OR(NOT(ISNUMBER(E299)),NOT(ISNUMBER(F299))),"BELUM LENGKAP",ROUND(E299*F299,0)))</f>
        <v/>
      </c>
      <c r="J299" s="0" t="str">
        <f aca="false">IF(A299="","",IF(NOT(ISNUMBER(G299)),"BELUM LENGKAP",G299-H299-I299))</f>
        <v/>
      </c>
      <c r="L299" s="0" t="str">
        <f aca="false">IF(A299="","",IF(NOT(ISNUMBER(K299)),"ISI SNAPSHOT HPP",ROUND(E299*K299,0)))</f>
        <v/>
      </c>
      <c r="M299" s="0" t="str">
        <f aca="false">IF(A299="","",IF(NOT(ISNUMBER(L299)),"BELUM LENGKAP",J299-L299))</f>
        <v/>
      </c>
      <c r="N299" s="0" t="str">
        <f aca="false">IF(B299="","",IF(COUNTIFS('RESEP DAN HPP'!$A$5:$A$504,B299,'RESEP DAN HPP'!$N$5:$N$504,"LENGKAP")=0,"BELUM LENGKAP",INDEX('RESEP DAN HPP'!$J$5:$J$504,MATCH(B299,'RESEP DAN HPP'!$A$5:$A$504,0))))</f>
        <v/>
      </c>
      <c r="P299" s="0" t="str">
        <f aca="false">IF(A299="","",IF(COUNTIFS('TRANSAKSI PENJUALAN'!$A$5:$A$504,A299)=0,"BELUM ADA",INDEX('TRANSAKSI PENJUALAN'!$B$5:$B$504,MATCH(A299,'TRANSAKSI PENJUALAN'!$A$5:$A$504,0))))</f>
        <v/>
      </c>
      <c r="Q299" s="0" t="str">
        <f aca="false">IF(A299="","",IF(COUNTIFS('TRANSAKSI PENJUALAN'!$A$5:$A$504,A299)=0,"BELUM ADA",INDEX('TRANSAKSI PENJUALAN'!$M$5:$M$504,MATCH(A299,'TRANSAKSI PENJUALAN'!$A$5:$A$504,0))))</f>
        <v/>
      </c>
      <c r="R299" s="24" t="str">
        <f aca="false">IF(A299="","",COUNTIF($A$5:A299,A299))</f>
        <v/>
      </c>
      <c r="S299" s="24" t="str">
        <f aca="false">IF(A299="","",A299&amp;"|"&amp;R299)</f>
        <v/>
      </c>
    </row>
    <row r="300" customFormat="false" ht="15" hidden="false" customHeight="false" outlineLevel="0" collapsed="false">
      <c r="C300" s="0" t="str">
        <f aca="false">IF(B300="","",IF(COUNTIFS('MASTER MENU'!$A$5:$A$504,B300)=0,"BELUM ADA",INDEX('MASTER MENU'!$B$5:$B$504,MATCH(B300,'MASTER MENU'!$A$5:$A$504,0))))</f>
        <v/>
      </c>
      <c r="D300" s="0" t="str">
        <f aca="false">IF(B300="","",IF(COUNTIFS('MASTER MENU'!$A$5:$A$504,B300)=0,"BELUM ADA",INDEX('MASTER MENU'!$E$5:$E$504,MATCH(B300,'MASTER MENU'!$A$5:$A$504,0))))</f>
        <v/>
      </c>
      <c r="F300" s="0" t="str">
        <f aca="false">IF(B300="","",IF(COUNTIFS('MASTER MENU'!$A$5:$A$504,B300)=0,"BELUM ADA",INDEX('MASTER MENU'!$F$5:$F$504,MATCH(B300,'MASTER MENU'!$A$5:$A$504,0))))</f>
        <v/>
      </c>
      <c r="G300" s="0" t="str">
        <f aca="false">IF(A300="","",IF(OR(NOT(ISNUMBER(E300)),NOT(ISNUMBER(F300))),"BELUM LENGKAP",ROUND(E300*F300,0)))</f>
        <v/>
      </c>
      <c r="J300" s="0" t="str">
        <f aca="false">IF(A300="","",IF(NOT(ISNUMBER(G300)),"BELUM LENGKAP",G300-H300-I300))</f>
        <v/>
      </c>
      <c r="L300" s="0" t="str">
        <f aca="false">IF(A300="","",IF(NOT(ISNUMBER(K300)),"ISI SNAPSHOT HPP",ROUND(E300*K300,0)))</f>
        <v/>
      </c>
      <c r="M300" s="0" t="str">
        <f aca="false">IF(A300="","",IF(NOT(ISNUMBER(L300)),"BELUM LENGKAP",J300-L300))</f>
        <v/>
      </c>
      <c r="N300" s="0" t="str">
        <f aca="false">IF(B300="","",IF(COUNTIFS('RESEP DAN HPP'!$A$5:$A$504,B300,'RESEP DAN HPP'!$N$5:$N$504,"LENGKAP")=0,"BELUM LENGKAP",INDEX('RESEP DAN HPP'!$J$5:$J$504,MATCH(B300,'RESEP DAN HPP'!$A$5:$A$504,0))))</f>
        <v/>
      </c>
      <c r="P300" s="0" t="str">
        <f aca="false">IF(A300="","",IF(COUNTIFS('TRANSAKSI PENJUALAN'!$A$5:$A$504,A300)=0,"BELUM ADA",INDEX('TRANSAKSI PENJUALAN'!$B$5:$B$504,MATCH(A300,'TRANSAKSI PENJUALAN'!$A$5:$A$504,0))))</f>
        <v/>
      </c>
      <c r="Q300" s="0" t="str">
        <f aca="false">IF(A300="","",IF(COUNTIFS('TRANSAKSI PENJUALAN'!$A$5:$A$504,A300)=0,"BELUM ADA",INDEX('TRANSAKSI PENJUALAN'!$M$5:$M$504,MATCH(A300,'TRANSAKSI PENJUALAN'!$A$5:$A$504,0))))</f>
        <v/>
      </c>
      <c r="R300" s="24" t="str">
        <f aca="false">IF(A300="","",COUNTIF($A$5:A300,A300))</f>
        <v/>
      </c>
      <c r="S300" s="24" t="str">
        <f aca="false">IF(A300="","",A300&amp;"|"&amp;R300)</f>
        <v/>
      </c>
    </row>
    <row r="301" customFormat="false" ht="15" hidden="false" customHeight="false" outlineLevel="0" collapsed="false">
      <c r="C301" s="0" t="str">
        <f aca="false">IF(B301="","",IF(COUNTIFS('MASTER MENU'!$A$5:$A$504,B301)=0,"BELUM ADA",INDEX('MASTER MENU'!$B$5:$B$504,MATCH(B301,'MASTER MENU'!$A$5:$A$504,0))))</f>
        <v/>
      </c>
      <c r="D301" s="0" t="str">
        <f aca="false">IF(B301="","",IF(COUNTIFS('MASTER MENU'!$A$5:$A$504,B301)=0,"BELUM ADA",INDEX('MASTER MENU'!$E$5:$E$504,MATCH(B301,'MASTER MENU'!$A$5:$A$504,0))))</f>
        <v/>
      </c>
      <c r="F301" s="0" t="str">
        <f aca="false">IF(B301="","",IF(COUNTIFS('MASTER MENU'!$A$5:$A$504,B301)=0,"BELUM ADA",INDEX('MASTER MENU'!$F$5:$F$504,MATCH(B301,'MASTER MENU'!$A$5:$A$504,0))))</f>
        <v/>
      </c>
      <c r="G301" s="0" t="str">
        <f aca="false">IF(A301="","",IF(OR(NOT(ISNUMBER(E301)),NOT(ISNUMBER(F301))),"BELUM LENGKAP",ROUND(E301*F301,0)))</f>
        <v/>
      </c>
      <c r="J301" s="0" t="str">
        <f aca="false">IF(A301="","",IF(NOT(ISNUMBER(G301)),"BELUM LENGKAP",G301-H301-I301))</f>
        <v/>
      </c>
      <c r="L301" s="0" t="str">
        <f aca="false">IF(A301="","",IF(NOT(ISNUMBER(K301)),"ISI SNAPSHOT HPP",ROUND(E301*K301,0)))</f>
        <v/>
      </c>
      <c r="M301" s="0" t="str">
        <f aca="false">IF(A301="","",IF(NOT(ISNUMBER(L301)),"BELUM LENGKAP",J301-L301))</f>
        <v/>
      </c>
      <c r="N301" s="0" t="str">
        <f aca="false">IF(B301="","",IF(COUNTIFS('RESEP DAN HPP'!$A$5:$A$504,B301,'RESEP DAN HPP'!$N$5:$N$504,"LENGKAP")=0,"BELUM LENGKAP",INDEX('RESEP DAN HPP'!$J$5:$J$504,MATCH(B301,'RESEP DAN HPP'!$A$5:$A$504,0))))</f>
        <v/>
      </c>
      <c r="P301" s="0" t="str">
        <f aca="false">IF(A301="","",IF(COUNTIFS('TRANSAKSI PENJUALAN'!$A$5:$A$504,A301)=0,"BELUM ADA",INDEX('TRANSAKSI PENJUALAN'!$B$5:$B$504,MATCH(A301,'TRANSAKSI PENJUALAN'!$A$5:$A$504,0))))</f>
        <v/>
      </c>
      <c r="Q301" s="0" t="str">
        <f aca="false">IF(A301="","",IF(COUNTIFS('TRANSAKSI PENJUALAN'!$A$5:$A$504,A301)=0,"BELUM ADA",INDEX('TRANSAKSI PENJUALAN'!$M$5:$M$504,MATCH(A301,'TRANSAKSI PENJUALAN'!$A$5:$A$504,0))))</f>
        <v/>
      </c>
      <c r="R301" s="24" t="str">
        <f aca="false">IF(A301="","",COUNTIF($A$5:A301,A301))</f>
        <v/>
      </c>
      <c r="S301" s="24" t="str">
        <f aca="false">IF(A301="","",A301&amp;"|"&amp;R301)</f>
        <v/>
      </c>
    </row>
    <row r="302" customFormat="false" ht="15" hidden="false" customHeight="false" outlineLevel="0" collapsed="false">
      <c r="C302" s="0" t="str">
        <f aca="false">IF(B302="","",IF(COUNTIFS('MASTER MENU'!$A$5:$A$504,B302)=0,"BELUM ADA",INDEX('MASTER MENU'!$B$5:$B$504,MATCH(B302,'MASTER MENU'!$A$5:$A$504,0))))</f>
        <v/>
      </c>
      <c r="D302" s="0" t="str">
        <f aca="false">IF(B302="","",IF(COUNTIFS('MASTER MENU'!$A$5:$A$504,B302)=0,"BELUM ADA",INDEX('MASTER MENU'!$E$5:$E$504,MATCH(B302,'MASTER MENU'!$A$5:$A$504,0))))</f>
        <v/>
      </c>
      <c r="F302" s="0" t="str">
        <f aca="false">IF(B302="","",IF(COUNTIFS('MASTER MENU'!$A$5:$A$504,B302)=0,"BELUM ADA",INDEX('MASTER MENU'!$F$5:$F$504,MATCH(B302,'MASTER MENU'!$A$5:$A$504,0))))</f>
        <v/>
      </c>
      <c r="G302" s="0" t="str">
        <f aca="false">IF(A302="","",IF(OR(NOT(ISNUMBER(E302)),NOT(ISNUMBER(F302))),"BELUM LENGKAP",ROUND(E302*F302,0)))</f>
        <v/>
      </c>
      <c r="J302" s="0" t="str">
        <f aca="false">IF(A302="","",IF(NOT(ISNUMBER(G302)),"BELUM LENGKAP",G302-H302-I302))</f>
        <v/>
      </c>
      <c r="L302" s="0" t="str">
        <f aca="false">IF(A302="","",IF(NOT(ISNUMBER(K302)),"ISI SNAPSHOT HPP",ROUND(E302*K302,0)))</f>
        <v/>
      </c>
      <c r="M302" s="0" t="str">
        <f aca="false">IF(A302="","",IF(NOT(ISNUMBER(L302)),"BELUM LENGKAP",J302-L302))</f>
        <v/>
      </c>
      <c r="N302" s="0" t="str">
        <f aca="false">IF(B302="","",IF(COUNTIFS('RESEP DAN HPP'!$A$5:$A$504,B302,'RESEP DAN HPP'!$N$5:$N$504,"LENGKAP")=0,"BELUM LENGKAP",INDEX('RESEP DAN HPP'!$J$5:$J$504,MATCH(B302,'RESEP DAN HPP'!$A$5:$A$504,0))))</f>
        <v/>
      </c>
      <c r="P302" s="0" t="str">
        <f aca="false">IF(A302="","",IF(COUNTIFS('TRANSAKSI PENJUALAN'!$A$5:$A$504,A302)=0,"BELUM ADA",INDEX('TRANSAKSI PENJUALAN'!$B$5:$B$504,MATCH(A302,'TRANSAKSI PENJUALAN'!$A$5:$A$504,0))))</f>
        <v/>
      </c>
      <c r="Q302" s="0" t="str">
        <f aca="false">IF(A302="","",IF(COUNTIFS('TRANSAKSI PENJUALAN'!$A$5:$A$504,A302)=0,"BELUM ADA",INDEX('TRANSAKSI PENJUALAN'!$M$5:$M$504,MATCH(A302,'TRANSAKSI PENJUALAN'!$A$5:$A$504,0))))</f>
        <v/>
      </c>
      <c r="R302" s="24" t="str">
        <f aca="false">IF(A302="","",COUNTIF($A$5:A302,A302))</f>
        <v/>
      </c>
      <c r="S302" s="24" t="str">
        <f aca="false">IF(A302="","",A302&amp;"|"&amp;R302)</f>
        <v/>
      </c>
    </row>
    <row r="303" customFormat="false" ht="15" hidden="false" customHeight="false" outlineLevel="0" collapsed="false">
      <c r="C303" s="0" t="str">
        <f aca="false">IF(B303="","",IF(COUNTIFS('MASTER MENU'!$A$5:$A$504,B303)=0,"BELUM ADA",INDEX('MASTER MENU'!$B$5:$B$504,MATCH(B303,'MASTER MENU'!$A$5:$A$504,0))))</f>
        <v/>
      </c>
      <c r="D303" s="0" t="str">
        <f aca="false">IF(B303="","",IF(COUNTIFS('MASTER MENU'!$A$5:$A$504,B303)=0,"BELUM ADA",INDEX('MASTER MENU'!$E$5:$E$504,MATCH(B303,'MASTER MENU'!$A$5:$A$504,0))))</f>
        <v/>
      </c>
      <c r="F303" s="0" t="str">
        <f aca="false">IF(B303="","",IF(COUNTIFS('MASTER MENU'!$A$5:$A$504,B303)=0,"BELUM ADA",INDEX('MASTER MENU'!$F$5:$F$504,MATCH(B303,'MASTER MENU'!$A$5:$A$504,0))))</f>
        <v/>
      </c>
      <c r="G303" s="0" t="str">
        <f aca="false">IF(A303="","",IF(OR(NOT(ISNUMBER(E303)),NOT(ISNUMBER(F303))),"BELUM LENGKAP",ROUND(E303*F303,0)))</f>
        <v/>
      </c>
      <c r="J303" s="0" t="str">
        <f aca="false">IF(A303="","",IF(NOT(ISNUMBER(G303)),"BELUM LENGKAP",G303-H303-I303))</f>
        <v/>
      </c>
      <c r="L303" s="0" t="str">
        <f aca="false">IF(A303="","",IF(NOT(ISNUMBER(K303)),"ISI SNAPSHOT HPP",ROUND(E303*K303,0)))</f>
        <v/>
      </c>
      <c r="M303" s="0" t="str">
        <f aca="false">IF(A303="","",IF(NOT(ISNUMBER(L303)),"BELUM LENGKAP",J303-L303))</f>
        <v/>
      </c>
      <c r="N303" s="0" t="str">
        <f aca="false">IF(B303="","",IF(COUNTIFS('RESEP DAN HPP'!$A$5:$A$504,B303,'RESEP DAN HPP'!$N$5:$N$504,"LENGKAP")=0,"BELUM LENGKAP",INDEX('RESEP DAN HPP'!$J$5:$J$504,MATCH(B303,'RESEP DAN HPP'!$A$5:$A$504,0))))</f>
        <v/>
      </c>
      <c r="P303" s="0" t="str">
        <f aca="false">IF(A303="","",IF(COUNTIFS('TRANSAKSI PENJUALAN'!$A$5:$A$504,A303)=0,"BELUM ADA",INDEX('TRANSAKSI PENJUALAN'!$B$5:$B$504,MATCH(A303,'TRANSAKSI PENJUALAN'!$A$5:$A$504,0))))</f>
        <v/>
      </c>
      <c r="Q303" s="0" t="str">
        <f aca="false">IF(A303="","",IF(COUNTIFS('TRANSAKSI PENJUALAN'!$A$5:$A$504,A303)=0,"BELUM ADA",INDEX('TRANSAKSI PENJUALAN'!$M$5:$M$504,MATCH(A303,'TRANSAKSI PENJUALAN'!$A$5:$A$504,0))))</f>
        <v/>
      </c>
      <c r="R303" s="24" t="str">
        <f aca="false">IF(A303="","",COUNTIF($A$5:A303,A303))</f>
        <v/>
      </c>
      <c r="S303" s="24" t="str">
        <f aca="false">IF(A303="","",A303&amp;"|"&amp;R303)</f>
        <v/>
      </c>
    </row>
    <row r="304" customFormat="false" ht="15" hidden="false" customHeight="false" outlineLevel="0" collapsed="false">
      <c r="C304" s="0" t="str">
        <f aca="false">IF(B304="","",IF(COUNTIFS('MASTER MENU'!$A$5:$A$504,B304)=0,"BELUM ADA",INDEX('MASTER MENU'!$B$5:$B$504,MATCH(B304,'MASTER MENU'!$A$5:$A$504,0))))</f>
        <v/>
      </c>
      <c r="D304" s="0" t="str">
        <f aca="false">IF(B304="","",IF(COUNTIFS('MASTER MENU'!$A$5:$A$504,B304)=0,"BELUM ADA",INDEX('MASTER MENU'!$E$5:$E$504,MATCH(B304,'MASTER MENU'!$A$5:$A$504,0))))</f>
        <v/>
      </c>
      <c r="F304" s="0" t="str">
        <f aca="false">IF(B304="","",IF(COUNTIFS('MASTER MENU'!$A$5:$A$504,B304)=0,"BELUM ADA",INDEX('MASTER MENU'!$F$5:$F$504,MATCH(B304,'MASTER MENU'!$A$5:$A$504,0))))</f>
        <v/>
      </c>
      <c r="G304" s="0" t="str">
        <f aca="false">IF(A304="","",IF(OR(NOT(ISNUMBER(E304)),NOT(ISNUMBER(F304))),"BELUM LENGKAP",ROUND(E304*F304,0)))</f>
        <v/>
      </c>
      <c r="J304" s="0" t="str">
        <f aca="false">IF(A304="","",IF(NOT(ISNUMBER(G304)),"BELUM LENGKAP",G304-H304-I304))</f>
        <v/>
      </c>
      <c r="L304" s="0" t="str">
        <f aca="false">IF(A304="","",IF(NOT(ISNUMBER(K304)),"ISI SNAPSHOT HPP",ROUND(E304*K304,0)))</f>
        <v/>
      </c>
      <c r="M304" s="0" t="str">
        <f aca="false">IF(A304="","",IF(NOT(ISNUMBER(L304)),"BELUM LENGKAP",J304-L304))</f>
        <v/>
      </c>
      <c r="N304" s="0" t="str">
        <f aca="false">IF(B304="","",IF(COUNTIFS('RESEP DAN HPP'!$A$5:$A$504,B304,'RESEP DAN HPP'!$N$5:$N$504,"LENGKAP")=0,"BELUM LENGKAP",INDEX('RESEP DAN HPP'!$J$5:$J$504,MATCH(B304,'RESEP DAN HPP'!$A$5:$A$504,0))))</f>
        <v/>
      </c>
      <c r="P304" s="0" t="str">
        <f aca="false">IF(A304="","",IF(COUNTIFS('TRANSAKSI PENJUALAN'!$A$5:$A$504,A304)=0,"BELUM ADA",INDEX('TRANSAKSI PENJUALAN'!$B$5:$B$504,MATCH(A304,'TRANSAKSI PENJUALAN'!$A$5:$A$504,0))))</f>
        <v/>
      </c>
      <c r="Q304" s="0" t="str">
        <f aca="false">IF(A304="","",IF(COUNTIFS('TRANSAKSI PENJUALAN'!$A$5:$A$504,A304)=0,"BELUM ADA",INDEX('TRANSAKSI PENJUALAN'!$M$5:$M$504,MATCH(A304,'TRANSAKSI PENJUALAN'!$A$5:$A$504,0))))</f>
        <v/>
      </c>
      <c r="R304" s="24" t="str">
        <f aca="false">IF(A304="","",COUNTIF($A$5:A304,A304))</f>
        <v/>
      </c>
      <c r="S304" s="24" t="str">
        <f aca="false">IF(A304="","",A304&amp;"|"&amp;R304)</f>
        <v/>
      </c>
    </row>
    <row r="305" customFormat="false" ht="15" hidden="false" customHeight="false" outlineLevel="0" collapsed="false">
      <c r="C305" s="0" t="str">
        <f aca="false">IF(B305="","",IF(COUNTIFS('MASTER MENU'!$A$5:$A$504,B305)=0,"BELUM ADA",INDEX('MASTER MENU'!$B$5:$B$504,MATCH(B305,'MASTER MENU'!$A$5:$A$504,0))))</f>
        <v/>
      </c>
      <c r="D305" s="0" t="str">
        <f aca="false">IF(B305="","",IF(COUNTIFS('MASTER MENU'!$A$5:$A$504,B305)=0,"BELUM ADA",INDEX('MASTER MENU'!$E$5:$E$504,MATCH(B305,'MASTER MENU'!$A$5:$A$504,0))))</f>
        <v/>
      </c>
      <c r="F305" s="0" t="str">
        <f aca="false">IF(B305="","",IF(COUNTIFS('MASTER MENU'!$A$5:$A$504,B305)=0,"BELUM ADA",INDEX('MASTER MENU'!$F$5:$F$504,MATCH(B305,'MASTER MENU'!$A$5:$A$504,0))))</f>
        <v/>
      </c>
      <c r="G305" s="0" t="str">
        <f aca="false">IF(A305="","",IF(OR(NOT(ISNUMBER(E305)),NOT(ISNUMBER(F305))),"BELUM LENGKAP",ROUND(E305*F305,0)))</f>
        <v/>
      </c>
      <c r="J305" s="0" t="str">
        <f aca="false">IF(A305="","",IF(NOT(ISNUMBER(G305)),"BELUM LENGKAP",G305-H305-I305))</f>
        <v/>
      </c>
      <c r="L305" s="0" t="str">
        <f aca="false">IF(A305="","",IF(NOT(ISNUMBER(K305)),"ISI SNAPSHOT HPP",ROUND(E305*K305,0)))</f>
        <v/>
      </c>
      <c r="M305" s="0" t="str">
        <f aca="false">IF(A305="","",IF(NOT(ISNUMBER(L305)),"BELUM LENGKAP",J305-L305))</f>
        <v/>
      </c>
      <c r="N305" s="0" t="str">
        <f aca="false">IF(B305="","",IF(COUNTIFS('RESEP DAN HPP'!$A$5:$A$504,B305,'RESEP DAN HPP'!$N$5:$N$504,"LENGKAP")=0,"BELUM LENGKAP",INDEX('RESEP DAN HPP'!$J$5:$J$504,MATCH(B305,'RESEP DAN HPP'!$A$5:$A$504,0))))</f>
        <v/>
      </c>
      <c r="P305" s="0" t="str">
        <f aca="false">IF(A305="","",IF(COUNTIFS('TRANSAKSI PENJUALAN'!$A$5:$A$504,A305)=0,"BELUM ADA",INDEX('TRANSAKSI PENJUALAN'!$B$5:$B$504,MATCH(A305,'TRANSAKSI PENJUALAN'!$A$5:$A$504,0))))</f>
        <v/>
      </c>
      <c r="Q305" s="0" t="str">
        <f aca="false">IF(A305="","",IF(COUNTIFS('TRANSAKSI PENJUALAN'!$A$5:$A$504,A305)=0,"BELUM ADA",INDEX('TRANSAKSI PENJUALAN'!$M$5:$M$504,MATCH(A305,'TRANSAKSI PENJUALAN'!$A$5:$A$504,0))))</f>
        <v/>
      </c>
      <c r="R305" s="24" t="str">
        <f aca="false">IF(A305="","",COUNTIF($A$5:A305,A305))</f>
        <v/>
      </c>
      <c r="S305" s="24" t="str">
        <f aca="false">IF(A305="","",A305&amp;"|"&amp;R305)</f>
        <v/>
      </c>
    </row>
    <row r="306" customFormat="false" ht="15" hidden="false" customHeight="false" outlineLevel="0" collapsed="false">
      <c r="C306" s="0" t="str">
        <f aca="false">IF(B306="","",IF(COUNTIFS('MASTER MENU'!$A$5:$A$504,B306)=0,"BELUM ADA",INDEX('MASTER MENU'!$B$5:$B$504,MATCH(B306,'MASTER MENU'!$A$5:$A$504,0))))</f>
        <v/>
      </c>
      <c r="D306" s="0" t="str">
        <f aca="false">IF(B306="","",IF(COUNTIFS('MASTER MENU'!$A$5:$A$504,B306)=0,"BELUM ADA",INDEX('MASTER MENU'!$E$5:$E$504,MATCH(B306,'MASTER MENU'!$A$5:$A$504,0))))</f>
        <v/>
      </c>
      <c r="F306" s="0" t="str">
        <f aca="false">IF(B306="","",IF(COUNTIFS('MASTER MENU'!$A$5:$A$504,B306)=0,"BELUM ADA",INDEX('MASTER MENU'!$F$5:$F$504,MATCH(B306,'MASTER MENU'!$A$5:$A$504,0))))</f>
        <v/>
      </c>
      <c r="G306" s="0" t="str">
        <f aca="false">IF(A306="","",IF(OR(NOT(ISNUMBER(E306)),NOT(ISNUMBER(F306))),"BELUM LENGKAP",ROUND(E306*F306,0)))</f>
        <v/>
      </c>
      <c r="J306" s="0" t="str">
        <f aca="false">IF(A306="","",IF(NOT(ISNUMBER(G306)),"BELUM LENGKAP",G306-H306-I306))</f>
        <v/>
      </c>
      <c r="L306" s="0" t="str">
        <f aca="false">IF(A306="","",IF(NOT(ISNUMBER(K306)),"ISI SNAPSHOT HPP",ROUND(E306*K306,0)))</f>
        <v/>
      </c>
      <c r="M306" s="0" t="str">
        <f aca="false">IF(A306="","",IF(NOT(ISNUMBER(L306)),"BELUM LENGKAP",J306-L306))</f>
        <v/>
      </c>
      <c r="N306" s="0" t="str">
        <f aca="false">IF(B306="","",IF(COUNTIFS('RESEP DAN HPP'!$A$5:$A$504,B306,'RESEP DAN HPP'!$N$5:$N$504,"LENGKAP")=0,"BELUM LENGKAP",INDEX('RESEP DAN HPP'!$J$5:$J$504,MATCH(B306,'RESEP DAN HPP'!$A$5:$A$504,0))))</f>
        <v/>
      </c>
      <c r="P306" s="0" t="str">
        <f aca="false">IF(A306="","",IF(COUNTIFS('TRANSAKSI PENJUALAN'!$A$5:$A$504,A306)=0,"BELUM ADA",INDEX('TRANSAKSI PENJUALAN'!$B$5:$B$504,MATCH(A306,'TRANSAKSI PENJUALAN'!$A$5:$A$504,0))))</f>
        <v/>
      </c>
      <c r="Q306" s="0" t="str">
        <f aca="false">IF(A306="","",IF(COUNTIFS('TRANSAKSI PENJUALAN'!$A$5:$A$504,A306)=0,"BELUM ADA",INDEX('TRANSAKSI PENJUALAN'!$M$5:$M$504,MATCH(A306,'TRANSAKSI PENJUALAN'!$A$5:$A$504,0))))</f>
        <v/>
      </c>
      <c r="R306" s="24" t="str">
        <f aca="false">IF(A306="","",COUNTIF($A$5:A306,A306))</f>
        <v/>
      </c>
      <c r="S306" s="24" t="str">
        <f aca="false">IF(A306="","",A306&amp;"|"&amp;R306)</f>
        <v/>
      </c>
    </row>
    <row r="307" customFormat="false" ht="15" hidden="false" customHeight="false" outlineLevel="0" collapsed="false">
      <c r="C307" s="0" t="str">
        <f aca="false">IF(B307="","",IF(COUNTIFS('MASTER MENU'!$A$5:$A$504,B307)=0,"BELUM ADA",INDEX('MASTER MENU'!$B$5:$B$504,MATCH(B307,'MASTER MENU'!$A$5:$A$504,0))))</f>
        <v/>
      </c>
      <c r="D307" s="0" t="str">
        <f aca="false">IF(B307="","",IF(COUNTIFS('MASTER MENU'!$A$5:$A$504,B307)=0,"BELUM ADA",INDEX('MASTER MENU'!$E$5:$E$504,MATCH(B307,'MASTER MENU'!$A$5:$A$504,0))))</f>
        <v/>
      </c>
      <c r="F307" s="0" t="str">
        <f aca="false">IF(B307="","",IF(COUNTIFS('MASTER MENU'!$A$5:$A$504,B307)=0,"BELUM ADA",INDEX('MASTER MENU'!$F$5:$F$504,MATCH(B307,'MASTER MENU'!$A$5:$A$504,0))))</f>
        <v/>
      </c>
      <c r="G307" s="0" t="str">
        <f aca="false">IF(A307="","",IF(OR(NOT(ISNUMBER(E307)),NOT(ISNUMBER(F307))),"BELUM LENGKAP",ROUND(E307*F307,0)))</f>
        <v/>
      </c>
      <c r="J307" s="0" t="str">
        <f aca="false">IF(A307="","",IF(NOT(ISNUMBER(G307)),"BELUM LENGKAP",G307-H307-I307))</f>
        <v/>
      </c>
      <c r="L307" s="0" t="str">
        <f aca="false">IF(A307="","",IF(NOT(ISNUMBER(K307)),"ISI SNAPSHOT HPP",ROUND(E307*K307,0)))</f>
        <v/>
      </c>
      <c r="M307" s="0" t="str">
        <f aca="false">IF(A307="","",IF(NOT(ISNUMBER(L307)),"BELUM LENGKAP",J307-L307))</f>
        <v/>
      </c>
      <c r="N307" s="0" t="str">
        <f aca="false">IF(B307="","",IF(COUNTIFS('RESEP DAN HPP'!$A$5:$A$504,B307,'RESEP DAN HPP'!$N$5:$N$504,"LENGKAP")=0,"BELUM LENGKAP",INDEX('RESEP DAN HPP'!$J$5:$J$504,MATCH(B307,'RESEP DAN HPP'!$A$5:$A$504,0))))</f>
        <v/>
      </c>
      <c r="P307" s="0" t="str">
        <f aca="false">IF(A307="","",IF(COUNTIFS('TRANSAKSI PENJUALAN'!$A$5:$A$504,A307)=0,"BELUM ADA",INDEX('TRANSAKSI PENJUALAN'!$B$5:$B$504,MATCH(A307,'TRANSAKSI PENJUALAN'!$A$5:$A$504,0))))</f>
        <v/>
      </c>
      <c r="Q307" s="0" t="str">
        <f aca="false">IF(A307="","",IF(COUNTIFS('TRANSAKSI PENJUALAN'!$A$5:$A$504,A307)=0,"BELUM ADA",INDEX('TRANSAKSI PENJUALAN'!$M$5:$M$504,MATCH(A307,'TRANSAKSI PENJUALAN'!$A$5:$A$504,0))))</f>
        <v/>
      </c>
      <c r="R307" s="24" t="str">
        <f aca="false">IF(A307="","",COUNTIF($A$5:A307,A307))</f>
        <v/>
      </c>
      <c r="S307" s="24" t="str">
        <f aca="false">IF(A307="","",A307&amp;"|"&amp;R307)</f>
        <v/>
      </c>
    </row>
    <row r="308" customFormat="false" ht="15" hidden="false" customHeight="false" outlineLevel="0" collapsed="false">
      <c r="C308" s="0" t="str">
        <f aca="false">IF(B308="","",IF(COUNTIFS('MASTER MENU'!$A$5:$A$504,B308)=0,"BELUM ADA",INDEX('MASTER MENU'!$B$5:$B$504,MATCH(B308,'MASTER MENU'!$A$5:$A$504,0))))</f>
        <v/>
      </c>
      <c r="D308" s="0" t="str">
        <f aca="false">IF(B308="","",IF(COUNTIFS('MASTER MENU'!$A$5:$A$504,B308)=0,"BELUM ADA",INDEX('MASTER MENU'!$E$5:$E$504,MATCH(B308,'MASTER MENU'!$A$5:$A$504,0))))</f>
        <v/>
      </c>
      <c r="F308" s="0" t="str">
        <f aca="false">IF(B308="","",IF(COUNTIFS('MASTER MENU'!$A$5:$A$504,B308)=0,"BELUM ADA",INDEX('MASTER MENU'!$F$5:$F$504,MATCH(B308,'MASTER MENU'!$A$5:$A$504,0))))</f>
        <v/>
      </c>
      <c r="G308" s="0" t="str">
        <f aca="false">IF(A308="","",IF(OR(NOT(ISNUMBER(E308)),NOT(ISNUMBER(F308))),"BELUM LENGKAP",ROUND(E308*F308,0)))</f>
        <v/>
      </c>
      <c r="J308" s="0" t="str">
        <f aca="false">IF(A308="","",IF(NOT(ISNUMBER(G308)),"BELUM LENGKAP",G308-H308-I308))</f>
        <v/>
      </c>
      <c r="L308" s="0" t="str">
        <f aca="false">IF(A308="","",IF(NOT(ISNUMBER(K308)),"ISI SNAPSHOT HPP",ROUND(E308*K308,0)))</f>
        <v/>
      </c>
      <c r="M308" s="0" t="str">
        <f aca="false">IF(A308="","",IF(NOT(ISNUMBER(L308)),"BELUM LENGKAP",J308-L308))</f>
        <v/>
      </c>
      <c r="N308" s="0" t="str">
        <f aca="false">IF(B308="","",IF(COUNTIFS('RESEP DAN HPP'!$A$5:$A$504,B308,'RESEP DAN HPP'!$N$5:$N$504,"LENGKAP")=0,"BELUM LENGKAP",INDEX('RESEP DAN HPP'!$J$5:$J$504,MATCH(B308,'RESEP DAN HPP'!$A$5:$A$504,0))))</f>
        <v/>
      </c>
      <c r="P308" s="0" t="str">
        <f aca="false">IF(A308="","",IF(COUNTIFS('TRANSAKSI PENJUALAN'!$A$5:$A$504,A308)=0,"BELUM ADA",INDEX('TRANSAKSI PENJUALAN'!$B$5:$B$504,MATCH(A308,'TRANSAKSI PENJUALAN'!$A$5:$A$504,0))))</f>
        <v/>
      </c>
      <c r="Q308" s="0" t="str">
        <f aca="false">IF(A308="","",IF(COUNTIFS('TRANSAKSI PENJUALAN'!$A$5:$A$504,A308)=0,"BELUM ADA",INDEX('TRANSAKSI PENJUALAN'!$M$5:$M$504,MATCH(A308,'TRANSAKSI PENJUALAN'!$A$5:$A$504,0))))</f>
        <v/>
      </c>
      <c r="R308" s="24" t="str">
        <f aca="false">IF(A308="","",COUNTIF($A$5:A308,A308))</f>
        <v/>
      </c>
      <c r="S308" s="24" t="str">
        <f aca="false">IF(A308="","",A308&amp;"|"&amp;R308)</f>
        <v/>
      </c>
    </row>
    <row r="309" customFormat="false" ht="15" hidden="false" customHeight="false" outlineLevel="0" collapsed="false">
      <c r="C309" s="0" t="str">
        <f aca="false">IF(B309="","",IF(COUNTIFS('MASTER MENU'!$A$5:$A$504,B309)=0,"BELUM ADA",INDEX('MASTER MENU'!$B$5:$B$504,MATCH(B309,'MASTER MENU'!$A$5:$A$504,0))))</f>
        <v/>
      </c>
      <c r="D309" s="0" t="str">
        <f aca="false">IF(B309="","",IF(COUNTIFS('MASTER MENU'!$A$5:$A$504,B309)=0,"BELUM ADA",INDEX('MASTER MENU'!$E$5:$E$504,MATCH(B309,'MASTER MENU'!$A$5:$A$504,0))))</f>
        <v/>
      </c>
      <c r="F309" s="0" t="str">
        <f aca="false">IF(B309="","",IF(COUNTIFS('MASTER MENU'!$A$5:$A$504,B309)=0,"BELUM ADA",INDEX('MASTER MENU'!$F$5:$F$504,MATCH(B309,'MASTER MENU'!$A$5:$A$504,0))))</f>
        <v/>
      </c>
      <c r="G309" s="0" t="str">
        <f aca="false">IF(A309="","",IF(OR(NOT(ISNUMBER(E309)),NOT(ISNUMBER(F309))),"BELUM LENGKAP",ROUND(E309*F309,0)))</f>
        <v/>
      </c>
      <c r="J309" s="0" t="str">
        <f aca="false">IF(A309="","",IF(NOT(ISNUMBER(G309)),"BELUM LENGKAP",G309-H309-I309))</f>
        <v/>
      </c>
      <c r="L309" s="0" t="str">
        <f aca="false">IF(A309="","",IF(NOT(ISNUMBER(K309)),"ISI SNAPSHOT HPP",ROUND(E309*K309,0)))</f>
        <v/>
      </c>
      <c r="M309" s="0" t="str">
        <f aca="false">IF(A309="","",IF(NOT(ISNUMBER(L309)),"BELUM LENGKAP",J309-L309))</f>
        <v/>
      </c>
      <c r="N309" s="0" t="str">
        <f aca="false">IF(B309="","",IF(COUNTIFS('RESEP DAN HPP'!$A$5:$A$504,B309,'RESEP DAN HPP'!$N$5:$N$504,"LENGKAP")=0,"BELUM LENGKAP",INDEX('RESEP DAN HPP'!$J$5:$J$504,MATCH(B309,'RESEP DAN HPP'!$A$5:$A$504,0))))</f>
        <v/>
      </c>
      <c r="P309" s="0" t="str">
        <f aca="false">IF(A309="","",IF(COUNTIFS('TRANSAKSI PENJUALAN'!$A$5:$A$504,A309)=0,"BELUM ADA",INDEX('TRANSAKSI PENJUALAN'!$B$5:$B$504,MATCH(A309,'TRANSAKSI PENJUALAN'!$A$5:$A$504,0))))</f>
        <v/>
      </c>
      <c r="Q309" s="0" t="str">
        <f aca="false">IF(A309="","",IF(COUNTIFS('TRANSAKSI PENJUALAN'!$A$5:$A$504,A309)=0,"BELUM ADA",INDEX('TRANSAKSI PENJUALAN'!$M$5:$M$504,MATCH(A309,'TRANSAKSI PENJUALAN'!$A$5:$A$504,0))))</f>
        <v/>
      </c>
      <c r="R309" s="24" t="str">
        <f aca="false">IF(A309="","",COUNTIF($A$5:A309,A309))</f>
        <v/>
      </c>
      <c r="S309" s="24" t="str">
        <f aca="false">IF(A309="","",A309&amp;"|"&amp;R309)</f>
        <v/>
      </c>
    </row>
    <row r="310" customFormat="false" ht="15" hidden="false" customHeight="false" outlineLevel="0" collapsed="false">
      <c r="C310" s="0" t="str">
        <f aca="false">IF(B310="","",IF(COUNTIFS('MASTER MENU'!$A$5:$A$504,B310)=0,"BELUM ADA",INDEX('MASTER MENU'!$B$5:$B$504,MATCH(B310,'MASTER MENU'!$A$5:$A$504,0))))</f>
        <v/>
      </c>
      <c r="D310" s="0" t="str">
        <f aca="false">IF(B310="","",IF(COUNTIFS('MASTER MENU'!$A$5:$A$504,B310)=0,"BELUM ADA",INDEX('MASTER MENU'!$E$5:$E$504,MATCH(B310,'MASTER MENU'!$A$5:$A$504,0))))</f>
        <v/>
      </c>
      <c r="F310" s="0" t="str">
        <f aca="false">IF(B310="","",IF(COUNTIFS('MASTER MENU'!$A$5:$A$504,B310)=0,"BELUM ADA",INDEX('MASTER MENU'!$F$5:$F$504,MATCH(B310,'MASTER MENU'!$A$5:$A$504,0))))</f>
        <v/>
      </c>
      <c r="G310" s="0" t="str">
        <f aca="false">IF(A310="","",IF(OR(NOT(ISNUMBER(E310)),NOT(ISNUMBER(F310))),"BELUM LENGKAP",ROUND(E310*F310,0)))</f>
        <v/>
      </c>
      <c r="J310" s="0" t="str">
        <f aca="false">IF(A310="","",IF(NOT(ISNUMBER(G310)),"BELUM LENGKAP",G310-H310-I310))</f>
        <v/>
      </c>
      <c r="L310" s="0" t="str">
        <f aca="false">IF(A310="","",IF(NOT(ISNUMBER(K310)),"ISI SNAPSHOT HPP",ROUND(E310*K310,0)))</f>
        <v/>
      </c>
      <c r="M310" s="0" t="str">
        <f aca="false">IF(A310="","",IF(NOT(ISNUMBER(L310)),"BELUM LENGKAP",J310-L310))</f>
        <v/>
      </c>
      <c r="N310" s="0" t="str">
        <f aca="false">IF(B310="","",IF(COUNTIFS('RESEP DAN HPP'!$A$5:$A$504,B310,'RESEP DAN HPP'!$N$5:$N$504,"LENGKAP")=0,"BELUM LENGKAP",INDEX('RESEP DAN HPP'!$J$5:$J$504,MATCH(B310,'RESEP DAN HPP'!$A$5:$A$504,0))))</f>
        <v/>
      </c>
      <c r="P310" s="0" t="str">
        <f aca="false">IF(A310="","",IF(COUNTIFS('TRANSAKSI PENJUALAN'!$A$5:$A$504,A310)=0,"BELUM ADA",INDEX('TRANSAKSI PENJUALAN'!$B$5:$B$504,MATCH(A310,'TRANSAKSI PENJUALAN'!$A$5:$A$504,0))))</f>
        <v/>
      </c>
      <c r="Q310" s="0" t="str">
        <f aca="false">IF(A310="","",IF(COUNTIFS('TRANSAKSI PENJUALAN'!$A$5:$A$504,A310)=0,"BELUM ADA",INDEX('TRANSAKSI PENJUALAN'!$M$5:$M$504,MATCH(A310,'TRANSAKSI PENJUALAN'!$A$5:$A$504,0))))</f>
        <v/>
      </c>
      <c r="R310" s="24" t="str">
        <f aca="false">IF(A310="","",COUNTIF($A$5:A310,A310))</f>
        <v/>
      </c>
      <c r="S310" s="24" t="str">
        <f aca="false">IF(A310="","",A310&amp;"|"&amp;R310)</f>
        <v/>
      </c>
    </row>
    <row r="311" customFormat="false" ht="15" hidden="false" customHeight="false" outlineLevel="0" collapsed="false">
      <c r="C311" s="0" t="str">
        <f aca="false">IF(B311="","",IF(COUNTIFS('MASTER MENU'!$A$5:$A$504,B311)=0,"BELUM ADA",INDEX('MASTER MENU'!$B$5:$B$504,MATCH(B311,'MASTER MENU'!$A$5:$A$504,0))))</f>
        <v/>
      </c>
      <c r="D311" s="0" t="str">
        <f aca="false">IF(B311="","",IF(COUNTIFS('MASTER MENU'!$A$5:$A$504,B311)=0,"BELUM ADA",INDEX('MASTER MENU'!$E$5:$E$504,MATCH(B311,'MASTER MENU'!$A$5:$A$504,0))))</f>
        <v/>
      </c>
      <c r="F311" s="0" t="str">
        <f aca="false">IF(B311="","",IF(COUNTIFS('MASTER MENU'!$A$5:$A$504,B311)=0,"BELUM ADA",INDEX('MASTER MENU'!$F$5:$F$504,MATCH(B311,'MASTER MENU'!$A$5:$A$504,0))))</f>
        <v/>
      </c>
      <c r="G311" s="0" t="str">
        <f aca="false">IF(A311="","",IF(OR(NOT(ISNUMBER(E311)),NOT(ISNUMBER(F311))),"BELUM LENGKAP",ROUND(E311*F311,0)))</f>
        <v/>
      </c>
      <c r="J311" s="0" t="str">
        <f aca="false">IF(A311="","",IF(NOT(ISNUMBER(G311)),"BELUM LENGKAP",G311-H311-I311))</f>
        <v/>
      </c>
      <c r="L311" s="0" t="str">
        <f aca="false">IF(A311="","",IF(NOT(ISNUMBER(K311)),"ISI SNAPSHOT HPP",ROUND(E311*K311,0)))</f>
        <v/>
      </c>
      <c r="M311" s="0" t="str">
        <f aca="false">IF(A311="","",IF(NOT(ISNUMBER(L311)),"BELUM LENGKAP",J311-L311))</f>
        <v/>
      </c>
      <c r="N311" s="0" t="str">
        <f aca="false">IF(B311="","",IF(COUNTIFS('RESEP DAN HPP'!$A$5:$A$504,B311,'RESEP DAN HPP'!$N$5:$N$504,"LENGKAP")=0,"BELUM LENGKAP",INDEX('RESEP DAN HPP'!$J$5:$J$504,MATCH(B311,'RESEP DAN HPP'!$A$5:$A$504,0))))</f>
        <v/>
      </c>
      <c r="P311" s="0" t="str">
        <f aca="false">IF(A311="","",IF(COUNTIFS('TRANSAKSI PENJUALAN'!$A$5:$A$504,A311)=0,"BELUM ADA",INDEX('TRANSAKSI PENJUALAN'!$B$5:$B$504,MATCH(A311,'TRANSAKSI PENJUALAN'!$A$5:$A$504,0))))</f>
        <v/>
      </c>
      <c r="Q311" s="0" t="str">
        <f aca="false">IF(A311="","",IF(COUNTIFS('TRANSAKSI PENJUALAN'!$A$5:$A$504,A311)=0,"BELUM ADA",INDEX('TRANSAKSI PENJUALAN'!$M$5:$M$504,MATCH(A311,'TRANSAKSI PENJUALAN'!$A$5:$A$504,0))))</f>
        <v/>
      </c>
      <c r="R311" s="24" t="str">
        <f aca="false">IF(A311="","",COUNTIF($A$5:A311,A311))</f>
        <v/>
      </c>
      <c r="S311" s="24" t="str">
        <f aca="false">IF(A311="","",A311&amp;"|"&amp;R311)</f>
        <v/>
      </c>
    </row>
    <row r="312" customFormat="false" ht="15" hidden="false" customHeight="false" outlineLevel="0" collapsed="false">
      <c r="C312" s="0" t="str">
        <f aca="false">IF(B312="","",IF(COUNTIFS('MASTER MENU'!$A$5:$A$504,B312)=0,"BELUM ADA",INDEX('MASTER MENU'!$B$5:$B$504,MATCH(B312,'MASTER MENU'!$A$5:$A$504,0))))</f>
        <v/>
      </c>
      <c r="D312" s="0" t="str">
        <f aca="false">IF(B312="","",IF(COUNTIFS('MASTER MENU'!$A$5:$A$504,B312)=0,"BELUM ADA",INDEX('MASTER MENU'!$E$5:$E$504,MATCH(B312,'MASTER MENU'!$A$5:$A$504,0))))</f>
        <v/>
      </c>
      <c r="F312" s="0" t="str">
        <f aca="false">IF(B312="","",IF(COUNTIFS('MASTER MENU'!$A$5:$A$504,B312)=0,"BELUM ADA",INDEX('MASTER MENU'!$F$5:$F$504,MATCH(B312,'MASTER MENU'!$A$5:$A$504,0))))</f>
        <v/>
      </c>
      <c r="G312" s="0" t="str">
        <f aca="false">IF(A312="","",IF(OR(NOT(ISNUMBER(E312)),NOT(ISNUMBER(F312))),"BELUM LENGKAP",ROUND(E312*F312,0)))</f>
        <v/>
      </c>
      <c r="J312" s="0" t="str">
        <f aca="false">IF(A312="","",IF(NOT(ISNUMBER(G312)),"BELUM LENGKAP",G312-H312-I312))</f>
        <v/>
      </c>
      <c r="L312" s="0" t="str">
        <f aca="false">IF(A312="","",IF(NOT(ISNUMBER(K312)),"ISI SNAPSHOT HPP",ROUND(E312*K312,0)))</f>
        <v/>
      </c>
      <c r="M312" s="0" t="str">
        <f aca="false">IF(A312="","",IF(NOT(ISNUMBER(L312)),"BELUM LENGKAP",J312-L312))</f>
        <v/>
      </c>
      <c r="N312" s="0" t="str">
        <f aca="false">IF(B312="","",IF(COUNTIFS('RESEP DAN HPP'!$A$5:$A$504,B312,'RESEP DAN HPP'!$N$5:$N$504,"LENGKAP")=0,"BELUM LENGKAP",INDEX('RESEP DAN HPP'!$J$5:$J$504,MATCH(B312,'RESEP DAN HPP'!$A$5:$A$504,0))))</f>
        <v/>
      </c>
      <c r="P312" s="0" t="str">
        <f aca="false">IF(A312="","",IF(COUNTIFS('TRANSAKSI PENJUALAN'!$A$5:$A$504,A312)=0,"BELUM ADA",INDEX('TRANSAKSI PENJUALAN'!$B$5:$B$504,MATCH(A312,'TRANSAKSI PENJUALAN'!$A$5:$A$504,0))))</f>
        <v/>
      </c>
      <c r="Q312" s="0" t="str">
        <f aca="false">IF(A312="","",IF(COUNTIFS('TRANSAKSI PENJUALAN'!$A$5:$A$504,A312)=0,"BELUM ADA",INDEX('TRANSAKSI PENJUALAN'!$M$5:$M$504,MATCH(A312,'TRANSAKSI PENJUALAN'!$A$5:$A$504,0))))</f>
        <v/>
      </c>
      <c r="R312" s="24" t="str">
        <f aca="false">IF(A312="","",COUNTIF($A$5:A312,A312))</f>
        <v/>
      </c>
      <c r="S312" s="24" t="str">
        <f aca="false">IF(A312="","",A312&amp;"|"&amp;R312)</f>
        <v/>
      </c>
    </row>
    <row r="313" customFormat="false" ht="15" hidden="false" customHeight="false" outlineLevel="0" collapsed="false">
      <c r="C313" s="0" t="str">
        <f aca="false">IF(B313="","",IF(COUNTIFS('MASTER MENU'!$A$5:$A$504,B313)=0,"BELUM ADA",INDEX('MASTER MENU'!$B$5:$B$504,MATCH(B313,'MASTER MENU'!$A$5:$A$504,0))))</f>
        <v/>
      </c>
      <c r="D313" s="0" t="str">
        <f aca="false">IF(B313="","",IF(COUNTIFS('MASTER MENU'!$A$5:$A$504,B313)=0,"BELUM ADA",INDEX('MASTER MENU'!$E$5:$E$504,MATCH(B313,'MASTER MENU'!$A$5:$A$504,0))))</f>
        <v/>
      </c>
      <c r="F313" s="0" t="str">
        <f aca="false">IF(B313="","",IF(COUNTIFS('MASTER MENU'!$A$5:$A$504,B313)=0,"BELUM ADA",INDEX('MASTER MENU'!$F$5:$F$504,MATCH(B313,'MASTER MENU'!$A$5:$A$504,0))))</f>
        <v/>
      </c>
      <c r="G313" s="0" t="str">
        <f aca="false">IF(A313="","",IF(OR(NOT(ISNUMBER(E313)),NOT(ISNUMBER(F313))),"BELUM LENGKAP",ROUND(E313*F313,0)))</f>
        <v/>
      </c>
      <c r="J313" s="0" t="str">
        <f aca="false">IF(A313="","",IF(NOT(ISNUMBER(G313)),"BELUM LENGKAP",G313-H313-I313))</f>
        <v/>
      </c>
      <c r="L313" s="0" t="str">
        <f aca="false">IF(A313="","",IF(NOT(ISNUMBER(K313)),"ISI SNAPSHOT HPP",ROUND(E313*K313,0)))</f>
        <v/>
      </c>
      <c r="M313" s="0" t="str">
        <f aca="false">IF(A313="","",IF(NOT(ISNUMBER(L313)),"BELUM LENGKAP",J313-L313))</f>
        <v/>
      </c>
      <c r="N313" s="0" t="str">
        <f aca="false">IF(B313="","",IF(COUNTIFS('RESEP DAN HPP'!$A$5:$A$504,B313,'RESEP DAN HPP'!$N$5:$N$504,"LENGKAP")=0,"BELUM LENGKAP",INDEX('RESEP DAN HPP'!$J$5:$J$504,MATCH(B313,'RESEP DAN HPP'!$A$5:$A$504,0))))</f>
        <v/>
      </c>
      <c r="P313" s="0" t="str">
        <f aca="false">IF(A313="","",IF(COUNTIFS('TRANSAKSI PENJUALAN'!$A$5:$A$504,A313)=0,"BELUM ADA",INDEX('TRANSAKSI PENJUALAN'!$B$5:$B$504,MATCH(A313,'TRANSAKSI PENJUALAN'!$A$5:$A$504,0))))</f>
        <v/>
      </c>
      <c r="Q313" s="0" t="str">
        <f aca="false">IF(A313="","",IF(COUNTIFS('TRANSAKSI PENJUALAN'!$A$5:$A$504,A313)=0,"BELUM ADA",INDEX('TRANSAKSI PENJUALAN'!$M$5:$M$504,MATCH(A313,'TRANSAKSI PENJUALAN'!$A$5:$A$504,0))))</f>
        <v/>
      </c>
      <c r="R313" s="24" t="str">
        <f aca="false">IF(A313="","",COUNTIF($A$5:A313,A313))</f>
        <v/>
      </c>
      <c r="S313" s="24" t="str">
        <f aca="false">IF(A313="","",A313&amp;"|"&amp;R313)</f>
        <v/>
      </c>
    </row>
    <row r="314" customFormat="false" ht="15" hidden="false" customHeight="false" outlineLevel="0" collapsed="false">
      <c r="C314" s="0" t="str">
        <f aca="false">IF(B314="","",IF(COUNTIFS('MASTER MENU'!$A$5:$A$504,B314)=0,"BELUM ADA",INDEX('MASTER MENU'!$B$5:$B$504,MATCH(B314,'MASTER MENU'!$A$5:$A$504,0))))</f>
        <v/>
      </c>
      <c r="D314" s="0" t="str">
        <f aca="false">IF(B314="","",IF(COUNTIFS('MASTER MENU'!$A$5:$A$504,B314)=0,"BELUM ADA",INDEX('MASTER MENU'!$E$5:$E$504,MATCH(B314,'MASTER MENU'!$A$5:$A$504,0))))</f>
        <v/>
      </c>
      <c r="F314" s="0" t="str">
        <f aca="false">IF(B314="","",IF(COUNTIFS('MASTER MENU'!$A$5:$A$504,B314)=0,"BELUM ADA",INDEX('MASTER MENU'!$F$5:$F$504,MATCH(B314,'MASTER MENU'!$A$5:$A$504,0))))</f>
        <v/>
      </c>
      <c r="G314" s="0" t="str">
        <f aca="false">IF(A314="","",IF(OR(NOT(ISNUMBER(E314)),NOT(ISNUMBER(F314))),"BELUM LENGKAP",ROUND(E314*F314,0)))</f>
        <v/>
      </c>
      <c r="J314" s="0" t="str">
        <f aca="false">IF(A314="","",IF(NOT(ISNUMBER(G314)),"BELUM LENGKAP",G314-H314-I314))</f>
        <v/>
      </c>
      <c r="L314" s="0" t="str">
        <f aca="false">IF(A314="","",IF(NOT(ISNUMBER(K314)),"ISI SNAPSHOT HPP",ROUND(E314*K314,0)))</f>
        <v/>
      </c>
      <c r="M314" s="0" t="str">
        <f aca="false">IF(A314="","",IF(NOT(ISNUMBER(L314)),"BELUM LENGKAP",J314-L314))</f>
        <v/>
      </c>
      <c r="N314" s="0" t="str">
        <f aca="false">IF(B314="","",IF(COUNTIFS('RESEP DAN HPP'!$A$5:$A$504,B314,'RESEP DAN HPP'!$N$5:$N$504,"LENGKAP")=0,"BELUM LENGKAP",INDEX('RESEP DAN HPP'!$J$5:$J$504,MATCH(B314,'RESEP DAN HPP'!$A$5:$A$504,0))))</f>
        <v/>
      </c>
      <c r="P314" s="0" t="str">
        <f aca="false">IF(A314="","",IF(COUNTIFS('TRANSAKSI PENJUALAN'!$A$5:$A$504,A314)=0,"BELUM ADA",INDEX('TRANSAKSI PENJUALAN'!$B$5:$B$504,MATCH(A314,'TRANSAKSI PENJUALAN'!$A$5:$A$504,0))))</f>
        <v/>
      </c>
      <c r="Q314" s="0" t="str">
        <f aca="false">IF(A314="","",IF(COUNTIFS('TRANSAKSI PENJUALAN'!$A$5:$A$504,A314)=0,"BELUM ADA",INDEX('TRANSAKSI PENJUALAN'!$M$5:$M$504,MATCH(A314,'TRANSAKSI PENJUALAN'!$A$5:$A$504,0))))</f>
        <v/>
      </c>
      <c r="R314" s="24" t="str">
        <f aca="false">IF(A314="","",COUNTIF($A$5:A314,A314))</f>
        <v/>
      </c>
      <c r="S314" s="24" t="str">
        <f aca="false">IF(A314="","",A314&amp;"|"&amp;R314)</f>
        <v/>
      </c>
    </row>
    <row r="315" customFormat="false" ht="15" hidden="false" customHeight="false" outlineLevel="0" collapsed="false">
      <c r="C315" s="0" t="str">
        <f aca="false">IF(B315="","",IF(COUNTIFS('MASTER MENU'!$A$5:$A$504,B315)=0,"BELUM ADA",INDEX('MASTER MENU'!$B$5:$B$504,MATCH(B315,'MASTER MENU'!$A$5:$A$504,0))))</f>
        <v/>
      </c>
      <c r="D315" s="0" t="str">
        <f aca="false">IF(B315="","",IF(COUNTIFS('MASTER MENU'!$A$5:$A$504,B315)=0,"BELUM ADA",INDEX('MASTER MENU'!$E$5:$E$504,MATCH(B315,'MASTER MENU'!$A$5:$A$504,0))))</f>
        <v/>
      </c>
      <c r="F315" s="0" t="str">
        <f aca="false">IF(B315="","",IF(COUNTIFS('MASTER MENU'!$A$5:$A$504,B315)=0,"BELUM ADA",INDEX('MASTER MENU'!$F$5:$F$504,MATCH(B315,'MASTER MENU'!$A$5:$A$504,0))))</f>
        <v/>
      </c>
      <c r="G315" s="0" t="str">
        <f aca="false">IF(A315="","",IF(OR(NOT(ISNUMBER(E315)),NOT(ISNUMBER(F315))),"BELUM LENGKAP",ROUND(E315*F315,0)))</f>
        <v/>
      </c>
      <c r="J315" s="0" t="str">
        <f aca="false">IF(A315="","",IF(NOT(ISNUMBER(G315)),"BELUM LENGKAP",G315-H315-I315))</f>
        <v/>
      </c>
      <c r="L315" s="0" t="str">
        <f aca="false">IF(A315="","",IF(NOT(ISNUMBER(K315)),"ISI SNAPSHOT HPP",ROUND(E315*K315,0)))</f>
        <v/>
      </c>
      <c r="M315" s="0" t="str">
        <f aca="false">IF(A315="","",IF(NOT(ISNUMBER(L315)),"BELUM LENGKAP",J315-L315))</f>
        <v/>
      </c>
      <c r="N315" s="0" t="str">
        <f aca="false">IF(B315="","",IF(COUNTIFS('RESEP DAN HPP'!$A$5:$A$504,B315,'RESEP DAN HPP'!$N$5:$N$504,"LENGKAP")=0,"BELUM LENGKAP",INDEX('RESEP DAN HPP'!$J$5:$J$504,MATCH(B315,'RESEP DAN HPP'!$A$5:$A$504,0))))</f>
        <v/>
      </c>
      <c r="P315" s="0" t="str">
        <f aca="false">IF(A315="","",IF(COUNTIFS('TRANSAKSI PENJUALAN'!$A$5:$A$504,A315)=0,"BELUM ADA",INDEX('TRANSAKSI PENJUALAN'!$B$5:$B$504,MATCH(A315,'TRANSAKSI PENJUALAN'!$A$5:$A$504,0))))</f>
        <v/>
      </c>
      <c r="Q315" s="0" t="str">
        <f aca="false">IF(A315="","",IF(COUNTIFS('TRANSAKSI PENJUALAN'!$A$5:$A$504,A315)=0,"BELUM ADA",INDEX('TRANSAKSI PENJUALAN'!$M$5:$M$504,MATCH(A315,'TRANSAKSI PENJUALAN'!$A$5:$A$504,0))))</f>
        <v/>
      </c>
      <c r="R315" s="24" t="str">
        <f aca="false">IF(A315="","",COUNTIF($A$5:A315,A315))</f>
        <v/>
      </c>
      <c r="S315" s="24" t="str">
        <f aca="false">IF(A315="","",A315&amp;"|"&amp;R315)</f>
        <v/>
      </c>
    </row>
    <row r="316" customFormat="false" ht="15" hidden="false" customHeight="false" outlineLevel="0" collapsed="false">
      <c r="C316" s="0" t="str">
        <f aca="false">IF(B316="","",IF(COUNTIFS('MASTER MENU'!$A$5:$A$504,B316)=0,"BELUM ADA",INDEX('MASTER MENU'!$B$5:$B$504,MATCH(B316,'MASTER MENU'!$A$5:$A$504,0))))</f>
        <v/>
      </c>
      <c r="D316" s="0" t="str">
        <f aca="false">IF(B316="","",IF(COUNTIFS('MASTER MENU'!$A$5:$A$504,B316)=0,"BELUM ADA",INDEX('MASTER MENU'!$E$5:$E$504,MATCH(B316,'MASTER MENU'!$A$5:$A$504,0))))</f>
        <v/>
      </c>
      <c r="F316" s="0" t="str">
        <f aca="false">IF(B316="","",IF(COUNTIFS('MASTER MENU'!$A$5:$A$504,B316)=0,"BELUM ADA",INDEX('MASTER MENU'!$F$5:$F$504,MATCH(B316,'MASTER MENU'!$A$5:$A$504,0))))</f>
        <v/>
      </c>
      <c r="G316" s="0" t="str">
        <f aca="false">IF(A316="","",IF(OR(NOT(ISNUMBER(E316)),NOT(ISNUMBER(F316))),"BELUM LENGKAP",ROUND(E316*F316,0)))</f>
        <v/>
      </c>
      <c r="J316" s="0" t="str">
        <f aca="false">IF(A316="","",IF(NOT(ISNUMBER(G316)),"BELUM LENGKAP",G316-H316-I316))</f>
        <v/>
      </c>
      <c r="L316" s="0" t="str">
        <f aca="false">IF(A316="","",IF(NOT(ISNUMBER(K316)),"ISI SNAPSHOT HPP",ROUND(E316*K316,0)))</f>
        <v/>
      </c>
      <c r="M316" s="0" t="str">
        <f aca="false">IF(A316="","",IF(NOT(ISNUMBER(L316)),"BELUM LENGKAP",J316-L316))</f>
        <v/>
      </c>
      <c r="N316" s="0" t="str">
        <f aca="false">IF(B316="","",IF(COUNTIFS('RESEP DAN HPP'!$A$5:$A$504,B316,'RESEP DAN HPP'!$N$5:$N$504,"LENGKAP")=0,"BELUM LENGKAP",INDEX('RESEP DAN HPP'!$J$5:$J$504,MATCH(B316,'RESEP DAN HPP'!$A$5:$A$504,0))))</f>
        <v/>
      </c>
      <c r="P316" s="0" t="str">
        <f aca="false">IF(A316="","",IF(COUNTIFS('TRANSAKSI PENJUALAN'!$A$5:$A$504,A316)=0,"BELUM ADA",INDEX('TRANSAKSI PENJUALAN'!$B$5:$B$504,MATCH(A316,'TRANSAKSI PENJUALAN'!$A$5:$A$504,0))))</f>
        <v/>
      </c>
      <c r="Q316" s="0" t="str">
        <f aca="false">IF(A316="","",IF(COUNTIFS('TRANSAKSI PENJUALAN'!$A$5:$A$504,A316)=0,"BELUM ADA",INDEX('TRANSAKSI PENJUALAN'!$M$5:$M$504,MATCH(A316,'TRANSAKSI PENJUALAN'!$A$5:$A$504,0))))</f>
        <v/>
      </c>
      <c r="R316" s="24" t="str">
        <f aca="false">IF(A316="","",COUNTIF($A$5:A316,A316))</f>
        <v/>
      </c>
      <c r="S316" s="24" t="str">
        <f aca="false">IF(A316="","",A316&amp;"|"&amp;R316)</f>
        <v/>
      </c>
    </row>
    <row r="317" customFormat="false" ht="15" hidden="false" customHeight="false" outlineLevel="0" collapsed="false">
      <c r="C317" s="0" t="str">
        <f aca="false">IF(B317="","",IF(COUNTIFS('MASTER MENU'!$A$5:$A$504,B317)=0,"BELUM ADA",INDEX('MASTER MENU'!$B$5:$B$504,MATCH(B317,'MASTER MENU'!$A$5:$A$504,0))))</f>
        <v/>
      </c>
      <c r="D317" s="0" t="str">
        <f aca="false">IF(B317="","",IF(COUNTIFS('MASTER MENU'!$A$5:$A$504,B317)=0,"BELUM ADA",INDEX('MASTER MENU'!$E$5:$E$504,MATCH(B317,'MASTER MENU'!$A$5:$A$504,0))))</f>
        <v/>
      </c>
      <c r="F317" s="0" t="str">
        <f aca="false">IF(B317="","",IF(COUNTIFS('MASTER MENU'!$A$5:$A$504,B317)=0,"BELUM ADA",INDEX('MASTER MENU'!$F$5:$F$504,MATCH(B317,'MASTER MENU'!$A$5:$A$504,0))))</f>
        <v/>
      </c>
      <c r="G317" s="0" t="str">
        <f aca="false">IF(A317="","",IF(OR(NOT(ISNUMBER(E317)),NOT(ISNUMBER(F317))),"BELUM LENGKAP",ROUND(E317*F317,0)))</f>
        <v/>
      </c>
      <c r="J317" s="0" t="str">
        <f aca="false">IF(A317="","",IF(NOT(ISNUMBER(G317)),"BELUM LENGKAP",G317-H317-I317))</f>
        <v/>
      </c>
      <c r="L317" s="0" t="str">
        <f aca="false">IF(A317="","",IF(NOT(ISNUMBER(K317)),"ISI SNAPSHOT HPP",ROUND(E317*K317,0)))</f>
        <v/>
      </c>
      <c r="M317" s="0" t="str">
        <f aca="false">IF(A317="","",IF(NOT(ISNUMBER(L317)),"BELUM LENGKAP",J317-L317))</f>
        <v/>
      </c>
      <c r="N317" s="0" t="str">
        <f aca="false">IF(B317="","",IF(COUNTIFS('RESEP DAN HPP'!$A$5:$A$504,B317,'RESEP DAN HPP'!$N$5:$N$504,"LENGKAP")=0,"BELUM LENGKAP",INDEX('RESEP DAN HPP'!$J$5:$J$504,MATCH(B317,'RESEP DAN HPP'!$A$5:$A$504,0))))</f>
        <v/>
      </c>
      <c r="P317" s="0" t="str">
        <f aca="false">IF(A317="","",IF(COUNTIFS('TRANSAKSI PENJUALAN'!$A$5:$A$504,A317)=0,"BELUM ADA",INDEX('TRANSAKSI PENJUALAN'!$B$5:$B$504,MATCH(A317,'TRANSAKSI PENJUALAN'!$A$5:$A$504,0))))</f>
        <v/>
      </c>
      <c r="Q317" s="0" t="str">
        <f aca="false">IF(A317="","",IF(COUNTIFS('TRANSAKSI PENJUALAN'!$A$5:$A$504,A317)=0,"BELUM ADA",INDEX('TRANSAKSI PENJUALAN'!$M$5:$M$504,MATCH(A317,'TRANSAKSI PENJUALAN'!$A$5:$A$504,0))))</f>
        <v/>
      </c>
      <c r="R317" s="24" t="str">
        <f aca="false">IF(A317="","",COUNTIF($A$5:A317,A317))</f>
        <v/>
      </c>
      <c r="S317" s="24" t="str">
        <f aca="false">IF(A317="","",A317&amp;"|"&amp;R317)</f>
        <v/>
      </c>
    </row>
    <row r="318" customFormat="false" ht="15" hidden="false" customHeight="false" outlineLevel="0" collapsed="false">
      <c r="C318" s="0" t="str">
        <f aca="false">IF(B318="","",IF(COUNTIFS('MASTER MENU'!$A$5:$A$504,B318)=0,"BELUM ADA",INDEX('MASTER MENU'!$B$5:$B$504,MATCH(B318,'MASTER MENU'!$A$5:$A$504,0))))</f>
        <v/>
      </c>
      <c r="D318" s="0" t="str">
        <f aca="false">IF(B318="","",IF(COUNTIFS('MASTER MENU'!$A$5:$A$504,B318)=0,"BELUM ADA",INDEX('MASTER MENU'!$E$5:$E$504,MATCH(B318,'MASTER MENU'!$A$5:$A$504,0))))</f>
        <v/>
      </c>
      <c r="F318" s="0" t="str">
        <f aca="false">IF(B318="","",IF(COUNTIFS('MASTER MENU'!$A$5:$A$504,B318)=0,"BELUM ADA",INDEX('MASTER MENU'!$F$5:$F$504,MATCH(B318,'MASTER MENU'!$A$5:$A$504,0))))</f>
        <v/>
      </c>
      <c r="G318" s="0" t="str">
        <f aca="false">IF(A318="","",IF(OR(NOT(ISNUMBER(E318)),NOT(ISNUMBER(F318))),"BELUM LENGKAP",ROUND(E318*F318,0)))</f>
        <v/>
      </c>
      <c r="J318" s="0" t="str">
        <f aca="false">IF(A318="","",IF(NOT(ISNUMBER(G318)),"BELUM LENGKAP",G318-H318-I318))</f>
        <v/>
      </c>
      <c r="L318" s="0" t="str">
        <f aca="false">IF(A318="","",IF(NOT(ISNUMBER(K318)),"ISI SNAPSHOT HPP",ROUND(E318*K318,0)))</f>
        <v/>
      </c>
      <c r="M318" s="0" t="str">
        <f aca="false">IF(A318="","",IF(NOT(ISNUMBER(L318)),"BELUM LENGKAP",J318-L318))</f>
        <v/>
      </c>
      <c r="N318" s="0" t="str">
        <f aca="false">IF(B318="","",IF(COUNTIFS('RESEP DAN HPP'!$A$5:$A$504,B318,'RESEP DAN HPP'!$N$5:$N$504,"LENGKAP")=0,"BELUM LENGKAP",INDEX('RESEP DAN HPP'!$J$5:$J$504,MATCH(B318,'RESEP DAN HPP'!$A$5:$A$504,0))))</f>
        <v/>
      </c>
      <c r="P318" s="0" t="str">
        <f aca="false">IF(A318="","",IF(COUNTIFS('TRANSAKSI PENJUALAN'!$A$5:$A$504,A318)=0,"BELUM ADA",INDEX('TRANSAKSI PENJUALAN'!$B$5:$B$504,MATCH(A318,'TRANSAKSI PENJUALAN'!$A$5:$A$504,0))))</f>
        <v/>
      </c>
      <c r="Q318" s="0" t="str">
        <f aca="false">IF(A318="","",IF(COUNTIFS('TRANSAKSI PENJUALAN'!$A$5:$A$504,A318)=0,"BELUM ADA",INDEX('TRANSAKSI PENJUALAN'!$M$5:$M$504,MATCH(A318,'TRANSAKSI PENJUALAN'!$A$5:$A$504,0))))</f>
        <v/>
      </c>
      <c r="R318" s="24" t="str">
        <f aca="false">IF(A318="","",COUNTIF($A$5:A318,A318))</f>
        <v/>
      </c>
      <c r="S318" s="24" t="str">
        <f aca="false">IF(A318="","",A318&amp;"|"&amp;R318)</f>
        <v/>
      </c>
    </row>
    <row r="319" customFormat="false" ht="15" hidden="false" customHeight="false" outlineLevel="0" collapsed="false">
      <c r="C319" s="0" t="str">
        <f aca="false">IF(B319="","",IF(COUNTIFS('MASTER MENU'!$A$5:$A$504,B319)=0,"BELUM ADA",INDEX('MASTER MENU'!$B$5:$B$504,MATCH(B319,'MASTER MENU'!$A$5:$A$504,0))))</f>
        <v/>
      </c>
      <c r="D319" s="0" t="str">
        <f aca="false">IF(B319="","",IF(COUNTIFS('MASTER MENU'!$A$5:$A$504,B319)=0,"BELUM ADA",INDEX('MASTER MENU'!$E$5:$E$504,MATCH(B319,'MASTER MENU'!$A$5:$A$504,0))))</f>
        <v/>
      </c>
      <c r="F319" s="0" t="str">
        <f aca="false">IF(B319="","",IF(COUNTIFS('MASTER MENU'!$A$5:$A$504,B319)=0,"BELUM ADA",INDEX('MASTER MENU'!$F$5:$F$504,MATCH(B319,'MASTER MENU'!$A$5:$A$504,0))))</f>
        <v/>
      </c>
      <c r="G319" s="0" t="str">
        <f aca="false">IF(A319="","",IF(OR(NOT(ISNUMBER(E319)),NOT(ISNUMBER(F319))),"BELUM LENGKAP",ROUND(E319*F319,0)))</f>
        <v/>
      </c>
      <c r="J319" s="0" t="str">
        <f aca="false">IF(A319="","",IF(NOT(ISNUMBER(G319)),"BELUM LENGKAP",G319-H319-I319))</f>
        <v/>
      </c>
      <c r="L319" s="0" t="str">
        <f aca="false">IF(A319="","",IF(NOT(ISNUMBER(K319)),"ISI SNAPSHOT HPP",ROUND(E319*K319,0)))</f>
        <v/>
      </c>
      <c r="M319" s="0" t="str">
        <f aca="false">IF(A319="","",IF(NOT(ISNUMBER(L319)),"BELUM LENGKAP",J319-L319))</f>
        <v/>
      </c>
      <c r="N319" s="0" t="str">
        <f aca="false">IF(B319="","",IF(COUNTIFS('RESEP DAN HPP'!$A$5:$A$504,B319,'RESEP DAN HPP'!$N$5:$N$504,"LENGKAP")=0,"BELUM LENGKAP",INDEX('RESEP DAN HPP'!$J$5:$J$504,MATCH(B319,'RESEP DAN HPP'!$A$5:$A$504,0))))</f>
        <v/>
      </c>
      <c r="P319" s="0" t="str">
        <f aca="false">IF(A319="","",IF(COUNTIFS('TRANSAKSI PENJUALAN'!$A$5:$A$504,A319)=0,"BELUM ADA",INDEX('TRANSAKSI PENJUALAN'!$B$5:$B$504,MATCH(A319,'TRANSAKSI PENJUALAN'!$A$5:$A$504,0))))</f>
        <v/>
      </c>
      <c r="Q319" s="0" t="str">
        <f aca="false">IF(A319="","",IF(COUNTIFS('TRANSAKSI PENJUALAN'!$A$5:$A$504,A319)=0,"BELUM ADA",INDEX('TRANSAKSI PENJUALAN'!$M$5:$M$504,MATCH(A319,'TRANSAKSI PENJUALAN'!$A$5:$A$504,0))))</f>
        <v/>
      </c>
      <c r="R319" s="24" t="str">
        <f aca="false">IF(A319="","",COUNTIF($A$5:A319,A319))</f>
        <v/>
      </c>
      <c r="S319" s="24" t="str">
        <f aca="false">IF(A319="","",A319&amp;"|"&amp;R319)</f>
        <v/>
      </c>
    </row>
    <row r="320" customFormat="false" ht="15" hidden="false" customHeight="false" outlineLevel="0" collapsed="false">
      <c r="C320" s="0" t="str">
        <f aca="false">IF(B320="","",IF(COUNTIFS('MASTER MENU'!$A$5:$A$504,B320)=0,"BELUM ADA",INDEX('MASTER MENU'!$B$5:$B$504,MATCH(B320,'MASTER MENU'!$A$5:$A$504,0))))</f>
        <v/>
      </c>
      <c r="D320" s="0" t="str">
        <f aca="false">IF(B320="","",IF(COUNTIFS('MASTER MENU'!$A$5:$A$504,B320)=0,"BELUM ADA",INDEX('MASTER MENU'!$E$5:$E$504,MATCH(B320,'MASTER MENU'!$A$5:$A$504,0))))</f>
        <v/>
      </c>
      <c r="F320" s="0" t="str">
        <f aca="false">IF(B320="","",IF(COUNTIFS('MASTER MENU'!$A$5:$A$504,B320)=0,"BELUM ADA",INDEX('MASTER MENU'!$F$5:$F$504,MATCH(B320,'MASTER MENU'!$A$5:$A$504,0))))</f>
        <v/>
      </c>
      <c r="G320" s="0" t="str">
        <f aca="false">IF(A320="","",IF(OR(NOT(ISNUMBER(E320)),NOT(ISNUMBER(F320))),"BELUM LENGKAP",ROUND(E320*F320,0)))</f>
        <v/>
      </c>
      <c r="J320" s="0" t="str">
        <f aca="false">IF(A320="","",IF(NOT(ISNUMBER(G320)),"BELUM LENGKAP",G320-H320-I320))</f>
        <v/>
      </c>
      <c r="L320" s="0" t="str">
        <f aca="false">IF(A320="","",IF(NOT(ISNUMBER(K320)),"ISI SNAPSHOT HPP",ROUND(E320*K320,0)))</f>
        <v/>
      </c>
      <c r="M320" s="0" t="str">
        <f aca="false">IF(A320="","",IF(NOT(ISNUMBER(L320)),"BELUM LENGKAP",J320-L320))</f>
        <v/>
      </c>
      <c r="N320" s="0" t="str">
        <f aca="false">IF(B320="","",IF(COUNTIFS('RESEP DAN HPP'!$A$5:$A$504,B320,'RESEP DAN HPP'!$N$5:$N$504,"LENGKAP")=0,"BELUM LENGKAP",INDEX('RESEP DAN HPP'!$J$5:$J$504,MATCH(B320,'RESEP DAN HPP'!$A$5:$A$504,0))))</f>
        <v/>
      </c>
      <c r="P320" s="0" t="str">
        <f aca="false">IF(A320="","",IF(COUNTIFS('TRANSAKSI PENJUALAN'!$A$5:$A$504,A320)=0,"BELUM ADA",INDEX('TRANSAKSI PENJUALAN'!$B$5:$B$504,MATCH(A320,'TRANSAKSI PENJUALAN'!$A$5:$A$504,0))))</f>
        <v/>
      </c>
      <c r="Q320" s="0" t="str">
        <f aca="false">IF(A320="","",IF(COUNTIFS('TRANSAKSI PENJUALAN'!$A$5:$A$504,A320)=0,"BELUM ADA",INDEX('TRANSAKSI PENJUALAN'!$M$5:$M$504,MATCH(A320,'TRANSAKSI PENJUALAN'!$A$5:$A$504,0))))</f>
        <v/>
      </c>
      <c r="R320" s="24" t="str">
        <f aca="false">IF(A320="","",COUNTIF($A$5:A320,A320))</f>
        <v/>
      </c>
      <c r="S320" s="24" t="str">
        <f aca="false">IF(A320="","",A320&amp;"|"&amp;R320)</f>
        <v/>
      </c>
    </row>
    <row r="321" customFormat="false" ht="15" hidden="false" customHeight="false" outlineLevel="0" collapsed="false">
      <c r="C321" s="0" t="str">
        <f aca="false">IF(B321="","",IF(COUNTIFS('MASTER MENU'!$A$5:$A$504,B321)=0,"BELUM ADA",INDEX('MASTER MENU'!$B$5:$B$504,MATCH(B321,'MASTER MENU'!$A$5:$A$504,0))))</f>
        <v/>
      </c>
      <c r="D321" s="0" t="str">
        <f aca="false">IF(B321="","",IF(COUNTIFS('MASTER MENU'!$A$5:$A$504,B321)=0,"BELUM ADA",INDEX('MASTER MENU'!$E$5:$E$504,MATCH(B321,'MASTER MENU'!$A$5:$A$504,0))))</f>
        <v/>
      </c>
      <c r="F321" s="0" t="str">
        <f aca="false">IF(B321="","",IF(COUNTIFS('MASTER MENU'!$A$5:$A$504,B321)=0,"BELUM ADA",INDEX('MASTER MENU'!$F$5:$F$504,MATCH(B321,'MASTER MENU'!$A$5:$A$504,0))))</f>
        <v/>
      </c>
      <c r="G321" s="0" t="str">
        <f aca="false">IF(A321="","",IF(OR(NOT(ISNUMBER(E321)),NOT(ISNUMBER(F321))),"BELUM LENGKAP",ROUND(E321*F321,0)))</f>
        <v/>
      </c>
      <c r="J321" s="0" t="str">
        <f aca="false">IF(A321="","",IF(NOT(ISNUMBER(G321)),"BELUM LENGKAP",G321-H321-I321))</f>
        <v/>
      </c>
      <c r="L321" s="0" t="str">
        <f aca="false">IF(A321="","",IF(NOT(ISNUMBER(K321)),"ISI SNAPSHOT HPP",ROUND(E321*K321,0)))</f>
        <v/>
      </c>
      <c r="M321" s="0" t="str">
        <f aca="false">IF(A321="","",IF(NOT(ISNUMBER(L321)),"BELUM LENGKAP",J321-L321))</f>
        <v/>
      </c>
      <c r="N321" s="0" t="str">
        <f aca="false">IF(B321="","",IF(COUNTIFS('RESEP DAN HPP'!$A$5:$A$504,B321,'RESEP DAN HPP'!$N$5:$N$504,"LENGKAP")=0,"BELUM LENGKAP",INDEX('RESEP DAN HPP'!$J$5:$J$504,MATCH(B321,'RESEP DAN HPP'!$A$5:$A$504,0))))</f>
        <v/>
      </c>
      <c r="P321" s="0" t="str">
        <f aca="false">IF(A321="","",IF(COUNTIFS('TRANSAKSI PENJUALAN'!$A$5:$A$504,A321)=0,"BELUM ADA",INDEX('TRANSAKSI PENJUALAN'!$B$5:$B$504,MATCH(A321,'TRANSAKSI PENJUALAN'!$A$5:$A$504,0))))</f>
        <v/>
      </c>
      <c r="Q321" s="0" t="str">
        <f aca="false">IF(A321="","",IF(COUNTIFS('TRANSAKSI PENJUALAN'!$A$5:$A$504,A321)=0,"BELUM ADA",INDEX('TRANSAKSI PENJUALAN'!$M$5:$M$504,MATCH(A321,'TRANSAKSI PENJUALAN'!$A$5:$A$504,0))))</f>
        <v/>
      </c>
      <c r="R321" s="24" t="str">
        <f aca="false">IF(A321="","",COUNTIF($A$5:A321,A321))</f>
        <v/>
      </c>
      <c r="S321" s="24" t="str">
        <f aca="false">IF(A321="","",A321&amp;"|"&amp;R321)</f>
        <v/>
      </c>
    </row>
    <row r="322" customFormat="false" ht="15" hidden="false" customHeight="false" outlineLevel="0" collapsed="false">
      <c r="C322" s="0" t="str">
        <f aca="false">IF(B322="","",IF(COUNTIFS('MASTER MENU'!$A$5:$A$504,B322)=0,"BELUM ADA",INDEX('MASTER MENU'!$B$5:$B$504,MATCH(B322,'MASTER MENU'!$A$5:$A$504,0))))</f>
        <v/>
      </c>
      <c r="D322" s="0" t="str">
        <f aca="false">IF(B322="","",IF(COUNTIFS('MASTER MENU'!$A$5:$A$504,B322)=0,"BELUM ADA",INDEX('MASTER MENU'!$E$5:$E$504,MATCH(B322,'MASTER MENU'!$A$5:$A$504,0))))</f>
        <v/>
      </c>
      <c r="F322" s="0" t="str">
        <f aca="false">IF(B322="","",IF(COUNTIFS('MASTER MENU'!$A$5:$A$504,B322)=0,"BELUM ADA",INDEX('MASTER MENU'!$F$5:$F$504,MATCH(B322,'MASTER MENU'!$A$5:$A$504,0))))</f>
        <v/>
      </c>
      <c r="G322" s="0" t="str">
        <f aca="false">IF(A322="","",IF(OR(NOT(ISNUMBER(E322)),NOT(ISNUMBER(F322))),"BELUM LENGKAP",ROUND(E322*F322,0)))</f>
        <v/>
      </c>
      <c r="J322" s="0" t="str">
        <f aca="false">IF(A322="","",IF(NOT(ISNUMBER(G322)),"BELUM LENGKAP",G322-H322-I322))</f>
        <v/>
      </c>
      <c r="L322" s="0" t="str">
        <f aca="false">IF(A322="","",IF(NOT(ISNUMBER(K322)),"ISI SNAPSHOT HPP",ROUND(E322*K322,0)))</f>
        <v/>
      </c>
      <c r="M322" s="0" t="str">
        <f aca="false">IF(A322="","",IF(NOT(ISNUMBER(L322)),"BELUM LENGKAP",J322-L322))</f>
        <v/>
      </c>
      <c r="N322" s="0" t="str">
        <f aca="false">IF(B322="","",IF(COUNTIFS('RESEP DAN HPP'!$A$5:$A$504,B322,'RESEP DAN HPP'!$N$5:$N$504,"LENGKAP")=0,"BELUM LENGKAP",INDEX('RESEP DAN HPP'!$J$5:$J$504,MATCH(B322,'RESEP DAN HPP'!$A$5:$A$504,0))))</f>
        <v/>
      </c>
      <c r="P322" s="0" t="str">
        <f aca="false">IF(A322="","",IF(COUNTIFS('TRANSAKSI PENJUALAN'!$A$5:$A$504,A322)=0,"BELUM ADA",INDEX('TRANSAKSI PENJUALAN'!$B$5:$B$504,MATCH(A322,'TRANSAKSI PENJUALAN'!$A$5:$A$504,0))))</f>
        <v/>
      </c>
      <c r="Q322" s="0" t="str">
        <f aca="false">IF(A322="","",IF(COUNTIFS('TRANSAKSI PENJUALAN'!$A$5:$A$504,A322)=0,"BELUM ADA",INDEX('TRANSAKSI PENJUALAN'!$M$5:$M$504,MATCH(A322,'TRANSAKSI PENJUALAN'!$A$5:$A$504,0))))</f>
        <v/>
      </c>
      <c r="R322" s="24" t="str">
        <f aca="false">IF(A322="","",COUNTIF($A$5:A322,A322))</f>
        <v/>
      </c>
      <c r="S322" s="24" t="str">
        <f aca="false">IF(A322="","",A322&amp;"|"&amp;R322)</f>
        <v/>
      </c>
    </row>
    <row r="323" customFormat="false" ht="15" hidden="false" customHeight="false" outlineLevel="0" collapsed="false">
      <c r="C323" s="0" t="str">
        <f aca="false">IF(B323="","",IF(COUNTIFS('MASTER MENU'!$A$5:$A$504,B323)=0,"BELUM ADA",INDEX('MASTER MENU'!$B$5:$B$504,MATCH(B323,'MASTER MENU'!$A$5:$A$504,0))))</f>
        <v/>
      </c>
      <c r="D323" s="0" t="str">
        <f aca="false">IF(B323="","",IF(COUNTIFS('MASTER MENU'!$A$5:$A$504,B323)=0,"BELUM ADA",INDEX('MASTER MENU'!$E$5:$E$504,MATCH(B323,'MASTER MENU'!$A$5:$A$504,0))))</f>
        <v/>
      </c>
      <c r="F323" s="0" t="str">
        <f aca="false">IF(B323="","",IF(COUNTIFS('MASTER MENU'!$A$5:$A$504,B323)=0,"BELUM ADA",INDEX('MASTER MENU'!$F$5:$F$504,MATCH(B323,'MASTER MENU'!$A$5:$A$504,0))))</f>
        <v/>
      </c>
      <c r="G323" s="0" t="str">
        <f aca="false">IF(A323="","",IF(OR(NOT(ISNUMBER(E323)),NOT(ISNUMBER(F323))),"BELUM LENGKAP",ROUND(E323*F323,0)))</f>
        <v/>
      </c>
      <c r="J323" s="0" t="str">
        <f aca="false">IF(A323="","",IF(NOT(ISNUMBER(G323)),"BELUM LENGKAP",G323-H323-I323))</f>
        <v/>
      </c>
      <c r="L323" s="0" t="str">
        <f aca="false">IF(A323="","",IF(NOT(ISNUMBER(K323)),"ISI SNAPSHOT HPP",ROUND(E323*K323,0)))</f>
        <v/>
      </c>
      <c r="M323" s="0" t="str">
        <f aca="false">IF(A323="","",IF(NOT(ISNUMBER(L323)),"BELUM LENGKAP",J323-L323))</f>
        <v/>
      </c>
      <c r="N323" s="0" t="str">
        <f aca="false">IF(B323="","",IF(COUNTIFS('RESEP DAN HPP'!$A$5:$A$504,B323,'RESEP DAN HPP'!$N$5:$N$504,"LENGKAP")=0,"BELUM LENGKAP",INDEX('RESEP DAN HPP'!$J$5:$J$504,MATCH(B323,'RESEP DAN HPP'!$A$5:$A$504,0))))</f>
        <v/>
      </c>
      <c r="P323" s="0" t="str">
        <f aca="false">IF(A323="","",IF(COUNTIFS('TRANSAKSI PENJUALAN'!$A$5:$A$504,A323)=0,"BELUM ADA",INDEX('TRANSAKSI PENJUALAN'!$B$5:$B$504,MATCH(A323,'TRANSAKSI PENJUALAN'!$A$5:$A$504,0))))</f>
        <v/>
      </c>
      <c r="Q323" s="0" t="str">
        <f aca="false">IF(A323="","",IF(COUNTIFS('TRANSAKSI PENJUALAN'!$A$5:$A$504,A323)=0,"BELUM ADA",INDEX('TRANSAKSI PENJUALAN'!$M$5:$M$504,MATCH(A323,'TRANSAKSI PENJUALAN'!$A$5:$A$504,0))))</f>
        <v/>
      </c>
      <c r="R323" s="24" t="str">
        <f aca="false">IF(A323="","",COUNTIF($A$5:A323,A323))</f>
        <v/>
      </c>
      <c r="S323" s="24" t="str">
        <f aca="false">IF(A323="","",A323&amp;"|"&amp;R323)</f>
        <v/>
      </c>
    </row>
    <row r="324" customFormat="false" ht="15" hidden="false" customHeight="false" outlineLevel="0" collapsed="false">
      <c r="C324" s="0" t="str">
        <f aca="false">IF(B324="","",IF(COUNTIFS('MASTER MENU'!$A$5:$A$504,B324)=0,"BELUM ADA",INDEX('MASTER MENU'!$B$5:$B$504,MATCH(B324,'MASTER MENU'!$A$5:$A$504,0))))</f>
        <v/>
      </c>
      <c r="D324" s="0" t="str">
        <f aca="false">IF(B324="","",IF(COUNTIFS('MASTER MENU'!$A$5:$A$504,B324)=0,"BELUM ADA",INDEX('MASTER MENU'!$E$5:$E$504,MATCH(B324,'MASTER MENU'!$A$5:$A$504,0))))</f>
        <v/>
      </c>
      <c r="F324" s="0" t="str">
        <f aca="false">IF(B324="","",IF(COUNTIFS('MASTER MENU'!$A$5:$A$504,B324)=0,"BELUM ADA",INDEX('MASTER MENU'!$F$5:$F$504,MATCH(B324,'MASTER MENU'!$A$5:$A$504,0))))</f>
        <v/>
      </c>
      <c r="G324" s="0" t="str">
        <f aca="false">IF(A324="","",IF(OR(NOT(ISNUMBER(E324)),NOT(ISNUMBER(F324))),"BELUM LENGKAP",ROUND(E324*F324,0)))</f>
        <v/>
      </c>
      <c r="J324" s="0" t="str">
        <f aca="false">IF(A324="","",IF(NOT(ISNUMBER(G324)),"BELUM LENGKAP",G324-H324-I324))</f>
        <v/>
      </c>
      <c r="L324" s="0" t="str">
        <f aca="false">IF(A324="","",IF(NOT(ISNUMBER(K324)),"ISI SNAPSHOT HPP",ROUND(E324*K324,0)))</f>
        <v/>
      </c>
      <c r="M324" s="0" t="str">
        <f aca="false">IF(A324="","",IF(NOT(ISNUMBER(L324)),"BELUM LENGKAP",J324-L324))</f>
        <v/>
      </c>
      <c r="N324" s="0" t="str">
        <f aca="false">IF(B324="","",IF(COUNTIFS('RESEP DAN HPP'!$A$5:$A$504,B324,'RESEP DAN HPP'!$N$5:$N$504,"LENGKAP")=0,"BELUM LENGKAP",INDEX('RESEP DAN HPP'!$J$5:$J$504,MATCH(B324,'RESEP DAN HPP'!$A$5:$A$504,0))))</f>
        <v/>
      </c>
      <c r="P324" s="0" t="str">
        <f aca="false">IF(A324="","",IF(COUNTIFS('TRANSAKSI PENJUALAN'!$A$5:$A$504,A324)=0,"BELUM ADA",INDEX('TRANSAKSI PENJUALAN'!$B$5:$B$504,MATCH(A324,'TRANSAKSI PENJUALAN'!$A$5:$A$504,0))))</f>
        <v/>
      </c>
      <c r="Q324" s="0" t="str">
        <f aca="false">IF(A324="","",IF(COUNTIFS('TRANSAKSI PENJUALAN'!$A$5:$A$504,A324)=0,"BELUM ADA",INDEX('TRANSAKSI PENJUALAN'!$M$5:$M$504,MATCH(A324,'TRANSAKSI PENJUALAN'!$A$5:$A$504,0))))</f>
        <v/>
      </c>
      <c r="R324" s="24" t="str">
        <f aca="false">IF(A324="","",COUNTIF($A$5:A324,A324))</f>
        <v/>
      </c>
      <c r="S324" s="24" t="str">
        <f aca="false">IF(A324="","",A324&amp;"|"&amp;R324)</f>
        <v/>
      </c>
    </row>
    <row r="325" customFormat="false" ht="15" hidden="false" customHeight="false" outlineLevel="0" collapsed="false">
      <c r="C325" s="0" t="str">
        <f aca="false">IF(B325="","",IF(COUNTIFS('MASTER MENU'!$A$5:$A$504,B325)=0,"BELUM ADA",INDEX('MASTER MENU'!$B$5:$B$504,MATCH(B325,'MASTER MENU'!$A$5:$A$504,0))))</f>
        <v/>
      </c>
      <c r="D325" s="0" t="str">
        <f aca="false">IF(B325="","",IF(COUNTIFS('MASTER MENU'!$A$5:$A$504,B325)=0,"BELUM ADA",INDEX('MASTER MENU'!$E$5:$E$504,MATCH(B325,'MASTER MENU'!$A$5:$A$504,0))))</f>
        <v/>
      </c>
      <c r="F325" s="0" t="str">
        <f aca="false">IF(B325="","",IF(COUNTIFS('MASTER MENU'!$A$5:$A$504,B325)=0,"BELUM ADA",INDEX('MASTER MENU'!$F$5:$F$504,MATCH(B325,'MASTER MENU'!$A$5:$A$504,0))))</f>
        <v/>
      </c>
      <c r="G325" s="0" t="str">
        <f aca="false">IF(A325="","",IF(OR(NOT(ISNUMBER(E325)),NOT(ISNUMBER(F325))),"BELUM LENGKAP",ROUND(E325*F325,0)))</f>
        <v/>
      </c>
      <c r="J325" s="0" t="str">
        <f aca="false">IF(A325="","",IF(NOT(ISNUMBER(G325)),"BELUM LENGKAP",G325-H325-I325))</f>
        <v/>
      </c>
      <c r="L325" s="0" t="str">
        <f aca="false">IF(A325="","",IF(NOT(ISNUMBER(K325)),"ISI SNAPSHOT HPP",ROUND(E325*K325,0)))</f>
        <v/>
      </c>
      <c r="M325" s="0" t="str">
        <f aca="false">IF(A325="","",IF(NOT(ISNUMBER(L325)),"BELUM LENGKAP",J325-L325))</f>
        <v/>
      </c>
      <c r="N325" s="0" t="str">
        <f aca="false">IF(B325="","",IF(COUNTIFS('RESEP DAN HPP'!$A$5:$A$504,B325,'RESEP DAN HPP'!$N$5:$N$504,"LENGKAP")=0,"BELUM LENGKAP",INDEX('RESEP DAN HPP'!$J$5:$J$504,MATCH(B325,'RESEP DAN HPP'!$A$5:$A$504,0))))</f>
        <v/>
      </c>
      <c r="P325" s="0" t="str">
        <f aca="false">IF(A325="","",IF(COUNTIFS('TRANSAKSI PENJUALAN'!$A$5:$A$504,A325)=0,"BELUM ADA",INDEX('TRANSAKSI PENJUALAN'!$B$5:$B$504,MATCH(A325,'TRANSAKSI PENJUALAN'!$A$5:$A$504,0))))</f>
        <v/>
      </c>
      <c r="Q325" s="0" t="str">
        <f aca="false">IF(A325="","",IF(COUNTIFS('TRANSAKSI PENJUALAN'!$A$5:$A$504,A325)=0,"BELUM ADA",INDEX('TRANSAKSI PENJUALAN'!$M$5:$M$504,MATCH(A325,'TRANSAKSI PENJUALAN'!$A$5:$A$504,0))))</f>
        <v/>
      </c>
      <c r="R325" s="24" t="str">
        <f aca="false">IF(A325="","",COUNTIF($A$5:A325,A325))</f>
        <v/>
      </c>
      <c r="S325" s="24" t="str">
        <f aca="false">IF(A325="","",A325&amp;"|"&amp;R325)</f>
        <v/>
      </c>
    </row>
    <row r="326" customFormat="false" ht="15" hidden="false" customHeight="false" outlineLevel="0" collapsed="false">
      <c r="C326" s="0" t="str">
        <f aca="false">IF(B326="","",IF(COUNTIFS('MASTER MENU'!$A$5:$A$504,B326)=0,"BELUM ADA",INDEX('MASTER MENU'!$B$5:$B$504,MATCH(B326,'MASTER MENU'!$A$5:$A$504,0))))</f>
        <v/>
      </c>
      <c r="D326" s="0" t="str">
        <f aca="false">IF(B326="","",IF(COUNTIFS('MASTER MENU'!$A$5:$A$504,B326)=0,"BELUM ADA",INDEX('MASTER MENU'!$E$5:$E$504,MATCH(B326,'MASTER MENU'!$A$5:$A$504,0))))</f>
        <v/>
      </c>
      <c r="F326" s="0" t="str">
        <f aca="false">IF(B326="","",IF(COUNTIFS('MASTER MENU'!$A$5:$A$504,B326)=0,"BELUM ADA",INDEX('MASTER MENU'!$F$5:$F$504,MATCH(B326,'MASTER MENU'!$A$5:$A$504,0))))</f>
        <v/>
      </c>
      <c r="G326" s="0" t="str">
        <f aca="false">IF(A326="","",IF(OR(NOT(ISNUMBER(E326)),NOT(ISNUMBER(F326))),"BELUM LENGKAP",ROUND(E326*F326,0)))</f>
        <v/>
      </c>
      <c r="J326" s="0" t="str">
        <f aca="false">IF(A326="","",IF(NOT(ISNUMBER(G326)),"BELUM LENGKAP",G326-H326-I326))</f>
        <v/>
      </c>
      <c r="L326" s="0" t="str">
        <f aca="false">IF(A326="","",IF(NOT(ISNUMBER(K326)),"ISI SNAPSHOT HPP",ROUND(E326*K326,0)))</f>
        <v/>
      </c>
      <c r="M326" s="0" t="str">
        <f aca="false">IF(A326="","",IF(NOT(ISNUMBER(L326)),"BELUM LENGKAP",J326-L326))</f>
        <v/>
      </c>
      <c r="N326" s="0" t="str">
        <f aca="false">IF(B326="","",IF(COUNTIFS('RESEP DAN HPP'!$A$5:$A$504,B326,'RESEP DAN HPP'!$N$5:$N$504,"LENGKAP")=0,"BELUM LENGKAP",INDEX('RESEP DAN HPP'!$J$5:$J$504,MATCH(B326,'RESEP DAN HPP'!$A$5:$A$504,0))))</f>
        <v/>
      </c>
      <c r="P326" s="0" t="str">
        <f aca="false">IF(A326="","",IF(COUNTIFS('TRANSAKSI PENJUALAN'!$A$5:$A$504,A326)=0,"BELUM ADA",INDEX('TRANSAKSI PENJUALAN'!$B$5:$B$504,MATCH(A326,'TRANSAKSI PENJUALAN'!$A$5:$A$504,0))))</f>
        <v/>
      </c>
      <c r="Q326" s="0" t="str">
        <f aca="false">IF(A326="","",IF(COUNTIFS('TRANSAKSI PENJUALAN'!$A$5:$A$504,A326)=0,"BELUM ADA",INDEX('TRANSAKSI PENJUALAN'!$M$5:$M$504,MATCH(A326,'TRANSAKSI PENJUALAN'!$A$5:$A$504,0))))</f>
        <v/>
      </c>
      <c r="R326" s="24" t="str">
        <f aca="false">IF(A326="","",COUNTIF($A$5:A326,A326))</f>
        <v/>
      </c>
      <c r="S326" s="24" t="str">
        <f aca="false">IF(A326="","",A326&amp;"|"&amp;R326)</f>
        <v/>
      </c>
    </row>
    <row r="327" customFormat="false" ht="15" hidden="false" customHeight="false" outlineLevel="0" collapsed="false">
      <c r="C327" s="0" t="str">
        <f aca="false">IF(B327="","",IF(COUNTIFS('MASTER MENU'!$A$5:$A$504,B327)=0,"BELUM ADA",INDEX('MASTER MENU'!$B$5:$B$504,MATCH(B327,'MASTER MENU'!$A$5:$A$504,0))))</f>
        <v/>
      </c>
      <c r="D327" s="0" t="str">
        <f aca="false">IF(B327="","",IF(COUNTIFS('MASTER MENU'!$A$5:$A$504,B327)=0,"BELUM ADA",INDEX('MASTER MENU'!$E$5:$E$504,MATCH(B327,'MASTER MENU'!$A$5:$A$504,0))))</f>
        <v/>
      </c>
      <c r="F327" s="0" t="str">
        <f aca="false">IF(B327="","",IF(COUNTIFS('MASTER MENU'!$A$5:$A$504,B327)=0,"BELUM ADA",INDEX('MASTER MENU'!$F$5:$F$504,MATCH(B327,'MASTER MENU'!$A$5:$A$504,0))))</f>
        <v/>
      </c>
      <c r="G327" s="0" t="str">
        <f aca="false">IF(A327="","",IF(OR(NOT(ISNUMBER(E327)),NOT(ISNUMBER(F327))),"BELUM LENGKAP",ROUND(E327*F327,0)))</f>
        <v/>
      </c>
      <c r="J327" s="0" t="str">
        <f aca="false">IF(A327="","",IF(NOT(ISNUMBER(G327)),"BELUM LENGKAP",G327-H327-I327))</f>
        <v/>
      </c>
      <c r="L327" s="0" t="str">
        <f aca="false">IF(A327="","",IF(NOT(ISNUMBER(K327)),"ISI SNAPSHOT HPP",ROUND(E327*K327,0)))</f>
        <v/>
      </c>
      <c r="M327" s="0" t="str">
        <f aca="false">IF(A327="","",IF(NOT(ISNUMBER(L327)),"BELUM LENGKAP",J327-L327))</f>
        <v/>
      </c>
      <c r="N327" s="0" t="str">
        <f aca="false">IF(B327="","",IF(COUNTIFS('RESEP DAN HPP'!$A$5:$A$504,B327,'RESEP DAN HPP'!$N$5:$N$504,"LENGKAP")=0,"BELUM LENGKAP",INDEX('RESEP DAN HPP'!$J$5:$J$504,MATCH(B327,'RESEP DAN HPP'!$A$5:$A$504,0))))</f>
        <v/>
      </c>
      <c r="P327" s="0" t="str">
        <f aca="false">IF(A327="","",IF(COUNTIFS('TRANSAKSI PENJUALAN'!$A$5:$A$504,A327)=0,"BELUM ADA",INDEX('TRANSAKSI PENJUALAN'!$B$5:$B$504,MATCH(A327,'TRANSAKSI PENJUALAN'!$A$5:$A$504,0))))</f>
        <v/>
      </c>
      <c r="Q327" s="0" t="str">
        <f aca="false">IF(A327="","",IF(COUNTIFS('TRANSAKSI PENJUALAN'!$A$5:$A$504,A327)=0,"BELUM ADA",INDEX('TRANSAKSI PENJUALAN'!$M$5:$M$504,MATCH(A327,'TRANSAKSI PENJUALAN'!$A$5:$A$504,0))))</f>
        <v/>
      </c>
      <c r="R327" s="24" t="str">
        <f aca="false">IF(A327="","",COUNTIF($A$5:A327,A327))</f>
        <v/>
      </c>
      <c r="S327" s="24" t="str">
        <f aca="false">IF(A327="","",A327&amp;"|"&amp;R327)</f>
        <v/>
      </c>
    </row>
    <row r="328" customFormat="false" ht="15" hidden="false" customHeight="false" outlineLevel="0" collapsed="false">
      <c r="C328" s="0" t="str">
        <f aca="false">IF(B328="","",IF(COUNTIFS('MASTER MENU'!$A$5:$A$504,B328)=0,"BELUM ADA",INDEX('MASTER MENU'!$B$5:$B$504,MATCH(B328,'MASTER MENU'!$A$5:$A$504,0))))</f>
        <v/>
      </c>
      <c r="D328" s="0" t="str">
        <f aca="false">IF(B328="","",IF(COUNTIFS('MASTER MENU'!$A$5:$A$504,B328)=0,"BELUM ADA",INDEX('MASTER MENU'!$E$5:$E$504,MATCH(B328,'MASTER MENU'!$A$5:$A$504,0))))</f>
        <v/>
      </c>
      <c r="F328" s="0" t="str">
        <f aca="false">IF(B328="","",IF(COUNTIFS('MASTER MENU'!$A$5:$A$504,B328)=0,"BELUM ADA",INDEX('MASTER MENU'!$F$5:$F$504,MATCH(B328,'MASTER MENU'!$A$5:$A$504,0))))</f>
        <v/>
      </c>
      <c r="G328" s="0" t="str">
        <f aca="false">IF(A328="","",IF(OR(NOT(ISNUMBER(E328)),NOT(ISNUMBER(F328))),"BELUM LENGKAP",ROUND(E328*F328,0)))</f>
        <v/>
      </c>
      <c r="J328" s="0" t="str">
        <f aca="false">IF(A328="","",IF(NOT(ISNUMBER(G328)),"BELUM LENGKAP",G328-H328-I328))</f>
        <v/>
      </c>
      <c r="L328" s="0" t="str">
        <f aca="false">IF(A328="","",IF(NOT(ISNUMBER(K328)),"ISI SNAPSHOT HPP",ROUND(E328*K328,0)))</f>
        <v/>
      </c>
      <c r="M328" s="0" t="str">
        <f aca="false">IF(A328="","",IF(NOT(ISNUMBER(L328)),"BELUM LENGKAP",J328-L328))</f>
        <v/>
      </c>
      <c r="N328" s="0" t="str">
        <f aca="false">IF(B328="","",IF(COUNTIFS('RESEP DAN HPP'!$A$5:$A$504,B328,'RESEP DAN HPP'!$N$5:$N$504,"LENGKAP")=0,"BELUM LENGKAP",INDEX('RESEP DAN HPP'!$J$5:$J$504,MATCH(B328,'RESEP DAN HPP'!$A$5:$A$504,0))))</f>
        <v/>
      </c>
      <c r="P328" s="0" t="str">
        <f aca="false">IF(A328="","",IF(COUNTIFS('TRANSAKSI PENJUALAN'!$A$5:$A$504,A328)=0,"BELUM ADA",INDEX('TRANSAKSI PENJUALAN'!$B$5:$B$504,MATCH(A328,'TRANSAKSI PENJUALAN'!$A$5:$A$504,0))))</f>
        <v/>
      </c>
      <c r="Q328" s="0" t="str">
        <f aca="false">IF(A328="","",IF(COUNTIFS('TRANSAKSI PENJUALAN'!$A$5:$A$504,A328)=0,"BELUM ADA",INDEX('TRANSAKSI PENJUALAN'!$M$5:$M$504,MATCH(A328,'TRANSAKSI PENJUALAN'!$A$5:$A$504,0))))</f>
        <v/>
      </c>
      <c r="R328" s="24" t="str">
        <f aca="false">IF(A328="","",COUNTIF($A$5:A328,A328))</f>
        <v/>
      </c>
      <c r="S328" s="24" t="str">
        <f aca="false">IF(A328="","",A328&amp;"|"&amp;R328)</f>
        <v/>
      </c>
    </row>
    <row r="329" customFormat="false" ht="15" hidden="false" customHeight="false" outlineLevel="0" collapsed="false">
      <c r="C329" s="0" t="str">
        <f aca="false">IF(B329="","",IF(COUNTIFS('MASTER MENU'!$A$5:$A$504,B329)=0,"BELUM ADA",INDEX('MASTER MENU'!$B$5:$B$504,MATCH(B329,'MASTER MENU'!$A$5:$A$504,0))))</f>
        <v/>
      </c>
      <c r="D329" s="0" t="str">
        <f aca="false">IF(B329="","",IF(COUNTIFS('MASTER MENU'!$A$5:$A$504,B329)=0,"BELUM ADA",INDEX('MASTER MENU'!$E$5:$E$504,MATCH(B329,'MASTER MENU'!$A$5:$A$504,0))))</f>
        <v/>
      </c>
      <c r="F329" s="0" t="str">
        <f aca="false">IF(B329="","",IF(COUNTIFS('MASTER MENU'!$A$5:$A$504,B329)=0,"BELUM ADA",INDEX('MASTER MENU'!$F$5:$F$504,MATCH(B329,'MASTER MENU'!$A$5:$A$504,0))))</f>
        <v/>
      </c>
      <c r="G329" s="0" t="str">
        <f aca="false">IF(A329="","",IF(OR(NOT(ISNUMBER(E329)),NOT(ISNUMBER(F329))),"BELUM LENGKAP",ROUND(E329*F329,0)))</f>
        <v/>
      </c>
      <c r="J329" s="0" t="str">
        <f aca="false">IF(A329="","",IF(NOT(ISNUMBER(G329)),"BELUM LENGKAP",G329-H329-I329))</f>
        <v/>
      </c>
      <c r="L329" s="0" t="str">
        <f aca="false">IF(A329="","",IF(NOT(ISNUMBER(K329)),"ISI SNAPSHOT HPP",ROUND(E329*K329,0)))</f>
        <v/>
      </c>
      <c r="M329" s="0" t="str">
        <f aca="false">IF(A329="","",IF(NOT(ISNUMBER(L329)),"BELUM LENGKAP",J329-L329))</f>
        <v/>
      </c>
      <c r="N329" s="0" t="str">
        <f aca="false">IF(B329="","",IF(COUNTIFS('RESEP DAN HPP'!$A$5:$A$504,B329,'RESEP DAN HPP'!$N$5:$N$504,"LENGKAP")=0,"BELUM LENGKAP",INDEX('RESEP DAN HPP'!$J$5:$J$504,MATCH(B329,'RESEP DAN HPP'!$A$5:$A$504,0))))</f>
        <v/>
      </c>
      <c r="P329" s="0" t="str">
        <f aca="false">IF(A329="","",IF(COUNTIFS('TRANSAKSI PENJUALAN'!$A$5:$A$504,A329)=0,"BELUM ADA",INDEX('TRANSAKSI PENJUALAN'!$B$5:$B$504,MATCH(A329,'TRANSAKSI PENJUALAN'!$A$5:$A$504,0))))</f>
        <v/>
      </c>
      <c r="Q329" s="0" t="str">
        <f aca="false">IF(A329="","",IF(COUNTIFS('TRANSAKSI PENJUALAN'!$A$5:$A$504,A329)=0,"BELUM ADA",INDEX('TRANSAKSI PENJUALAN'!$M$5:$M$504,MATCH(A329,'TRANSAKSI PENJUALAN'!$A$5:$A$504,0))))</f>
        <v/>
      </c>
      <c r="R329" s="24" t="str">
        <f aca="false">IF(A329="","",COUNTIF($A$5:A329,A329))</f>
        <v/>
      </c>
      <c r="S329" s="24" t="str">
        <f aca="false">IF(A329="","",A329&amp;"|"&amp;R329)</f>
        <v/>
      </c>
    </row>
    <row r="330" customFormat="false" ht="15" hidden="false" customHeight="false" outlineLevel="0" collapsed="false">
      <c r="C330" s="0" t="str">
        <f aca="false">IF(B330="","",IF(COUNTIFS('MASTER MENU'!$A$5:$A$504,B330)=0,"BELUM ADA",INDEX('MASTER MENU'!$B$5:$B$504,MATCH(B330,'MASTER MENU'!$A$5:$A$504,0))))</f>
        <v/>
      </c>
      <c r="D330" s="0" t="str">
        <f aca="false">IF(B330="","",IF(COUNTIFS('MASTER MENU'!$A$5:$A$504,B330)=0,"BELUM ADA",INDEX('MASTER MENU'!$E$5:$E$504,MATCH(B330,'MASTER MENU'!$A$5:$A$504,0))))</f>
        <v/>
      </c>
      <c r="F330" s="0" t="str">
        <f aca="false">IF(B330="","",IF(COUNTIFS('MASTER MENU'!$A$5:$A$504,B330)=0,"BELUM ADA",INDEX('MASTER MENU'!$F$5:$F$504,MATCH(B330,'MASTER MENU'!$A$5:$A$504,0))))</f>
        <v/>
      </c>
      <c r="G330" s="0" t="str">
        <f aca="false">IF(A330="","",IF(OR(NOT(ISNUMBER(E330)),NOT(ISNUMBER(F330))),"BELUM LENGKAP",ROUND(E330*F330,0)))</f>
        <v/>
      </c>
      <c r="J330" s="0" t="str">
        <f aca="false">IF(A330="","",IF(NOT(ISNUMBER(G330)),"BELUM LENGKAP",G330-H330-I330))</f>
        <v/>
      </c>
      <c r="L330" s="0" t="str">
        <f aca="false">IF(A330="","",IF(NOT(ISNUMBER(K330)),"ISI SNAPSHOT HPP",ROUND(E330*K330,0)))</f>
        <v/>
      </c>
      <c r="M330" s="0" t="str">
        <f aca="false">IF(A330="","",IF(NOT(ISNUMBER(L330)),"BELUM LENGKAP",J330-L330))</f>
        <v/>
      </c>
      <c r="N330" s="0" t="str">
        <f aca="false">IF(B330="","",IF(COUNTIFS('RESEP DAN HPP'!$A$5:$A$504,B330,'RESEP DAN HPP'!$N$5:$N$504,"LENGKAP")=0,"BELUM LENGKAP",INDEX('RESEP DAN HPP'!$J$5:$J$504,MATCH(B330,'RESEP DAN HPP'!$A$5:$A$504,0))))</f>
        <v/>
      </c>
      <c r="P330" s="0" t="str">
        <f aca="false">IF(A330="","",IF(COUNTIFS('TRANSAKSI PENJUALAN'!$A$5:$A$504,A330)=0,"BELUM ADA",INDEX('TRANSAKSI PENJUALAN'!$B$5:$B$504,MATCH(A330,'TRANSAKSI PENJUALAN'!$A$5:$A$504,0))))</f>
        <v/>
      </c>
      <c r="Q330" s="0" t="str">
        <f aca="false">IF(A330="","",IF(COUNTIFS('TRANSAKSI PENJUALAN'!$A$5:$A$504,A330)=0,"BELUM ADA",INDEX('TRANSAKSI PENJUALAN'!$M$5:$M$504,MATCH(A330,'TRANSAKSI PENJUALAN'!$A$5:$A$504,0))))</f>
        <v/>
      </c>
      <c r="R330" s="24" t="str">
        <f aca="false">IF(A330="","",COUNTIF($A$5:A330,A330))</f>
        <v/>
      </c>
      <c r="S330" s="24" t="str">
        <f aca="false">IF(A330="","",A330&amp;"|"&amp;R330)</f>
        <v/>
      </c>
    </row>
    <row r="331" customFormat="false" ht="15" hidden="false" customHeight="false" outlineLevel="0" collapsed="false">
      <c r="C331" s="0" t="str">
        <f aca="false">IF(B331="","",IF(COUNTIFS('MASTER MENU'!$A$5:$A$504,B331)=0,"BELUM ADA",INDEX('MASTER MENU'!$B$5:$B$504,MATCH(B331,'MASTER MENU'!$A$5:$A$504,0))))</f>
        <v/>
      </c>
      <c r="D331" s="0" t="str">
        <f aca="false">IF(B331="","",IF(COUNTIFS('MASTER MENU'!$A$5:$A$504,B331)=0,"BELUM ADA",INDEX('MASTER MENU'!$E$5:$E$504,MATCH(B331,'MASTER MENU'!$A$5:$A$504,0))))</f>
        <v/>
      </c>
      <c r="F331" s="0" t="str">
        <f aca="false">IF(B331="","",IF(COUNTIFS('MASTER MENU'!$A$5:$A$504,B331)=0,"BELUM ADA",INDEX('MASTER MENU'!$F$5:$F$504,MATCH(B331,'MASTER MENU'!$A$5:$A$504,0))))</f>
        <v/>
      </c>
      <c r="G331" s="0" t="str">
        <f aca="false">IF(A331="","",IF(OR(NOT(ISNUMBER(E331)),NOT(ISNUMBER(F331))),"BELUM LENGKAP",ROUND(E331*F331,0)))</f>
        <v/>
      </c>
      <c r="J331" s="0" t="str">
        <f aca="false">IF(A331="","",IF(NOT(ISNUMBER(G331)),"BELUM LENGKAP",G331-H331-I331))</f>
        <v/>
      </c>
      <c r="L331" s="0" t="str">
        <f aca="false">IF(A331="","",IF(NOT(ISNUMBER(K331)),"ISI SNAPSHOT HPP",ROUND(E331*K331,0)))</f>
        <v/>
      </c>
      <c r="M331" s="0" t="str">
        <f aca="false">IF(A331="","",IF(NOT(ISNUMBER(L331)),"BELUM LENGKAP",J331-L331))</f>
        <v/>
      </c>
      <c r="N331" s="0" t="str">
        <f aca="false">IF(B331="","",IF(COUNTIFS('RESEP DAN HPP'!$A$5:$A$504,B331,'RESEP DAN HPP'!$N$5:$N$504,"LENGKAP")=0,"BELUM LENGKAP",INDEX('RESEP DAN HPP'!$J$5:$J$504,MATCH(B331,'RESEP DAN HPP'!$A$5:$A$504,0))))</f>
        <v/>
      </c>
      <c r="P331" s="0" t="str">
        <f aca="false">IF(A331="","",IF(COUNTIFS('TRANSAKSI PENJUALAN'!$A$5:$A$504,A331)=0,"BELUM ADA",INDEX('TRANSAKSI PENJUALAN'!$B$5:$B$504,MATCH(A331,'TRANSAKSI PENJUALAN'!$A$5:$A$504,0))))</f>
        <v/>
      </c>
      <c r="Q331" s="0" t="str">
        <f aca="false">IF(A331="","",IF(COUNTIFS('TRANSAKSI PENJUALAN'!$A$5:$A$504,A331)=0,"BELUM ADA",INDEX('TRANSAKSI PENJUALAN'!$M$5:$M$504,MATCH(A331,'TRANSAKSI PENJUALAN'!$A$5:$A$504,0))))</f>
        <v/>
      </c>
      <c r="R331" s="24" t="str">
        <f aca="false">IF(A331="","",COUNTIF($A$5:A331,A331))</f>
        <v/>
      </c>
      <c r="S331" s="24" t="str">
        <f aca="false">IF(A331="","",A331&amp;"|"&amp;R331)</f>
        <v/>
      </c>
    </row>
    <row r="332" customFormat="false" ht="15" hidden="false" customHeight="false" outlineLevel="0" collapsed="false">
      <c r="C332" s="0" t="str">
        <f aca="false">IF(B332="","",IF(COUNTIFS('MASTER MENU'!$A$5:$A$504,B332)=0,"BELUM ADA",INDEX('MASTER MENU'!$B$5:$B$504,MATCH(B332,'MASTER MENU'!$A$5:$A$504,0))))</f>
        <v/>
      </c>
      <c r="D332" s="0" t="str">
        <f aca="false">IF(B332="","",IF(COUNTIFS('MASTER MENU'!$A$5:$A$504,B332)=0,"BELUM ADA",INDEX('MASTER MENU'!$E$5:$E$504,MATCH(B332,'MASTER MENU'!$A$5:$A$504,0))))</f>
        <v/>
      </c>
      <c r="F332" s="0" t="str">
        <f aca="false">IF(B332="","",IF(COUNTIFS('MASTER MENU'!$A$5:$A$504,B332)=0,"BELUM ADA",INDEX('MASTER MENU'!$F$5:$F$504,MATCH(B332,'MASTER MENU'!$A$5:$A$504,0))))</f>
        <v/>
      </c>
      <c r="G332" s="0" t="str">
        <f aca="false">IF(A332="","",IF(OR(NOT(ISNUMBER(E332)),NOT(ISNUMBER(F332))),"BELUM LENGKAP",ROUND(E332*F332,0)))</f>
        <v/>
      </c>
      <c r="J332" s="0" t="str">
        <f aca="false">IF(A332="","",IF(NOT(ISNUMBER(G332)),"BELUM LENGKAP",G332-H332-I332))</f>
        <v/>
      </c>
      <c r="L332" s="0" t="str">
        <f aca="false">IF(A332="","",IF(NOT(ISNUMBER(K332)),"ISI SNAPSHOT HPP",ROUND(E332*K332,0)))</f>
        <v/>
      </c>
      <c r="M332" s="0" t="str">
        <f aca="false">IF(A332="","",IF(NOT(ISNUMBER(L332)),"BELUM LENGKAP",J332-L332))</f>
        <v/>
      </c>
      <c r="N332" s="0" t="str">
        <f aca="false">IF(B332="","",IF(COUNTIFS('RESEP DAN HPP'!$A$5:$A$504,B332,'RESEP DAN HPP'!$N$5:$N$504,"LENGKAP")=0,"BELUM LENGKAP",INDEX('RESEP DAN HPP'!$J$5:$J$504,MATCH(B332,'RESEP DAN HPP'!$A$5:$A$504,0))))</f>
        <v/>
      </c>
      <c r="P332" s="0" t="str">
        <f aca="false">IF(A332="","",IF(COUNTIFS('TRANSAKSI PENJUALAN'!$A$5:$A$504,A332)=0,"BELUM ADA",INDEX('TRANSAKSI PENJUALAN'!$B$5:$B$504,MATCH(A332,'TRANSAKSI PENJUALAN'!$A$5:$A$504,0))))</f>
        <v/>
      </c>
      <c r="Q332" s="0" t="str">
        <f aca="false">IF(A332="","",IF(COUNTIFS('TRANSAKSI PENJUALAN'!$A$5:$A$504,A332)=0,"BELUM ADA",INDEX('TRANSAKSI PENJUALAN'!$M$5:$M$504,MATCH(A332,'TRANSAKSI PENJUALAN'!$A$5:$A$504,0))))</f>
        <v/>
      </c>
      <c r="R332" s="24" t="str">
        <f aca="false">IF(A332="","",COUNTIF($A$5:A332,A332))</f>
        <v/>
      </c>
      <c r="S332" s="24" t="str">
        <f aca="false">IF(A332="","",A332&amp;"|"&amp;R332)</f>
        <v/>
      </c>
    </row>
    <row r="333" customFormat="false" ht="15" hidden="false" customHeight="false" outlineLevel="0" collapsed="false">
      <c r="C333" s="0" t="str">
        <f aca="false">IF(B333="","",IF(COUNTIFS('MASTER MENU'!$A$5:$A$504,B333)=0,"BELUM ADA",INDEX('MASTER MENU'!$B$5:$B$504,MATCH(B333,'MASTER MENU'!$A$5:$A$504,0))))</f>
        <v/>
      </c>
      <c r="D333" s="0" t="str">
        <f aca="false">IF(B333="","",IF(COUNTIFS('MASTER MENU'!$A$5:$A$504,B333)=0,"BELUM ADA",INDEX('MASTER MENU'!$E$5:$E$504,MATCH(B333,'MASTER MENU'!$A$5:$A$504,0))))</f>
        <v/>
      </c>
      <c r="F333" s="0" t="str">
        <f aca="false">IF(B333="","",IF(COUNTIFS('MASTER MENU'!$A$5:$A$504,B333)=0,"BELUM ADA",INDEX('MASTER MENU'!$F$5:$F$504,MATCH(B333,'MASTER MENU'!$A$5:$A$504,0))))</f>
        <v/>
      </c>
      <c r="G333" s="0" t="str">
        <f aca="false">IF(A333="","",IF(OR(NOT(ISNUMBER(E333)),NOT(ISNUMBER(F333))),"BELUM LENGKAP",ROUND(E333*F333,0)))</f>
        <v/>
      </c>
      <c r="J333" s="0" t="str">
        <f aca="false">IF(A333="","",IF(NOT(ISNUMBER(G333)),"BELUM LENGKAP",G333-H333-I333))</f>
        <v/>
      </c>
      <c r="L333" s="0" t="str">
        <f aca="false">IF(A333="","",IF(NOT(ISNUMBER(K333)),"ISI SNAPSHOT HPP",ROUND(E333*K333,0)))</f>
        <v/>
      </c>
      <c r="M333" s="0" t="str">
        <f aca="false">IF(A333="","",IF(NOT(ISNUMBER(L333)),"BELUM LENGKAP",J333-L333))</f>
        <v/>
      </c>
      <c r="N333" s="0" t="str">
        <f aca="false">IF(B333="","",IF(COUNTIFS('RESEP DAN HPP'!$A$5:$A$504,B333,'RESEP DAN HPP'!$N$5:$N$504,"LENGKAP")=0,"BELUM LENGKAP",INDEX('RESEP DAN HPP'!$J$5:$J$504,MATCH(B333,'RESEP DAN HPP'!$A$5:$A$504,0))))</f>
        <v/>
      </c>
      <c r="P333" s="0" t="str">
        <f aca="false">IF(A333="","",IF(COUNTIFS('TRANSAKSI PENJUALAN'!$A$5:$A$504,A333)=0,"BELUM ADA",INDEX('TRANSAKSI PENJUALAN'!$B$5:$B$504,MATCH(A333,'TRANSAKSI PENJUALAN'!$A$5:$A$504,0))))</f>
        <v/>
      </c>
      <c r="Q333" s="0" t="str">
        <f aca="false">IF(A333="","",IF(COUNTIFS('TRANSAKSI PENJUALAN'!$A$5:$A$504,A333)=0,"BELUM ADA",INDEX('TRANSAKSI PENJUALAN'!$M$5:$M$504,MATCH(A333,'TRANSAKSI PENJUALAN'!$A$5:$A$504,0))))</f>
        <v/>
      </c>
      <c r="R333" s="24" t="str">
        <f aca="false">IF(A333="","",COUNTIF($A$5:A333,A333))</f>
        <v/>
      </c>
      <c r="S333" s="24" t="str">
        <f aca="false">IF(A333="","",A333&amp;"|"&amp;R333)</f>
        <v/>
      </c>
    </row>
    <row r="334" customFormat="false" ht="15" hidden="false" customHeight="false" outlineLevel="0" collapsed="false">
      <c r="C334" s="0" t="str">
        <f aca="false">IF(B334="","",IF(COUNTIFS('MASTER MENU'!$A$5:$A$504,B334)=0,"BELUM ADA",INDEX('MASTER MENU'!$B$5:$B$504,MATCH(B334,'MASTER MENU'!$A$5:$A$504,0))))</f>
        <v/>
      </c>
      <c r="D334" s="0" t="str">
        <f aca="false">IF(B334="","",IF(COUNTIFS('MASTER MENU'!$A$5:$A$504,B334)=0,"BELUM ADA",INDEX('MASTER MENU'!$E$5:$E$504,MATCH(B334,'MASTER MENU'!$A$5:$A$504,0))))</f>
        <v/>
      </c>
      <c r="F334" s="0" t="str">
        <f aca="false">IF(B334="","",IF(COUNTIFS('MASTER MENU'!$A$5:$A$504,B334)=0,"BELUM ADA",INDEX('MASTER MENU'!$F$5:$F$504,MATCH(B334,'MASTER MENU'!$A$5:$A$504,0))))</f>
        <v/>
      </c>
      <c r="G334" s="0" t="str">
        <f aca="false">IF(A334="","",IF(OR(NOT(ISNUMBER(E334)),NOT(ISNUMBER(F334))),"BELUM LENGKAP",ROUND(E334*F334,0)))</f>
        <v/>
      </c>
      <c r="J334" s="0" t="str">
        <f aca="false">IF(A334="","",IF(NOT(ISNUMBER(G334)),"BELUM LENGKAP",G334-H334-I334))</f>
        <v/>
      </c>
      <c r="L334" s="0" t="str">
        <f aca="false">IF(A334="","",IF(NOT(ISNUMBER(K334)),"ISI SNAPSHOT HPP",ROUND(E334*K334,0)))</f>
        <v/>
      </c>
      <c r="M334" s="0" t="str">
        <f aca="false">IF(A334="","",IF(NOT(ISNUMBER(L334)),"BELUM LENGKAP",J334-L334))</f>
        <v/>
      </c>
      <c r="N334" s="0" t="str">
        <f aca="false">IF(B334="","",IF(COUNTIFS('RESEP DAN HPP'!$A$5:$A$504,B334,'RESEP DAN HPP'!$N$5:$N$504,"LENGKAP")=0,"BELUM LENGKAP",INDEX('RESEP DAN HPP'!$J$5:$J$504,MATCH(B334,'RESEP DAN HPP'!$A$5:$A$504,0))))</f>
        <v/>
      </c>
      <c r="P334" s="0" t="str">
        <f aca="false">IF(A334="","",IF(COUNTIFS('TRANSAKSI PENJUALAN'!$A$5:$A$504,A334)=0,"BELUM ADA",INDEX('TRANSAKSI PENJUALAN'!$B$5:$B$504,MATCH(A334,'TRANSAKSI PENJUALAN'!$A$5:$A$504,0))))</f>
        <v/>
      </c>
      <c r="Q334" s="0" t="str">
        <f aca="false">IF(A334="","",IF(COUNTIFS('TRANSAKSI PENJUALAN'!$A$5:$A$504,A334)=0,"BELUM ADA",INDEX('TRANSAKSI PENJUALAN'!$M$5:$M$504,MATCH(A334,'TRANSAKSI PENJUALAN'!$A$5:$A$504,0))))</f>
        <v/>
      </c>
      <c r="R334" s="24" t="str">
        <f aca="false">IF(A334="","",COUNTIF($A$5:A334,A334))</f>
        <v/>
      </c>
      <c r="S334" s="24" t="str">
        <f aca="false">IF(A334="","",A334&amp;"|"&amp;R334)</f>
        <v/>
      </c>
    </row>
    <row r="335" customFormat="false" ht="15" hidden="false" customHeight="false" outlineLevel="0" collapsed="false">
      <c r="C335" s="0" t="str">
        <f aca="false">IF(B335="","",IF(COUNTIFS('MASTER MENU'!$A$5:$A$504,B335)=0,"BELUM ADA",INDEX('MASTER MENU'!$B$5:$B$504,MATCH(B335,'MASTER MENU'!$A$5:$A$504,0))))</f>
        <v/>
      </c>
      <c r="D335" s="0" t="str">
        <f aca="false">IF(B335="","",IF(COUNTIFS('MASTER MENU'!$A$5:$A$504,B335)=0,"BELUM ADA",INDEX('MASTER MENU'!$E$5:$E$504,MATCH(B335,'MASTER MENU'!$A$5:$A$504,0))))</f>
        <v/>
      </c>
      <c r="F335" s="0" t="str">
        <f aca="false">IF(B335="","",IF(COUNTIFS('MASTER MENU'!$A$5:$A$504,B335)=0,"BELUM ADA",INDEX('MASTER MENU'!$F$5:$F$504,MATCH(B335,'MASTER MENU'!$A$5:$A$504,0))))</f>
        <v/>
      </c>
      <c r="G335" s="0" t="str">
        <f aca="false">IF(A335="","",IF(OR(NOT(ISNUMBER(E335)),NOT(ISNUMBER(F335))),"BELUM LENGKAP",ROUND(E335*F335,0)))</f>
        <v/>
      </c>
      <c r="J335" s="0" t="str">
        <f aca="false">IF(A335="","",IF(NOT(ISNUMBER(G335)),"BELUM LENGKAP",G335-H335-I335))</f>
        <v/>
      </c>
      <c r="L335" s="0" t="str">
        <f aca="false">IF(A335="","",IF(NOT(ISNUMBER(K335)),"ISI SNAPSHOT HPP",ROUND(E335*K335,0)))</f>
        <v/>
      </c>
      <c r="M335" s="0" t="str">
        <f aca="false">IF(A335="","",IF(NOT(ISNUMBER(L335)),"BELUM LENGKAP",J335-L335))</f>
        <v/>
      </c>
      <c r="N335" s="0" t="str">
        <f aca="false">IF(B335="","",IF(COUNTIFS('RESEP DAN HPP'!$A$5:$A$504,B335,'RESEP DAN HPP'!$N$5:$N$504,"LENGKAP")=0,"BELUM LENGKAP",INDEX('RESEP DAN HPP'!$J$5:$J$504,MATCH(B335,'RESEP DAN HPP'!$A$5:$A$504,0))))</f>
        <v/>
      </c>
      <c r="P335" s="0" t="str">
        <f aca="false">IF(A335="","",IF(COUNTIFS('TRANSAKSI PENJUALAN'!$A$5:$A$504,A335)=0,"BELUM ADA",INDEX('TRANSAKSI PENJUALAN'!$B$5:$B$504,MATCH(A335,'TRANSAKSI PENJUALAN'!$A$5:$A$504,0))))</f>
        <v/>
      </c>
      <c r="Q335" s="0" t="str">
        <f aca="false">IF(A335="","",IF(COUNTIFS('TRANSAKSI PENJUALAN'!$A$5:$A$504,A335)=0,"BELUM ADA",INDEX('TRANSAKSI PENJUALAN'!$M$5:$M$504,MATCH(A335,'TRANSAKSI PENJUALAN'!$A$5:$A$504,0))))</f>
        <v/>
      </c>
      <c r="R335" s="24" t="str">
        <f aca="false">IF(A335="","",COUNTIF($A$5:A335,A335))</f>
        <v/>
      </c>
      <c r="S335" s="24" t="str">
        <f aca="false">IF(A335="","",A335&amp;"|"&amp;R335)</f>
        <v/>
      </c>
    </row>
    <row r="336" customFormat="false" ht="15" hidden="false" customHeight="false" outlineLevel="0" collapsed="false">
      <c r="C336" s="0" t="str">
        <f aca="false">IF(B336="","",IF(COUNTIFS('MASTER MENU'!$A$5:$A$504,B336)=0,"BELUM ADA",INDEX('MASTER MENU'!$B$5:$B$504,MATCH(B336,'MASTER MENU'!$A$5:$A$504,0))))</f>
        <v/>
      </c>
      <c r="D336" s="0" t="str">
        <f aca="false">IF(B336="","",IF(COUNTIFS('MASTER MENU'!$A$5:$A$504,B336)=0,"BELUM ADA",INDEX('MASTER MENU'!$E$5:$E$504,MATCH(B336,'MASTER MENU'!$A$5:$A$504,0))))</f>
        <v/>
      </c>
      <c r="F336" s="0" t="str">
        <f aca="false">IF(B336="","",IF(COUNTIFS('MASTER MENU'!$A$5:$A$504,B336)=0,"BELUM ADA",INDEX('MASTER MENU'!$F$5:$F$504,MATCH(B336,'MASTER MENU'!$A$5:$A$504,0))))</f>
        <v/>
      </c>
      <c r="G336" s="0" t="str">
        <f aca="false">IF(A336="","",IF(OR(NOT(ISNUMBER(E336)),NOT(ISNUMBER(F336))),"BELUM LENGKAP",ROUND(E336*F336,0)))</f>
        <v/>
      </c>
      <c r="J336" s="0" t="str">
        <f aca="false">IF(A336="","",IF(NOT(ISNUMBER(G336)),"BELUM LENGKAP",G336-H336-I336))</f>
        <v/>
      </c>
      <c r="L336" s="0" t="str">
        <f aca="false">IF(A336="","",IF(NOT(ISNUMBER(K336)),"ISI SNAPSHOT HPP",ROUND(E336*K336,0)))</f>
        <v/>
      </c>
      <c r="M336" s="0" t="str">
        <f aca="false">IF(A336="","",IF(NOT(ISNUMBER(L336)),"BELUM LENGKAP",J336-L336))</f>
        <v/>
      </c>
      <c r="N336" s="0" t="str">
        <f aca="false">IF(B336="","",IF(COUNTIFS('RESEP DAN HPP'!$A$5:$A$504,B336,'RESEP DAN HPP'!$N$5:$N$504,"LENGKAP")=0,"BELUM LENGKAP",INDEX('RESEP DAN HPP'!$J$5:$J$504,MATCH(B336,'RESEP DAN HPP'!$A$5:$A$504,0))))</f>
        <v/>
      </c>
      <c r="P336" s="0" t="str">
        <f aca="false">IF(A336="","",IF(COUNTIFS('TRANSAKSI PENJUALAN'!$A$5:$A$504,A336)=0,"BELUM ADA",INDEX('TRANSAKSI PENJUALAN'!$B$5:$B$504,MATCH(A336,'TRANSAKSI PENJUALAN'!$A$5:$A$504,0))))</f>
        <v/>
      </c>
      <c r="Q336" s="0" t="str">
        <f aca="false">IF(A336="","",IF(COUNTIFS('TRANSAKSI PENJUALAN'!$A$5:$A$504,A336)=0,"BELUM ADA",INDEX('TRANSAKSI PENJUALAN'!$M$5:$M$504,MATCH(A336,'TRANSAKSI PENJUALAN'!$A$5:$A$504,0))))</f>
        <v/>
      </c>
      <c r="R336" s="24" t="str">
        <f aca="false">IF(A336="","",COUNTIF($A$5:A336,A336))</f>
        <v/>
      </c>
      <c r="S336" s="24" t="str">
        <f aca="false">IF(A336="","",A336&amp;"|"&amp;R336)</f>
        <v/>
      </c>
    </row>
    <row r="337" customFormat="false" ht="15" hidden="false" customHeight="false" outlineLevel="0" collapsed="false">
      <c r="C337" s="0" t="str">
        <f aca="false">IF(B337="","",IF(COUNTIFS('MASTER MENU'!$A$5:$A$504,B337)=0,"BELUM ADA",INDEX('MASTER MENU'!$B$5:$B$504,MATCH(B337,'MASTER MENU'!$A$5:$A$504,0))))</f>
        <v/>
      </c>
      <c r="D337" s="0" t="str">
        <f aca="false">IF(B337="","",IF(COUNTIFS('MASTER MENU'!$A$5:$A$504,B337)=0,"BELUM ADA",INDEX('MASTER MENU'!$E$5:$E$504,MATCH(B337,'MASTER MENU'!$A$5:$A$504,0))))</f>
        <v/>
      </c>
      <c r="F337" s="0" t="str">
        <f aca="false">IF(B337="","",IF(COUNTIFS('MASTER MENU'!$A$5:$A$504,B337)=0,"BELUM ADA",INDEX('MASTER MENU'!$F$5:$F$504,MATCH(B337,'MASTER MENU'!$A$5:$A$504,0))))</f>
        <v/>
      </c>
      <c r="G337" s="0" t="str">
        <f aca="false">IF(A337="","",IF(OR(NOT(ISNUMBER(E337)),NOT(ISNUMBER(F337))),"BELUM LENGKAP",ROUND(E337*F337,0)))</f>
        <v/>
      </c>
      <c r="J337" s="0" t="str">
        <f aca="false">IF(A337="","",IF(NOT(ISNUMBER(G337)),"BELUM LENGKAP",G337-H337-I337))</f>
        <v/>
      </c>
      <c r="L337" s="0" t="str">
        <f aca="false">IF(A337="","",IF(NOT(ISNUMBER(K337)),"ISI SNAPSHOT HPP",ROUND(E337*K337,0)))</f>
        <v/>
      </c>
      <c r="M337" s="0" t="str">
        <f aca="false">IF(A337="","",IF(NOT(ISNUMBER(L337)),"BELUM LENGKAP",J337-L337))</f>
        <v/>
      </c>
      <c r="N337" s="0" t="str">
        <f aca="false">IF(B337="","",IF(COUNTIFS('RESEP DAN HPP'!$A$5:$A$504,B337,'RESEP DAN HPP'!$N$5:$N$504,"LENGKAP")=0,"BELUM LENGKAP",INDEX('RESEP DAN HPP'!$J$5:$J$504,MATCH(B337,'RESEP DAN HPP'!$A$5:$A$504,0))))</f>
        <v/>
      </c>
      <c r="P337" s="0" t="str">
        <f aca="false">IF(A337="","",IF(COUNTIFS('TRANSAKSI PENJUALAN'!$A$5:$A$504,A337)=0,"BELUM ADA",INDEX('TRANSAKSI PENJUALAN'!$B$5:$B$504,MATCH(A337,'TRANSAKSI PENJUALAN'!$A$5:$A$504,0))))</f>
        <v/>
      </c>
      <c r="Q337" s="0" t="str">
        <f aca="false">IF(A337="","",IF(COUNTIFS('TRANSAKSI PENJUALAN'!$A$5:$A$504,A337)=0,"BELUM ADA",INDEX('TRANSAKSI PENJUALAN'!$M$5:$M$504,MATCH(A337,'TRANSAKSI PENJUALAN'!$A$5:$A$504,0))))</f>
        <v/>
      </c>
      <c r="R337" s="24" t="str">
        <f aca="false">IF(A337="","",COUNTIF($A$5:A337,A337))</f>
        <v/>
      </c>
      <c r="S337" s="24" t="str">
        <f aca="false">IF(A337="","",A337&amp;"|"&amp;R337)</f>
        <v/>
      </c>
    </row>
    <row r="338" customFormat="false" ht="15" hidden="false" customHeight="false" outlineLevel="0" collapsed="false">
      <c r="C338" s="0" t="str">
        <f aca="false">IF(B338="","",IF(COUNTIFS('MASTER MENU'!$A$5:$A$504,B338)=0,"BELUM ADA",INDEX('MASTER MENU'!$B$5:$B$504,MATCH(B338,'MASTER MENU'!$A$5:$A$504,0))))</f>
        <v/>
      </c>
      <c r="D338" s="0" t="str">
        <f aca="false">IF(B338="","",IF(COUNTIFS('MASTER MENU'!$A$5:$A$504,B338)=0,"BELUM ADA",INDEX('MASTER MENU'!$E$5:$E$504,MATCH(B338,'MASTER MENU'!$A$5:$A$504,0))))</f>
        <v/>
      </c>
      <c r="F338" s="0" t="str">
        <f aca="false">IF(B338="","",IF(COUNTIFS('MASTER MENU'!$A$5:$A$504,B338)=0,"BELUM ADA",INDEX('MASTER MENU'!$F$5:$F$504,MATCH(B338,'MASTER MENU'!$A$5:$A$504,0))))</f>
        <v/>
      </c>
      <c r="G338" s="0" t="str">
        <f aca="false">IF(A338="","",IF(OR(NOT(ISNUMBER(E338)),NOT(ISNUMBER(F338))),"BELUM LENGKAP",ROUND(E338*F338,0)))</f>
        <v/>
      </c>
      <c r="J338" s="0" t="str">
        <f aca="false">IF(A338="","",IF(NOT(ISNUMBER(G338)),"BELUM LENGKAP",G338-H338-I338))</f>
        <v/>
      </c>
      <c r="L338" s="0" t="str">
        <f aca="false">IF(A338="","",IF(NOT(ISNUMBER(K338)),"ISI SNAPSHOT HPP",ROUND(E338*K338,0)))</f>
        <v/>
      </c>
      <c r="M338" s="0" t="str">
        <f aca="false">IF(A338="","",IF(NOT(ISNUMBER(L338)),"BELUM LENGKAP",J338-L338))</f>
        <v/>
      </c>
      <c r="N338" s="0" t="str">
        <f aca="false">IF(B338="","",IF(COUNTIFS('RESEP DAN HPP'!$A$5:$A$504,B338,'RESEP DAN HPP'!$N$5:$N$504,"LENGKAP")=0,"BELUM LENGKAP",INDEX('RESEP DAN HPP'!$J$5:$J$504,MATCH(B338,'RESEP DAN HPP'!$A$5:$A$504,0))))</f>
        <v/>
      </c>
      <c r="P338" s="0" t="str">
        <f aca="false">IF(A338="","",IF(COUNTIFS('TRANSAKSI PENJUALAN'!$A$5:$A$504,A338)=0,"BELUM ADA",INDEX('TRANSAKSI PENJUALAN'!$B$5:$B$504,MATCH(A338,'TRANSAKSI PENJUALAN'!$A$5:$A$504,0))))</f>
        <v/>
      </c>
      <c r="Q338" s="0" t="str">
        <f aca="false">IF(A338="","",IF(COUNTIFS('TRANSAKSI PENJUALAN'!$A$5:$A$504,A338)=0,"BELUM ADA",INDEX('TRANSAKSI PENJUALAN'!$M$5:$M$504,MATCH(A338,'TRANSAKSI PENJUALAN'!$A$5:$A$504,0))))</f>
        <v/>
      </c>
      <c r="R338" s="24" t="str">
        <f aca="false">IF(A338="","",COUNTIF($A$5:A338,A338))</f>
        <v/>
      </c>
      <c r="S338" s="24" t="str">
        <f aca="false">IF(A338="","",A338&amp;"|"&amp;R338)</f>
        <v/>
      </c>
    </row>
    <row r="339" customFormat="false" ht="15" hidden="false" customHeight="false" outlineLevel="0" collapsed="false">
      <c r="C339" s="0" t="str">
        <f aca="false">IF(B339="","",IF(COUNTIFS('MASTER MENU'!$A$5:$A$504,B339)=0,"BELUM ADA",INDEX('MASTER MENU'!$B$5:$B$504,MATCH(B339,'MASTER MENU'!$A$5:$A$504,0))))</f>
        <v/>
      </c>
      <c r="D339" s="0" t="str">
        <f aca="false">IF(B339="","",IF(COUNTIFS('MASTER MENU'!$A$5:$A$504,B339)=0,"BELUM ADA",INDEX('MASTER MENU'!$E$5:$E$504,MATCH(B339,'MASTER MENU'!$A$5:$A$504,0))))</f>
        <v/>
      </c>
      <c r="F339" s="0" t="str">
        <f aca="false">IF(B339="","",IF(COUNTIFS('MASTER MENU'!$A$5:$A$504,B339)=0,"BELUM ADA",INDEX('MASTER MENU'!$F$5:$F$504,MATCH(B339,'MASTER MENU'!$A$5:$A$504,0))))</f>
        <v/>
      </c>
      <c r="G339" s="0" t="str">
        <f aca="false">IF(A339="","",IF(OR(NOT(ISNUMBER(E339)),NOT(ISNUMBER(F339))),"BELUM LENGKAP",ROUND(E339*F339,0)))</f>
        <v/>
      </c>
      <c r="J339" s="0" t="str">
        <f aca="false">IF(A339="","",IF(NOT(ISNUMBER(G339)),"BELUM LENGKAP",G339-H339-I339))</f>
        <v/>
      </c>
      <c r="L339" s="0" t="str">
        <f aca="false">IF(A339="","",IF(NOT(ISNUMBER(K339)),"ISI SNAPSHOT HPP",ROUND(E339*K339,0)))</f>
        <v/>
      </c>
      <c r="M339" s="0" t="str">
        <f aca="false">IF(A339="","",IF(NOT(ISNUMBER(L339)),"BELUM LENGKAP",J339-L339))</f>
        <v/>
      </c>
      <c r="N339" s="0" t="str">
        <f aca="false">IF(B339="","",IF(COUNTIFS('RESEP DAN HPP'!$A$5:$A$504,B339,'RESEP DAN HPP'!$N$5:$N$504,"LENGKAP")=0,"BELUM LENGKAP",INDEX('RESEP DAN HPP'!$J$5:$J$504,MATCH(B339,'RESEP DAN HPP'!$A$5:$A$504,0))))</f>
        <v/>
      </c>
      <c r="P339" s="0" t="str">
        <f aca="false">IF(A339="","",IF(COUNTIFS('TRANSAKSI PENJUALAN'!$A$5:$A$504,A339)=0,"BELUM ADA",INDEX('TRANSAKSI PENJUALAN'!$B$5:$B$504,MATCH(A339,'TRANSAKSI PENJUALAN'!$A$5:$A$504,0))))</f>
        <v/>
      </c>
      <c r="Q339" s="0" t="str">
        <f aca="false">IF(A339="","",IF(COUNTIFS('TRANSAKSI PENJUALAN'!$A$5:$A$504,A339)=0,"BELUM ADA",INDEX('TRANSAKSI PENJUALAN'!$M$5:$M$504,MATCH(A339,'TRANSAKSI PENJUALAN'!$A$5:$A$504,0))))</f>
        <v/>
      </c>
      <c r="R339" s="24" t="str">
        <f aca="false">IF(A339="","",COUNTIF($A$5:A339,A339))</f>
        <v/>
      </c>
      <c r="S339" s="24" t="str">
        <f aca="false">IF(A339="","",A339&amp;"|"&amp;R339)</f>
        <v/>
      </c>
    </row>
    <row r="340" customFormat="false" ht="15" hidden="false" customHeight="false" outlineLevel="0" collapsed="false">
      <c r="C340" s="0" t="str">
        <f aca="false">IF(B340="","",IF(COUNTIFS('MASTER MENU'!$A$5:$A$504,B340)=0,"BELUM ADA",INDEX('MASTER MENU'!$B$5:$B$504,MATCH(B340,'MASTER MENU'!$A$5:$A$504,0))))</f>
        <v/>
      </c>
      <c r="D340" s="0" t="str">
        <f aca="false">IF(B340="","",IF(COUNTIFS('MASTER MENU'!$A$5:$A$504,B340)=0,"BELUM ADA",INDEX('MASTER MENU'!$E$5:$E$504,MATCH(B340,'MASTER MENU'!$A$5:$A$504,0))))</f>
        <v/>
      </c>
      <c r="F340" s="0" t="str">
        <f aca="false">IF(B340="","",IF(COUNTIFS('MASTER MENU'!$A$5:$A$504,B340)=0,"BELUM ADA",INDEX('MASTER MENU'!$F$5:$F$504,MATCH(B340,'MASTER MENU'!$A$5:$A$504,0))))</f>
        <v/>
      </c>
      <c r="G340" s="0" t="str">
        <f aca="false">IF(A340="","",IF(OR(NOT(ISNUMBER(E340)),NOT(ISNUMBER(F340))),"BELUM LENGKAP",ROUND(E340*F340,0)))</f>
        <v/>
      </c>
      <c r="J340" s="0" t="str">
        <f aca="false">IF(A340="","",IF(NOT(ISNUMBER(G340)),"BELUM LENGKAP",G340-H340-I340))</f>
        <v/>
      </c>
      <c r="L340" s="0" t="str">
        <f aca="false">IF(A340="","",IF(NOT(ISNUMBER(K340)),"ISI SNAPSHOT HPP",ROUND(E340*K340,0)))</f>
        <v/>
      </c>
      <c r="M340" s="0" t="str">
        <f aca="false">IF(A340="","",IF(NOT(ISNUMBER(L340)),"BELUM LENGKAP",J340-L340))</f>
        <v/>
      </c>
      <c r="N340" s="0" t="str">
        <f aca="false">IF(B340="","",IF(COUNTIFS('RESEP DAN HPP'!$A$5:$A$504,B340,'RESEP DAN HPP'!$N$5:$N$504,"LENGKAP")=0,"BELUM LENGKAP",INDEX('RESEP DAN HPP'!$J$5:$J$504,MATCH(B340,'RESEP DAN HPP'!$A$5:$A$504,0))))</f>
        <v/>
      </c>
      <c r="P340" s="0" t="str">
        <f aca="false">IF(A340="","",IF(COUNTIFS('TRANSAKSI PENJUALAN'!$A$5:$A$504,A340)=0,"BELUM ADA",INDEX('TRANSAKSI PENJUALAN'!$B$5:$B$504,MATCH(A340,'TRANSAKSI PENJUALAN'!$A$5:$A$504,0))))</f>
        <v/>
      </c>
      <c r="Q340" s="0" t="str">
        <f aca="false">IF(A340="","",IF(COUNTIFS('TRANSAKSI PENJUALAN'!$A$5:$A$504,A340)=0,"BELUM ADA",INDEX('TRANSAKSI PENJUALAN'!$M$5:$M$504,MATCH(A340,'TRANSAKSI PENJUALAN'!$A$5:$A$504,0))))</f>
        <v/>
      </c>
      <c r="R340" s="24" t="str">
        <f aca="false">IF(A340="","",COUNTIF($A$5:A340,A340))</f>
        <v/>
      </c>
      <c r="S340" s="24" t="str">
        <f aca="false">IF(A340="","",A340&amp;"|"&amp;R340)</f>
        <v/>
      </c>
    </row>
    <row r="341" customFormat="false" ht="15" hidden="false" customHeight="false" outlineLevel="0" collapsed="false">
      <c r="C341" s="0" t="str">
        <f aca="false">IF(B341="","",IF(COUNTIFS('MASTER MENU'!$A$5:$A$504,B341)=0,"BELUM ADA",INDEX('MASTER MENU'!$B$5:$B$504,MATCH(B341,'MASTER MENU'!$A$5:$A$504,0))))</f>
        <v/>
      </c>
      <c r="D341" s="0" t="str">
        <f aca="false">IF(B341="","",IF(COUNTIFS('MASTER MENU'!$A$5:$A$504,B341)=0,"BELUM ADA",INDEX('MASTER MENU'!$E$5:$E$504,MATCH(B341,'MASTER MENU'!$A$5:$A$504,0))))</f>
        <v/>
      </c>
      <c r="F341" s="0" t="str">
        <f aca="false">IF(B341="","",IF(COUNTIFS('MASTER MENU'!$A$5:$A$504,B341)=0,"BELUM ADA",INDEX('MASTER MENU'!$F$5:$F$504,MATCH(B341,'MASTER MENU'!$A$5:$A$504,0))))</f>
        <v/>
      </c>
      <c r="G341" s="0" t="str">
        <f aca="false">IF(A341="","",IF(OR(NOT(ISNUMBER(E341)),NOT(ISNUMBER(F341))),"BELUM LENGKAP",ROUND(E341*F341,0)))</f>
        <v/>
      </c>
      <c r="J341" s="0" t="str">
        <f aca="false">IF(A341="","",IF(NOT(ISNUMBER(G341)),"BELUM LENGKAP",G341-H341-I341))</f>
        <v/>
      </c>
      <c r="L341" s="0" t="str">
        <f aca="false">IF(A341="","",IF(NOT(ISNUMBER(K341)),"ISI SNAPSHOT HPP",ROUND(E341*K341,0)))</f>
        <v/>
      </c>
      <c r="M341" s="0" t="str">
        <f aca="false">IF(A341="","",IF(NOT(ISNUMBER(L341)),"BELUM LENGKAP",J341-L341))</f>
        <v/>
      </c>
      <c r="N341" s="0" t="str">
        <f aca="false">IF(B341="","",IF(COUNTIFS('RESEP DAN HPP'!$A$5:$A$504,B341,'RESEP DAN HPP'!$N$5:$N$504,"LENGKAP")=0,"BELUM LENGKAP",INDEX('RESEP DAN HPP'!$J$5:$J$504,MATCH(B341,'RESEP DAN HPP'!$A$5:$A$504,0))))</f>
        <v/>
      </c>
      <c r="P341" s="0" t="str">
        <f aca="false">IF(A341="","",IF(COUNTIFS('TRANSAKSI PENJUALAN'!$A$5:$A$504,A341)=0,"BELUM ADA",INDEX('TRANSAKSI PENJUALAN'!$B$5:$B$504,MATCH(A341,'TRANSAKSI PENJUALAN'!$A$5:$A$504,0))))</f>
        <v/>
      </c>
      <c r="Q341" s="0" t="str">
        <f aca="false">IF(A341="","",IF(COUNTIFS('TRANSAKSI PENJUALAN'!$A$5:$A$504,A341)=0,"BELUM ADA",INDEX('TRANSAKSI PENJUALAN'!$M$5:$M$504,MATCH(A341,'TRANSAKSI PENJUALAN'!$A$5:$A$504,0))))</f>
        <v/>
      </c>
      <c r="R341" s="24" t="str">
        <f aca="false">IF(A341="","",COUNTIF($A$5:A341,A341))</f>
        <v/>
      </c>
      <c r="S341" s="24" t="str">
        <f aca="false">IF(A341="","",A341&amp;"|"&amp;R341)</f>
        <v/>
      </c>
    </row>
    <row r="342" customFormat="false" ht="15" hidden="false" customHeight="false" outlineLevel="0" collapsed="false">
      <c r="C342" s="0" t="str">
        <f aca="false">IF(B342="","",IF(COUNTIFS('MASTER MENU'!$A$5:$A$504,B342)=0,"BELUM ADA",INDEX('MASTER MENU'!$B$5:$B$504,MATCH(B342,'MASTER MENU'!$A$5:$A$504,0))))</f>
        <v/>
      </c>
      <c r="D342" s="0" t="str">
        <f aca="false">IF(B342="","",IF(COUNTIFS('MASTER MENU'!$A$5:$A$504,B342)=0,"BELUM ADA",INDEX('MASTER MENU'!$E$5:$E$504,MATCH(B342,'MASTER MENU'!$A$5:$A$504,0))))</f>
        <v/>
      </c>
      <c r="F342" s="0" t="str">
        <f aca="false">IF(B342="","",IF(COUNTIFS('MASTER MENU'!$A$5:$A$504,B342)=0,"BELUM ADA",INDEX('MASTER MENU'!$F$5:$F$504,MATCH(B342,'MASTER MENU'!$A$5:$A$504,0))))</f>
        <v/>
      </c>
      <c r="G342" s="0" t="str">
        <f aca="false">IF(A342="","",IF(OR(NOT(ISNUMBER(E342)),NOT(ISNUMBER(F342))),"BELUM LENGKAP",ROUND(E342*F342,0)))</f>
        <v/>
      </c>
      <c r="J342" s="0" t="str">
        <f aca="false">IF(A342="","",IF(NOT(ISNUMBER(G342)),"BELUM LENGKAP",G342-H342-I342))</f>
        <v/>
      </c>
      <c r="L342" s="0" t="str">
        <f aca="false">IF(A342="","",IF(NOT(ISNUMBER(K342)),"ISI SNAPSHOT HPP",ROUND(E342*K342,0)))</f>
        <v/>
      </c>
      <c r="M342" s="0" t="str">
        <f aca="false">IF(A342="","",IF(NOT(ISNUMBER(L342)),"BELUM LENGKAP",J342-L342))</f>
        <v/>
      </c>
      <c r="N342" s="0" t="str">
        <f aca="false">IF(B342="","",IF(COUNTIFS('RESEP DAN HPP'!$A$5:$A$504,B342,'RESEP DAN HPP'!$N$5:$N$504,"LENGKAP")=0,"BELUM LENGKAP",INDEX('RESEP DAN HPP'!$J$5:$J$504,MATCH(B342,'RESEP DAN HPP'!$A$5:$A$504,0))))</f>
        <v/>
      </c>
      <c r="P342" s="0" t="str">
        <f aca="false">IF(A342="","",IF(COUNTIFS('TRANSAKSI PENJUALAN'!$A$5:$A$504,A342)=0,"BELUM ADA",INDEX('TRANSAKSI PENJUALAN'!$B$5:$B$504,MATCH(A342,'TRANSAKSI PENJUALAN'!$A$5:$A$504,0))))</f>
        <v/>
      </c>
      <c r="Q342" s="0" t="str">
        <f aca="false">IF(A342="","",IF(COUNTIFS('TRANSAKSI PENJUALAN'!$A$5:$A$504,A342)=0,"BELUM ADA",INDEX('TRANSAKSI PENJUALAN'!$M$5:$M$504,MATCH(A342,'TRANSAKSI PENJUALAN'!$A$5:$A$504,0))))</f>
        <v/>
      </c>
      <c r="R342" s="24" t="str">
        <f aca="false">IF(A342="","",COUNTIF($A$5:A342,A342))</f>
        <v/>
      </c>
      <c r="S342" s="24" t="str">
        <f aca="false">IF(A342="","",A342&amp;"|"&amp;R342)</f>
        <v/>
      </c>
    </row>
    <row r="343" customFormat="false" ht="15" hidden="false" customHeight="false" outlineLevel="0" collapsed="false">
      <c r="C343" s="0" t="str">
        <f aca="false">IF(B343="","",IF(COUNTIFS('MASTER MENU'!$A$5:$A$504,B343)=0,"BELUM ADA",INDEX('MASTER MENU'!$B$5:$B$504,MATCH(B343,'MASTER MENU'!$A$5:$A$504,0))))</f>
        <v/>
      </c>
      <c r="D343" s="0" t="str">
        <f aca="false">IF(B343="","",IF(COUNTIFS('MASTER MENU'!$A$5:$A$504,B343)=0,"BELUM ADA",INDEX('MASTER MENU'!$E$5:$E$504,MATCH(B343,'MASTER MENU'!$A$5:$A$504,0))))</f>
        <v/>
      </c>
      <c r="F343" s="0" t="str">
        <f aca="false">IF(B343="","",IF(COUNTIFS('MASTER MENU'!$A$5:$A$504,B343)=0,"BELUM ADA",INDEX('MASTER MENU'!$F$5:$F$504,MATCH(B343,'MASTER MENU'!$A$5:$A$504,0))))</f>
        <v/>
      </c>
      <c r="G343" s="0" t="str">
        <f aca="false">IF(A343="","",IF(OR(NOT(ISNUMBER(E343)),NOT(ISNUMBER(F343))),"BELUM LENGKAP",ROUND(E343*F343,0)))</f>
        <v/>
      </c>
      <c r="J343" s="0" t="str">
        <f aca="false">IF(A343="","",IF(NOT(ISNUMBER(G343)),"BELUM LENGKAP",G343-H343-I343))</f>
        <v/>
      </c>
      <c r="L343" s="0" t="str">
        <f aca="false">IF(A343="","",IF(NOT(ISNUMBER(K343)),"ISI SNAPSHOT HPP",ROUND(E343*K343,0)))</f>
        <v/>
      </c>
      <c r="M343" s="0" t="str">
        <f aca="false">IF(A343="","",IF(NOT(ISNUMBER(L343)),"BELUM LENGKAP",J343-L343))</f>
        <v/>
      </c>
      <c r="N343" s="0" t="str">
        <f aca="false">IF(B343="","",IF(COUNTIFS('RESEP DAN HPP'!$A$5:$A$504,B343,'RESEP DAN HPP'!$N$5:$N$504,"LENGKAP")=0,"BELUM LENGKAP",INDEX('RESEP DAN HPP'!$J$5:$J$504,MATCH(B343,'RESEP DAN HPP'!$A$5:$A$504,0))))</f>
        <v/>
      </c>
      <c r="P343" s="0" t="str">
        <f aca="false">IF(A343="","",IF(COUNTIFS('TRANSAKSI PENJUALAN'!$A$5:$A$504,A343)=0,"BELUM ADA",INDEX('TRANSAKSI PENJUALAN'!$B$5:$B$504,MATCH(A343,'TRANSAKSI PENJUALAN'!$A$5:$A$504,0))))</f>
        <v/>
      </c>
      <c r="Q343" s="0" t="str">
        <f aca="false">IF(A343="","",IF(COUNTIFS('TRANSAKSI PENJUALAN'!$A$5:$A$504,A343)=0,"BELUM ADA",INDEX('TRANSAKSI PENJUALAN'!$M$5:$M$504,MATCH(A343,'TRANSAKSI PENJUALAN'!$A$5:$A$504,0))))</f>
        <v/>
      </c>
      <c r="R343" s="24" t="str">
        <f aca="false">IF(A343="","",COUNTIF($A$5:A343,A343))</f>
        <v/>
      </c>
      <c r="S343" s="24" t="str">
        <f aca="false">IF(A343="","",A343&amp;"|"&amp;R343)</f>
        <v/>
      </c>
    </row>
    <row r="344" customFormat="false" ht="15" hidden="false" customHeight="false" outlineLevel="0" collapsed="false">
      <c r="C344" s="0" t="str">
        <f aca="false">IF(B344="","",IF(COUNTIFS('MASTER MENU'!$A$5:$A$504,B344)=0,"BELUM ADA",INDEX('MASTER MENU'!$B$5:$B$504,MATCH(B344,'MASTER MENU'!$A$5:$A$504,0))))</f>
        <v/>
      </c>
      <c r="D344" s="0" t="str">
        <f aca="false">IF(B344="","",IF(COUNTIFS('MASTER MENU'!$A$5:$A$504,B344)=0,"BELUM ADA",INDEX('MASTER MENU'!$E$5:$E$504,MATCH(B344,'MASTER MENU'!$A$5:$A$504,0))))</f>
        <v/>
      </c>
      <c r="F344" s="0" t="str">
        <f aca="false">IF(B344="","",IF(COUNTIFS('MASTER MENU'!$A$5:$A$504,B344)=0,"BELUM ADA",INDEX('MASTER MENU'!$F$5:$F$504,MATCH(B344,'MASTER MENU'!$A$5:$A$504,0))))</f>
        <v/>
      </c>
      <c r="G344" s="0" t="str">
        <f aca="false">IF(A344="","",IF(OR(NOT(ISNUMBER(E344)),NOT(ISNUMBER(F344))),"BELUM LENGKAP",ROUND(E344*F344,0)))</f>
        <v/>
      </c>
      <c r="J344" s="0" t="str">
        <f aca="false">IF(A344="","",IF(NOT(ISNUMBER(G344)),"BELUM LENGKAP",G344-H344-I344))</f>
        <v/>
      </c>
      <c r="L344" s="0" t="str">
        <f aca="false">IF(A344="","",IF(NOT(ISNUMBER(K344)),"ISI SNAPSHOT HPP",ROUND(E344*K344,0)))</f>
        <v/>
      </c>
      <c r="M344" s="0" t="str">
        <f aca="false">IF(A344="","",IF(NOT(ISNUMBER(L344)),"BELUM LENGKAP",J344-L344))</f>
        <v/>
      </c>
      <c r="N344" s="0" t="str">
        <f aca="false">IF(B344="","",IF(COUNTIFS('RESEP DAN HPP'!$A$5:$A$504,B344,'RESEP DAN HPP'!$N$5:$N$504,"LENGKAP")=0,"BELUM LENGKAP",INDEX('RESEP DAN HPP'!$J$5:$J$504,MATCH(B344,'RESEP DAN HPP'!$A$5:$A$504,0))))</f>
        <v/>
      </c>
      <c r="P344" s="0" t="str">
        <f aca="false">IF(A344="","",IF(COUNTIFS('TRANSAKSI PENJUALAN'!$A$5:$A$504,A344)=0,"BELUM ADA",INDEX('TRANSAKSI PENJUALAN'!$B$5:$B$504,MATCH(A344,'TRANSAKSI PENJUALAN'!$A$5:$A$504,0))))</f>
        <v/>
      </c>
      <c r="Q344" s="0" t="str">
        <f aca="false">IF(A344="","",IF(COUNTIFS('TRANSAKSI PENJUALAN'!$A$5:$A$504,A344)=0,"BELUM ADA",INDEX('TRANSAKSI PENJUALAN'!$M$5:$M$504,MATCH(A344,'TRANSAKSI PENJUALAN'!$A$5:$A$504,0))))</f>
        <v/>
      </c>
      <c r="R344" s="24" t="str">
        <f aca="false">IF(A344="","",COUNTIF($A$5:A344,A344))</f>
        <v/>
      </c>
      <c r="S344" s="24" t="str">
        <f aca="false">IF(A344="","",A344&amp;"|"&amp;R344)</f>
        <v/>
      </c>
    </row>
    <row r="345" customFormat="false" ht="15" hidden="false" customHeight="false" outlineLevel="0" collapsed="false">
      <c r="C345" s="0" t="str">
        <f aca="false">IF(B345="","",IF(COUNTIFS('MASTER MENU'!$A$5:$A$504,B345)=0,"BELUM ADA",INDEX('MASTER MENU'!$B$5:$B$504,MATCH(B345,'MASTER MENU'!$A$5:$A$504,0))))</f>
        <v/>
      </c>
      <c r="D345" s="0" t="str">
        <f aca="false">IF(B345="","",IF(COUNTIFS('MASTER MENU'!$A$5:$A$504,B345)=0,"BELUM ADA",INDEX('MASTER MENU'!$E$5:$E$504,MATCH(B345,'MASTER MENU'!$A$5:$A$504,0))))</f>
        <v/>
      </c>
      <c r="F345" s="0" t="str">
        <f aca="false">IF(B345="","",IF(COUNTIFS('MASTER MENU'!$A$5:$A$504,B345)=0,"BELUM ADA",INDEX('MASTER MENU'!$F$5:$F$504,MATCH(B345,'MASTER MENU'!$A$5:$A$504,0))))</f>
        <v/>
      </c>
      <c r="G345" s="0" t="str">
        <f aca="false">IF(A345="","",IF(OR(NOT(ISNUMBER(E345)),NOT(ISNUMBER(F345))),"BELUM LENGKAP",ROUND(E345*F345,0)))</f>
        <v/>
      </c>
      <c r="J345" s="0" t="str">
        <f aca="false">IF(A345="","",IF(NOT(ISNUMBER(G345)),"BELUM LENGKAP",G345-H345-I345))</f>
        <v/>
      </c>
      <c r="L345" s="0" t="str">
        <f aca="false">IF(A345="","",IF(NOT(ISNUMBER(K345)),"ISI SNAPSHOT HPP",ROUND(E345*K345,0)))</f>
        <v/>
      </c>
      <c r="M345" s="0" t="str">
        <f aca="false">IF(A345="","",IF(NOT(ISNUMBER(L345)),"BELUM LENGKAP",J345-L345))</f>
        <v/>
      </c>
      <c r="N345" s="0" t="str">
        <f aca="false">IF(B345="","",IF(COUNTIFS('RESEP DAN HPP'!$A$5:$A$504,B345,'RESEP DAN HPP'!$N$5:$N$504,"LENGKAP")=0,"BELUM LENGKAP",INDEX('RESEP DAN HPP'!$J$5:$J$504,MATCH(B345,'RESEP DAN HPP'!$A$5:$A$504,0))))</f>
        <v/>
      </c>
      <c r="P345" s="0" t="str">
        <f aca="false">IF(A345="","",IF(COUNTIFS('TRANSAKSI PENJUALAN'!$A$5:$A$504,A345)=0,"BELUM ADA",INDEX('TRANSAKSI PENJUALAN'!$B$5:$B$504,MATCH(A345,'TRANSAKSI PENJUALAN'!$A$5:$A$504,0))))</f>
        <v/>
      </c>
      <c r="Q345" s="0" t="str">
        <f aca="false">IF(A345="","",IF(COUNTIFS('TRANSAKSI PENJUALAN'!$A$5:$A$504,A345)=0,"BELUM ADA",INDEX('TRANSAKSI PENJUALAN'!$M$5:$M$504,MATCH(A345,'TRANSAKSI PENJUALAN'!$A$5:$A$504,0))))</f>
        <v/>
      </c>
      <c r="R345" s="24" t="str">
        <f aca="false">IF(A345="","",COUNTIF($A$5:A345,A345))</f>
        <v/>
      </c>
      <c r="S345" s="24" t="str">
        <f aca="false">IF(A345="","",A345&amp;"|"&amp;R345)</f>
        <v/>
      </c>
    </row>
    <row r="346" customFormat="false" ht="15" hidden="false" customHeight="false" outlineLevel="0" collapsed="false">
      <c r="C346" s="0" t="str">
        <f aca="false">IF(B346="","",IF(COUNTIFS('MASTER MENU'!$A$5:$A$504,B346)=0,"BELUM ADA",INDEX('MASTER MENU'!$B$5:$B$504,MATCH(B346,'MASTER MENU'!$A$5:$A$504,0))))</f>
        <v/>
      </c>
      <c r="D346" s="0" t="str">
        <f aca="false">IF(B346="","",IF(COUNTIFS('MASTER MENU'!$A$5:$A$504,B346)=0,"BELUM ADA",INDEX('MASTER MENU'!$E$5:$E$504,MATCH(B346,'MASTER MENU'!$A$5:$A$504,0))))</f>
        <v/>
      </c>
      <c r="F346" s="0" t="str">
        <f aca="false">IF(B346="","",IF(COUNTIFS('MASTER MENU'!$A$5:$A$504,B346)=0,"BELUM ADA",INDEX('MASTER MENU'!$F$5:$F$504,MATCH(B346,'MASTER MENU'!$A$5:$A$504,0))))</f>
        <v/>
      </c>
      <c r="G346" s="0" t="str">
        <f aca="false">IF(A346="","",IF(OR(NOT(ISNUMBER(E346)),NOT(ISNUMBER(F346))),"BELUM LENGKAP",ROUND(E346*F346,0)))</f>
        <v/>
      </c>
      <c r="J346" s="0" t="str">
        <f aca="false">IF(A346="","",IF(NOT(ISNUMBER(G346)),"BELUM LENGKAP",G346-H346-I346))</f>
        <v/>
      </c>
      <c r="L346" s="0" t="str">
        <f aca="false">IF(A346="","",IF(NOT(ISNUMBER(K346)),"ISI SNAPSHOT HPP",ROUND(E346*K346,0)))</f>
        <v/>
      </c>
      <c r="M346" s="0" t="str">
        <f aca="false">IF(A346="","",IF(NOT(ISNUMBER(L346)),"BELUM LENGKAP",J346-L346))</f>
        <v/>
      </c>
      <c r="N346" s="0" t="str">
        <f aca="false">IF(B346="","",IF(COUNTIFS('RESEP DAN HPP'!$A$5:$A$504,B346,'RESEP DAN HPP'!$N$5:$N$504,"LENGKAP")=0,"BELUM LENGKAP",INDEX('RESEP DAN HPP'!$J$5:$J$504,MATCH(B346,'RESEP DAN HPP'!$A$5:$A$504,0))))</f>
        <v/>
      </c>
      <c r="P346" s="0" t="str">
        <f aca="false">IF(A346="","",IF(COUNTIFS('TRANSAKSI PENJUALAN'!$A$5:$A$504,A346)=0,"BELUM ADA",INDEX('TRANSAKSI PENJUALAN'!$B$5:$B$504,MATCH(A346,'TRANSAKSI PENJUALAN'!$A$5:$A$504,0))))</f>
        <v/>
      </c>
      <c r="Q346" s="0" t="str">
        <f aca="false">IF(A346="","",IF(COUNTIFS('TRANSAKSI PENJUALAN'!$A$5:$A$504,A346)=0,"BELUM ADA",INDEX('TRANSAKSI PENJUALAN'!$M$5:$M$504,MATCH(A346,'TRANSAKSI PENJUALAN'!$A$5:$A$504,0))))</f>
        <v/>
      </c>
      <c r="R346" s="24" t="str">
        <f aca="false">IF(A346="","",COUNTIF($A$5:A346,A346))</f>
        <v/>
      </c>
      <c r="S346" s="24" t="str">
        <f aca="false">IF(A346="","",A346&amp;"|"&amp;R346)</f>
        <v/>
      </c>
    </row>
    <row r="347" customFormat="false" ht="15" hidden="false" customHeight="false" outlineLevel="0" collapsed="false">
      <c r="C347" s="0" t="str">
        <f aca="false">IF(B347="","",IF(COUNTIFS('MASTER MENU'!$A$5:$A$504,B347)=0,"BELUM ADA",INDEX('MASTER MENU'!$B$5:$B$504,MATCH(B347,'MASTER MENU'!$A$5:$A$504,0))))</f>
        <v/>
      </c>
      <c r="D347" s="0" t="str">
        <f aca="false">IF(B347="","",IF(COUNTIFS('MASTER MENU'!$A$5:$A$504,B347)=0,"BELUM ADA",INDEX('MASTER MENU'!$E$5:$E$504,MATCH(B347,'MASTER MENU'!$A$5:$A$504,0))))</f>
        <v/>
      </c>
      <c r="F347" s="0" t="str">
        <f aca="false">IF(B347="","",IF(COUNTIFS('MASTER MENU'!$A$5:$A$504,B347)=0,"BELUM ADA",INDEX('MASTER MENU'!$F$5:$F$504,MATCH(B347,'MASTER MENU'!$A$5:$A$504,0))))</f>
        <v/>
      </c>
      <c r="G347" s="0" t="str">
        <f aca="false">IF(A347="","",IF(OR(NOT(ISNUMBER(E347)),NOT(ISNUMBER(F347))),"BELUM LENGKAP",ROUND(E347*F347,0)))</f>
        <v/>
      </c>
      <c r="J347" s="0" t="str">
        <f aca="false">IF(A347="","",IF(NOT(ISNUMBER(G347)),"BELUM LENGKAP",G347-H347-I347))</f>
        <v/>
      </c>
      <c r="L347" s="0" t="str">
        <f aca="false">IF(A347="","",IF(NOT(ISNUMBER(K347)),"ISI SNAPSHOT HPP",ROUND(E347*K347,0)))</f>
        <v/>
      </c>
      <c r="M347" s="0" t="str">
        <f aca="false">IF(A347="","",IF(NOT(ISNUMBER(L347)),"BELUM LENGKAP",J347-L347))</f>
        <v/>
      </c>
      <c r="N347" s="0" t="str">
        <f aca="false">IF(B347="","",IF(COUNTIFS('RESEP DAN HPP'!$A$5:$A$504,B347,'RESEP DAN HPP'!$N$5:$N$504,"LENGKAP")=0,"BELUM LENGKAP",INDEX('RESEP DAN HPP'!$J$5:$J$504,MATCH(B347,'RESEP DAN HPP'!$A$5:$A$504,0))))</f>
        <v/>
      </c>
      <c r="P347" s="0" t="str">
        <f aca="false">IF(A347="","",IF(COUNTIFS('TRANSAKSI PENJUALAN'!$A$5:$A$504,A347)=0,"BELUM ADA",INDEX('TRANSAKSI PENJUALAN'!$B$5:$B$504,MATCH(A347,'TRANSAKSI PENJUALAN'!$A$5:$A$504,0))))</f>
        <v/>
      </c>
      <c r="Q347" s="0" t="str">
        <f aca="false">IF(A347="","",IF(COUNTIFS('TRANSAKSI PENJUALAN'!$A$5:$A$504,A347)=0,"BELUM ADA",INDEX('TRANSAKSI PENJUALAN'!$M$5:$M$504,MATCH(A347,'TRANSAKSI PENJUALAN'!$A$5:$A$504,0))))</f>
        <v/>
      </c>
      <c r="R347" s="24" t="str">
        <f aca="false">IF(A347="","",COUNTIF($A$5:A347,A347))</f>
        <v/>
      </c>
      <c r="S347" s="24" t="str">
        <f aca="false">IF(A347="","",A347&amp;"|"&amp;R347)</f>
        <v/>
      </c>
    </row>
    <row r="348" customFormat="false" ht="15" hidden="false" customHeight="false" outlineLevel="0" collapsed="false">
      <c r="C348" s="0" t="str">
        <f aca="false">IF(B348="","",IF(COUNTIFS('MASTER MENU'!$A$5:$A$504,B348)=0,"BELUM ADA",INDEX('MASTER MENU'!$B$5:$B$504,MATCH(B348,'MASTER MENU'!$A$5:$A$504,0))))</f>
        <v/>
      </c>
      <c r="D348" s="0" t="str">
        <f aca="false">IF(B348="","",IF(COUNTIFS('MASTER MENU'!$A$5:$A$504,B348)=0,"BELUM ADA",INDEX('MASTER MENU'!$E$5:$E$504,MATCH(B348,'MASTER MENU'!$A$5:$A$504,0))))</f>
        <v/>
      </c>
      <c r="F348" s="0" t="str">
        <f aca="false">IF(B348="","",IF(COUNTIFS('MASTER MENU'!$A$5:$A$504,B348)=0,"BELUM ADA",INDEX('MASTER MENU'!$F$5:$F$504,MATCH(B348,'MASTER MENU'!$A$5:$A$504,0))))</f>
        <v/>
      </c>
      <c r="G348" s="0" t="str">
        <f aca="false">IF(A348="","",IF(OR(NOT(ISNUMBER(E348)),NOT(ISNUMBER(F348))),"BELUM LENGKAP",ROUND(E348*F348,0)))</f>
        <v/>
      </c>
      <c r="J348" s="0" t="str">
        <f aca="false">IF(A348="","",IF(NOT(ISNUMBER(G348)),"BELUM LENGKAP",G348-H348-I348))</f>
        <v/>
      </c>
      <c r="L348" s="0" t="str">
        <f aca="false">IF(A348="","",IF(NOT(ISNUMBER(K348)),"ISI SNAPSHOT HPP",ROUND(E348*K348,0)))</f>
        <v/>
      </c>
      <c r="M348" s="0" t="str">
        <f aca="false">IF(A348="","",IF(NOT(ISNUMBER(L348)),"BELUM LENGKAP",J348-L348))</f>
        <v/>
      </c>
      <c r="N348" s="0" t="str">
        <f aca="false">IF(B348="","",IF(COUNTIFS('RESEP DAN HPP'!$A$5:$A$504,B348,'RESEP DAN HPP'!$N$5:$N$504,"LENGKAP")=0,"BELUM LENGKAP",INDEX('RESEP DAN HPP'!$J$5:$J$504,MATCH(B348,'RESEP DAN HPP'!$A$5:$A$504,0))))</f>
        <v/>
      </c>
      <c r="P348" s="0" t="str">
        <f aca="false">IF(A348="","",IF(COUNTIFS('TRANSAKSI PENJUALAN'!$A$5:$A$504,A348)=0,"BELUM ADA",INDEX('TRANSAKSI PENJUALAN'!$B$5:$B$504,MATCH(A348,'TRANSAKSI PENJUALAN'!$A$5:$A$504,0))))</f>
        <v/>
      </c>
      <c r="Q348" s="0" t="str">
        <f aca="false">IF(A348="","",IF(COUNTIFS('TRANSAKSI PENJUALAN'!$A$5:$A$504,A348)=0,"BELUM ADA",INDEX('TRANSAKSI PENJUALAN'!$M$5:$M$504,MATCH(A348,'TRANSAKSI PENJUALAN'!$A$5:$A$504,0))))</f>
        <v/>
      </c>
      <c r="R348" s="24" t="str">
        <f aca="false">IF(A348="","",COUNTIF($A$5:A348,A348))</f>
        <v/>
      </c>
      <c r="S348" s="24" t="str">
        <f aca="false">IF(A348="","",A348&amp;"|"&amp;R348)</f>
        <v/>
      </c>
    </row>
    <row r="349" customFormat="false" ht="15" hidden="false" customHeight="false" outlineLevel="0" collapsed="false">
      <c r="C349" s="0" t="str">
        <f aca="false">IF(B349="","",IF(COUNTIFS('MASTER MENU'!$A$5:$A$504,B349)=0,"BELUM ADA",INDEX('MASTER MENU'!$B$5:$B$504,MATCH(B349,'MASTER MENU'!$A$5:$A$504,0))))</f>
        <v/>
      </c>
      <c r="D349" s="0" t="str">
        <f aca="false">IF(B349="","",IF(COUNTIFS('MASTER MENU'!$A$5:$A$504,B349)=0,"BELUM ADA",INDEX('MASTER MENU'!$E$5:$E$504,MATCH(B349,'MASTER MENU'!$A$5:$A$504,0))))</f>
        <v/>
      </c>
      <c r="F349" s="0" t="str">
        <f aca="false">IF(B349="","",IF(COUNTIFS('MASTER MENU'!$A$5:$A$504,B349)=0,"BELUM ADA",INDEX('MASTER MENU'!$F$5:$F$504,MATCH(B349,'MASTER MENU'!$A$5:$A$504,0))))</f>
        <v/>
      </c>
      <c r="G349" s="0" t="str">
        <f aca="false">IF(A349="","",IF(OR(NOT(ISNUMBER(E349)),NOT(ISNUMBER(F349))),"BELUM LENGKAP",ROUND(E349*F349,0)))</f>
        <v/>
      </c>
      <c r="J349" s="0" t="str">
        <f aca="false">IF(A349="","",IF(NOT(ISNUMBER(G349)),"BELUM LENGKAP",G349-H349-I349))</f>
        <v/>
      </c>
      <c r="L349" s="0" t="str">
        <f aca="false">IF(A349="","",IF(NOT(ISNUMBER(K349)),"ISI SNAPSHOT HPP",ROUND(E349*K349,0)))</f>
        <v/>
      </c>
      <c r="M349" s="0" t="str">
        <f aca="false">IF(A349="","",IF(NOT(ISNUMBER(L349)),"BELUM LENGKAP",J349-L349))</f>
        <v/>
      </c>
      <c r="N349" s="0" t="str">
        <f aca="false">IF(B349="","",IF(COUNTIFS('RESEP DAN HPP'!$A$5:$A$504,B349,'RESEP DAN HPP'!$N$5:$N$504,"LENGKAP")=0,"BELUM LENGKAP",INDEX('RESEP DAN HPP'!$J$5:$J$504,MATCH(B349,'RESEP DAN HPP'!$A$5:$A$504,0))))</f>
        <v/>
      </c>
      <c r="P349" s="0" t="str">
        <f aca="false">IF(A349="","",IF(COUNTIFS('TRANSAKSI PENJUALAN'!$A$5:$A$504,A349)=0,"BELUM ADA",INDEX('TRANSAKSI PENJUALAN'!$B$5:$B$504,MATCH(A349,'TRANSAKSI PENJUALAN'!$A$5:$A$504,0))))</f>
        <v/>
      </c>
      <c r="Q349" s="0" t="str">
        <f aca="false">IF(A349="","",IF(COUNTIFS('TRANSAKSI PENJUALAN'!$A$5:$A$504,A349)=0,"BELUM ADA",INDEX('TRANSAKSI PENJUALAN'!$M$5:$M$504,MATCH(A349,'TRANSAKSI PENJUALAN'!$A$5:$A$504,0))))</f>
        <v/>
      </c>
      <c r="R349" s="24" t="str">
        <f aca="false">IF(A349="","",COUNTIF($A$5:A349,A349))</f>
        <v/>
      </c>
      <c r="S349" s="24" t="str">
        <f aca="false">IF(A349="","",A349&amp;"|"&amp;R349)</f>
        <v/>
      </c>
    </row>
    <row r="350" customFormat="false" ht="15" hidden="false" customHeight="false" outlineLevel="0" collapsed="false">
      <c r="C350" s="0" t="str">
        <f aca="false">IF(B350="","",IF(COUNTIFS('MASTER MENU'!$A$5:$A$504,B350)=0,"BELUM ADA",INDEX('MASTER MENU'!$B$5:$B$504,MATCH(B350,'MASTER MENU'!$A$5:$A$504,0))))</f>
        <v/>
      </c>
      <c r="D350" s="0" t="str">
        <f aca="false">IF(B350="","",IF(COUNTIFS('MASTER MENU'!$A$5:$A$504,B350)=0,"BELUM ADA",INDEX('MASTER MENU'!$E$5:$E$504,MATCH(B350,'MASTER MENU'!$A$5:$A$504,0))))</f>
        <v/>
      </c>
      <c r="F350" s="0" t="str">
        <f aca="false">IF(B350="","",IF(COUNTIFS('MASTER MENU'!$A$5:$A$504,B350)=0,"BELUM ADA",INDEX('MASTER MENU'!$F$5:$F$504,MATCH(B350,'MASTER MENU'!$A$5:$A$504,0))))</f>
        <v/>
      </c>
      <c r="G350" s="0" t="str">
        <f aca="false">IF(A350="","",IF(OR(NOT(ISNUMBER(E350)),NOT(ISNUMBER(F350))),"BELUM LENGKAP",ROUND(E350*F350,0)))</f>
        <v/>
      </c>
      <c r="J350" s="0" t="str">
        <f aca="false">IF(A350="","",IF(NOT(ISNUMBER(G350)),"BELUM LENGKAP",G350-H350-I350))</f>
        <v/>
      </c>
      <c r="L350" s="0" t="str">
        <f aca="false">IF(A350="","",IF(NOT(ISNUMBER(K350)),"ISI SNAPSHOT HPP",ROUND(E350*K350,0)))</f>
        <v/>
      </c>
      <c r="M350" s="0" t="str">
        <f aca="false">IF(A350="","",IF(NOT(ISNUMBER(L350)),"BELUM LENGKAP",J350-L350))</f>
        <v/>
      </c>
      <c r="N350" s="0" t="str">
        <f aca="false">IF(B350="","",IF(COUNTIFS('RESEP DAN HPP'!$A$5:$A$504,B350,'RESEP DAN HPP'!$N$5:$N$504,"LENGKAP")=0,"BELUM LENGKAP",INDEX('RESEP DAN HPP'!$J$5:$J$504,MATCH(B350,'RESEP DAN HPP'!$A$5:$A$504,0))))</f>
        <v/>
      </c>
      <c r="P350" s="0" t="str">
        <f aca="false">IF(A350="","",IF(COUNTIFS('TRANSAKSI PENJUALAN'!$A$5:$A$504,A350)=0,"BELUM ADA",INDEX('TRANSAKSI PENJUALAN'!$B$5:$B$504,MATCH(A350,'TRANSAKSI PENJUALAN'!$A$5:$A$504,0))))</f>
        <v/>
      </c>
      <c r="Q350" s="0" t="str">
        <f aca="false">IF(A350="","",IF(COUNTIFS('TRANSAKSI PENJUALAN'!$A$5:$A$504,A350)=0,"BELUM ADA",INDEX('TRANSAKSI PENJUALAN'!$M$5:$M$504,MATCH(A350,'TRANSAKSI PENJUALAN'!$A$5:$A$504,0))))</f>
        <v/>
      </c>
      <c r="R350" s="24" t="str">
        <f aca="false">IF(A350="","",COUNTIF($A$5:A350,A350))</f>
        <v/>
      </c>
      <c r="S350" s="24" t="str">
        <f aca="false">IF(A350="","",A350&amp;"|"&amp;R350)</f>
        <v/>
      </c>
    </row>
    <row r="351" customFormat="false" ht="15" hidden="false" customHeight="false" outlineLevel="0" collapsed="false">
      <c r="C351" s="0" t="str">
        <f aca="false">IF(B351="","",IF(COUNTIFS('MASTER MENU'!$A$5:$A$504,B351)=0,"BELUM ADA",INDEX('MASTER MENU'!$B$5:$B$504,MATCH(B351,'MASTER MENU'!$A$5:$A$504,0))))</f>
        <v/>
      </c>
      <c r="D351" s="0" t="str">
        <f aca="false">IF(B351="","",IF(COUNTIFS('MASTER MENU'!$A$5:$A$504,B351)=0,"BELUM ADA",INDEX('MASTER MENU'!$E$5:$E$504,MATCH(B351,'MASTER MENU'!$A$5:$A$504,0))))</f>
        <v/>
      </c>
      <c r="F351" s="0" t="str">
        <f aca="false">IF(B351="","",IF(COUNTIFS('MASTER MENU'!$A$5:$A$504,B351)=0,"BELUM ADA",INDEX('MASTER MENU'!$F$5:$F$504,MATCH(B351,'MASTER MENU'!$A$5:$A$504,0))))</f>
        <v/>
      </c>
      <c r="G351" s="0" t="str">
        <f aca="false">IF(A351="","",IF(OR(NOT(ISNUMBER(E351)),NOT(ISNUMBER(F351))),"BELUM LENGKAP",ROUND(E351*F351,0)))</f>
        <v/>
      </c>
      <c r="J351" s="0" t="str">
        <f aca="false">IF(A351="","",IF(NOT(ISNUMBER(G351)),"BELUM LENGKAP",G351-H351-I351))</f>
        <v/>
      </c>
      <c r="L351" s="0" t="str">
        <f aca="false">IF(A351="","",IF(NOT(ISNUMBER(K351)),"ISI SNAPSHOT HPP",ROUND(E351*K351,0)))</f>
        <v/>
      </c>
      <c r="M351" s="0" t="str">
        <f aca="false">IF(A351="","",IF(NOT(ISNUMBER(L351)),"BELUM LENGKAP",J351-L351))</f>
        <v/>
      </c>
      <c r="N351" s="0" t="str">
        <f aca="false">IF(B351="","",IF(COUNTIFS('RESEP DAN HPP'!$A$5:$A$504,B351,'RESEP DAN HPP'!$N$5:$N$504,"LENGKAP")=0,"BELUM LENGKAP",INDEX('RESEP DAN HPP'!$J$5:$J$504,MATCH(B351,'RESEP DAN HPP'!$A$5:$A$504,0))))</f>
        <v/>
      </c>
      <c r="P351" s="0" t="str">
        <f aca="false">IF(A351="","",IF(COUNTIFS('TRANSAKSI PENJUALAN'!$A$5:$A$504,A351)=0,"BELUM ADA",INDEX('TRANSAKSI PENJUALAN'!$B$5:$B$504,MATCH(A351,'TRANSAKSI PENJUALAN'!$A$5:$A$504,0))))</f>
        <v/>
      </c>
      <c r="Q351" s="0" t="str">
        <f aca="false">IF(A351="","",IF(COUNTIFS('TRANSAKSI PENJUALAN'!$A$5:$A$504,A351)=0,"BELUM ADA",INDEX('TRANSAKSI PENJUALAN'!$M$5:$M$504,MATCH(A351,'TRANSAKSI PENJUALAN'!$A$5:$A$504,0))))</f>
        <v/>
      </c>
      <c r="R351" s="24" t="str">
        <f aca="false">IF(A351="","",COUNTIF($A$5:A351,A351))</f>
        <v/>
      </c>
      <c r="S351" s="24" t="str">
        <f aca="false">IF(A351="","",A351&amp;"|"&amp;R351)</f>
        <v/>
      </c>
    </row>
    <row r="352" customFormat="false" ht="15" hidden="false" customHeight="false" outlineLevel="0" collapsed="false">
      <c r="C352" s="0" t="str">
        <f aca="false">IF(B352="","",IF(COUNTIFS('MASTER MENU'!$A$5:$A$504,B352)=0,"BELUM ADA",INDEX('MASTER MENU'!$B$5:$B$504,MATCH(B352,'MASTER MENU'!$A$5:$A$504,0))))</f>
        <v/>
      </c>
      <c r="D352" s="0" t="str">
        <f aca="false">IF(B352="","",IF(COUNTIFS('MASTER MENU'!$A$5:$A$504,B352)=0,"BELUM ADA",INDEX('MASTER MENU'!$E$5:$E$504,MATCH(B352,'MASTER MENU'!$A$5:$A$504,0))))</f>
        <v/>
      </c>
      <c r="F352" s="0" t="str">
        <f aca="false">IF(B352="","",IF(COUNTIFS('MASTER MENU'!$A$5:$A$504,B352)=0,"BELUM ADA",INDEX('MASTER MENU'!$F$5:$F$504,MATCH(B352,'MASTER MENU'!$A$5:$A$504,0))))</f>
        <v/>
      </c>
      <c r="G352" s="0" t="str">
        <f aca="false">IF(A352="","",IF(OR(NOT(ISNUMBER(E352)),NOT(ISNUMBER(F352))),"BELUM LENGKAP",ROUND(E352*F352,0)))</f>
        <v/>
      </c>
      <c r="J352" s="0" t="str">
        <f aca="false">IF(A352="","",IF(NOT(ISNUMBER(G352)),"BELUM LENGKAP",G352-H352-I352))</f>
        <v/>
      </c>
      <c r="L352" s="0" t="str">
        <f aca="false">IF(A352="","",IF(NOT(ISNUMBER(K352)),"ISI SNAPSHOT HPP",ROUND(E352*K352,0)))</f>
        <v/>
      </c>
      <c r="M352" s="0" t="str">
        <f aca="false">IF(A352="","",IF(NOT(ISNUMBER(L352)),"BELUM LENGKAP",J352-L352))</f>
        <v/>
      </c>
      <c r="N352" s="0" t="str">
        <f aca="false">IF(B352="","",IF(COUNTIFS('RESEP DAN HPP'!$A$5:$A$504,B352,'RESEP DAN HPP'!$N$5:$N$504,"LENGKAP")=0,"BELUM LENGKAP",INDEX('RESEP DAN HPP'!$J$5:$J$504,MATCH(B352,'RESEP DAN HPP'!$A$5:$A$504,0))))</f>
        <v/>
      </c>
      <c r="P352" s="0" t="str">
        <f aca="false">IF(A352="","",IF(COUNTIFS('TRANSAKSI PENJUALAN'!$A$5:$A$504,A352)=0,"BELUM ADA",INDEX('TRANSAKSI PENJUALAN'!$B$5:$B$504,MATCH(A352,'TRANSAKSI PENJUALAN'!$A$5:$A$504,0))))</f>
        <v/>
      </c>
      <c r="Q352" s="0" t="str">
        <f aca="false">IF(A352="","",IF(COUNTIFS('TRANSAKSI PENJUALAN'!$A$5:$A$504,A352)=0,"BELUM ADA",INDEX('TRANSAKSI PENJUALAN'!$M$5:$M$504,MATCH(A352,'TRANSAKSI PENJUALAN'!$A$5:$A$504,0))))</f>
        <v/>
      </c>
      <c r="R352" s="24" t="str">
        <f aca="false">IF(A352="","",COUNTIF($A$5:A352,A352))</f>
        <v/>
      </c>
      <c r="S352" s="24" t="str">
        <f aca="false">IF(A352="","",A352&amp;"|"&amp;R352)</f>
        <v/>
      </c>
    </row>
    <row r="353" customFormat="false" ht="15" hidden="false" customHeight="false" outlineLevel="0" collapsed="false">
      <c r="C353" s="0" t="str">
        <f aca="false">IF(B353="","",IF(COUNTIFS('MASTER MENU'!$A$5:$A$504,B353)=0,"BELUM ADA",INDEX('MASTER MENU'!$B$5:$B$504,MATCH(B353,'MASTER MENU'!$A$5:$A$504,0))))</f>
        <v/>
      </c>
      <c r="D353" s="0" t="str">
        <f aca="false">IF(B353="","",IF(COUNTIFS('MASTER MENU'!$A$5:$A$504,B353)=0,"BELUM ADA",INDEX('MASTER MENU'!$E$5:$E$504,MATCH(B353,'MASTER MENU'!$A$5:$A$504,0))))</f>
        <v/>
      </c>
      <c r="F353" s="0" t="str">
        <f aca="false">IF(B353="","",IF(COUNTIFS('MASTER MENU'!$A$5:$A$504,B353)=0,"BELUM ADA",INDEX('MASTER MENU'!$F$5:$F$504,MATCH(B353,'MASTER MENU'!$A$5:$A$504,0))))</f>
        <v/>
      </c>
      <c r="G353" s="0" t="str">
        <f aca="false">IF(A353="","",IF(OR(NOT(ISNUMBER(E353)),NOT(ISNUMBER(F353))),"BELUM LENGKAP",ROUND(E353*F353,0)))</f>
        <v/>
      </c>
      <c r="J353" s="0" t="str">
        <f aca="false">IF(A353="","",IF(NOT(ISNUMBER(G353)),"BELUM LENGKAP",G353-H353-I353))</f>
        <v/>
      </c>
      <c r="L353" s="0" t="str">
        <f aca="false">IF(A353="","",IF(NOT(ISNUMBER(K353)),"ISI SNAPSHOT HPP",ROUND(E353*K353,0)))</f>
        <v/>
      </c>
      <c r="M353" s="0" t="str">
        <f aca="false">IF(A353="","",IF(NOT(ISNUMBER(L353)),"BELUM LENGKAP",J353-L353))</f>
        <v/>
      </c>
      <c r="N353" s="0" t="str">
        <f aca="false">IF(B353="","",IF(COUNTIFS('RESEP DAN HPP'!$A$5:$A$504,B353,'RESEP DAN HPP'!$N$5:$N$504,"LENGKAP")=0,"BELUM LENGKAP",INDEX('RESEP DAN HPP'!$J$5:$J$504,MATCH(B353,'RESEP DAN HPP'!$A$5:$A$504,0))))</f>
        <v/>
      </c>
      <c r="P353" s="0" t="str">
        <f aca="false">IF(A353="","",IF(COUNTIFS('TRANSAKSI PENJUALAN'!$A$5:$A$504,A353)=0,"BELUM ADA",INDEX('TRANSAKSI PENJUALAN'!$B$5:$B$504,MATCH(A353,'TRANSAKSI PENJUALAN'!$A$5:$A$504,0))))</f>
        <v/>
      </c>
      <c r="Q353" s="0" t="str">
        <f aca="false">IF(A353="","",IF(COUNTIFS('TRANSAKSI PENJUALAN'!$A$5:$A$504,A353)=0,"BELUM ADA",INDEX('TRANSAKSI PENJUALAN'!$M$5:$M$504,MATCH(A353,'TRANSAKSI PENJUALAN'!$A$5:$A$504,0))))</f>
        <v/>
      </c>
      <c r="R353" s="24" t="str">
        <f aca="false">IF(A353="","",COUNTIF($A$5:A353,A353))</f>
        <v/>
      </c>
      <c r="S353" s="24" t="str">
        <f aca="false">IF(A353="","",A353&amp;"|"&amp;R353)</f>
        <v/>
      </c>
    </row>
    <row r="354" customFormat="false" ht="15" hidden="false" customHeight="false" outlineLevel="0" collapsed="false">
      <c r="C354" s="0" t="str">
        <f aca="false">IF(B354="","",IF(COUNTIFS('MASTER MENU'!$A$5:$A$504,B354)=0,"BELUM ADA",INDEX('MASTER MENU'!$B$5:$B$504,MATCH(B354,'MASTER MENU'!$A$5:$A$504,0))))</f>
        <v/>
      </c>
      <c r="D354" s="0" t="str">
        <f aca="false">IF(B354="","",IF(COUNTIFS('MASTER MENU'!$A$5:$A$504,B354)=0,"BELUM ADA",INDEX('MASTER MENU'!$E$5:$E$504,MATCH(B354,'MASTER MENU'!$A$5:$A$504,0))))</f>
        <v/>
      </c>
      <c r="F354" s="0" t="str">
        <f aca="false">IF(B354="","",IF(COUNTIFS('MASTER MENU'!$A$5:$A$504,B354)=0,"BELUM ADA",INDEX('MASTER MENU'!$F$5:$F$504,MATCH(B354,'MASTER MENU'!$A$5:$A$504,0))))</f>
        <v/>
      </c>
      <c r="G354" s="0" t="str">
        <f aca="false">IF(A354="","",IF(OR(NOT(ISNUMBER(E354)),NOT(ISNUMBER(F354))),"BELUM LENGKAP",ROUND(E354*F354,0)))</f>
        <v/>
      </c>
      <c r="J354" s="0" t="str">
        <f aca="false">IF(A354="","",IF(NOT(ISNUMBER(G354)),"BELUM LENGKAP",G354-H354-I354))</f>
        <v/>
      </c>
      <c r="L354" s="0" t="str">
        <f aca="false">IF(A354="","",IF(NOT(ISNUMBER(K354)),"ISI SNAPSHOT HPP",ROUND(E354*K354,0)))</f>
        <v/>
      </c>
      <c r="M354" s="0" t="str">
        <f aca="false">IF(A354="","",IF(NOT(ISNUMBER(L354)),"BELUM LENGKAP",J354-L354))</f>
        <v/>
      </c>
      <c r="N354" s="0" t="str">
        <f aca="false">IF(B354="","",IF(COUNTIFS('RESEP DAN HPP'!$A$5:$A$504,B354,'RESEP DAN HPP'!$N$5:$N$504,"LENGKAP")=0,"BELUM LENGKAP",INDEX('RESEP DAN HPP'!$J$5:$J$504,MATCH(B354,'RESEP DAN HPP'!$A$5:$A$504,0))))</f>
        <v/>
      </c>
      <c r="P354" s="0" t="str">
        <f aca="false">IF(A354="","",IF(COUNTIFS('TRANSAKSI PENJUALAN'!$A$5:$A$504,A354)=0,"BELUM ADA",INDEX('TRANSAKSI PENJUALAN'!$B$5:$B$504,MATCH(A354,'TRANSAKSI PENJUALAN'!$A$5:$A$504,0))))</f>
        <v/>
      </c>
      <c r="Q354" s="0" t="str">
        <f aca="false">IF(A354="","",IF(COUNTIFS('TRANSAKSI PENJUALAN'!$A$5:$A$504,A354)=0,"BELUM ADA",INDEX('TRANSAKSI PENJUALAN'!$M$5:$M$504,MATCH(A354,'TRANSAKSI PENJUALAN'!$A$5:$A$504,0))))</f>
        <v/>
      </c>
      <c r="R354" s="24" t="str">
        <f aca="false">IF(A354="","",COUNTIF($A$5:A354,A354))</f>
        <v/>
      </c>
      <c r="S354" s="24" t="str">
        <f aca="false">IF(A354="","",A354&amp;"|"&amp;R354)</f>
        <v/>
      </c>
    </row>
    <row r="355" customFormat="false" ht="15" hidden="false" customHeight="false" outlineLevel="0" collapsed="false">
      <c r="C355" s="0" t="str">
        <f aca="false">IF(B355="","",IF(COUNTIFS('MASTER MENU'!$A$5:$A$504,B355)=0,"BELUM ADA",INDEX('MASTER MENU'!$B$5:$B$504,MATCH(B355,'MASTER MENU'!$A$5:$A$504,0))))</f>
        <v/>
      </c>
      <c r="D355" s="0" t="str">
        <f aca="false">IF(B355="","",IF(COUNTIFS('MASTER MENU'!$A$5:$A$504,B355)=0,"BELUM ADA",INDEX('MASTER MENU'!$E$5:$E$504,MATCH(B355,'MASTER MENU'!$A$5:$A$504,0))))</f>
        <v/>
      </c>
      <c r="F355" s="0" t="str">
        <f aca="false">IF(B355="","",IF(COUNTIFS('MASTER MENU'!$A$5:$A$504,B355)=0,"BELUM ADA",INDEX('MASTER MENU'!$F$5:$F$504,MATCH(B355,'MASTER MENU'!$A$5:$A$504,0))))</f>
        <v/>
      </c>
      <c r="G355" s="0" t="str">
        <f aca="false">IF(A355="","",IF(OR(NOT(ISNUMBER(E355)),NOT(ISNUMBER(F355))),"BELUM LENGKAP",ROUND(E355*F355,0)))</f>
        <v/>
      </c>
      <c r="J355" s="0" t="str">
        <f aca="false">IF(A355="","",IF(NOT(ISNUMBER(G355)),"BELUM LENGKAP",G355-H355-I355))</f>
        <v/>
      </c>
      <c r="L355" s="0" t="str">
        <f aca="false">IF(A355="","",IF(NOT(ISNUMBER(K355)),"ISI SNAPSHOT HPP",ROUND(E355*K355,0)))</f>
        <v/>
      </c>
      <c r="M355" s="0" t="str">
        <f aca="false">IF(A355="","",IF(NOT(ISNUMBER(L355)),"BELUM LENGKAP",J355-L355))</f>
        <v/>
      </c>
      <c r="N355" s="0" t="str">
        <f aca="false">IF(B355="","",IF(COUNTIFS('RESEP DAN HPP'!$A$5:$A$504,B355,'RESEP DAN HPP'!$N$5:$N$504,"LENGKAP")=0,"BELUM LENGKAP",INDEX('RESEP DAN HPP'!$J$5:$J$504,MATCH(B355,'RESEP DAN HPP'!$A$5:$A$504,0))))</f>
        <v/>
      </c>
      <c r="P355" s="0" t="str">
        <f aca="false">IF(A355="","",IF(COUNTIFS('TRANSAKSI PENJUALAN'!$A$5:$A$504,A355)=0,"BELUM ADA",INDEX('TRANSAKSI PENJUALAN'!$B$5:$B$504,MATCH(A355,'TRANSAKSI PENJUALAN'!$A$5:$A$504,0))))</f>
        <v/>
      </c>
      <c r="Q355" s="0" t="str">
        <f aca="false">IF(A355="","",IF(COUNTIFS('TRANSAKSI PENJUALAN'!$A$5:$A$504,A355)=0,"BELUM ADA",INDEX('TRANSAKSI PENJUALAN'!$M$5:$M$504,MATCH(A355,'TRANSAKSI PENJUALAN'!$A$5:$A$504,0))))</f>
        <v/>
      </c>
      <c r="R355" s="24" t="str">
        <f aca="false">IF(A355="","",COUNTIF($A$5:A355,A355))</f>
        <v/>
      </c>
      <c r="S355" s="24" t="str">
        <f aca="false">IF(A355="","",A355&amp;"|"&amp;R355)</f>
        <v/>
      </c>
    </row>
    <row r="356" customFormat="false" ht="15" hidden="false" customHeight="false" outlineLevel="0" collapsed="false">
      <c r="C356" s="0" t="str">
        <f aca="false">IF(B356="","",IF(COUNTIFS('MASTER MENU'!$A$5:$A$504,B356)=0,"BELUM ADA",INDEX('MASTER MENU'!$B$5:$B$504,MATCH(B356,'MASTER MENU'!$A$5:$A$504,0))))</f>
        <v/>
      </c>
      <c r="D356" s="0" t="str">
        <f aca="false">IF(B356="","",IF(COUNTIFS('MASTER MENU'!$A$5:$A$504,B356)=0,"BELUM ADA",INDEX('MASTER MENU'!$E$5:$E$504,MATCH(B356,'MASTER MENU'!$A$5:$A$504,0))))</f>
        <v/>
      </c>
      <c r="F356" s="0" t="str">
        <f aca="false">IF(B356="","",IF(COUNTIFS('MASTER MENU'!$A$5:$A$504,B356)=0,"BELUM ADA",INDEX('MASTER MENU'!$F$5:$F$504,MATCH(B356,'MASTER MENU'!$A$5:$A$504,0))))</f>
        <v/>
      </c>
      <c r="G356" s="0" t="str">
        <f aca="false">IF(A356="","",IF(OR(NOT(ISNUMBER(E356)),NOT(ISNUMBER(F356))),"BELUM LENGKAP",ROUND(E356*F356,0)))</f>
        <v/>
      </c>
      <c r="J356" s="0" t="str">
        <f aca="false">IF(A356="","",IF(NOT(ISNUMBER(G356)),"BELUM LENGKAP",G356-H356-I356))</f>
        <v/>
      </c>
      <c r="L356" s="0" t="str">
        <f aca="false">IF(A356="","",IF(NOT(ISNUMBER(K356)),"ISI SNAPSHOT HPP",ROUND(E356*K356,0)))</f>
        <v/>
      </c>
      <c r="M356" s="0" t="str">
        <f aca="false">IF(A356="","",IF(NOT(ISNUMBER(L356)),"BELUM LENGKAP",J356-L356))</f>
        <v/>
      </c>
      <c r="N356" s="0" t="str">
        <f aca="false">IF(B356="","",IF(COUNTIFS('RESEP DAN HPP'!$A$5:$A$504,B356,'RESEP DAN HPP'!$N$5:$N$504,"LENGKAP")=0,"BELUM LENGKAP",INDEX('RESEP DAN HPP'!$J$5:$J$504,MATCH(B356,'RESEP DAN HPP'!$A$5:$A$504,0))))</f>
        <v/>
      </c>
      <c r="P356" s="0" t="str">
        <f aca="false">IF(A356="","",IF(COUNTIFS('TRANSAKSI PENJUALAN'!$A$5:$A$504,A356)=0,"BELUM ADA",INDEX('TRANSAKSI PENJUALAN'!$B$5:$B$504,MATCH(A356,'TRANSAKSI PENJUALAN'!$A$5:$A$504,0))))</f>
        <v/>
      </c>
      <c r="Q356" s="0" t="str">
        <f aca="false">IF(A356="","",IF(COUNTIFS('TRANSAKSI PENJUALAN'!$A$5:$A$504,A356)=0,"BELUM ADA",INDEX('TRANSAKSI PENJUALAN'!$M$5:$M$504,MATCH(A356,'TRANSAKSI PENJUALAN'!$A$5:$A$504,0))))</f>
        <v/>
      </c>
      <c r="R356" s="24" t="str">
        <f aca="false">IF(A356="","",COUNTIF($A$5:A356,A356))</f>
        <v/>
      </c>
      <c r="S356" s="24" t="str">
        <f aca="false">IF(A356="","",A356&amp;"|"&amp;R356)</f>
        <v/>
      </c>
    </row>
    <row r="357" customFormat="false" ht="15" hidden="false" customHeight="false" outlineLevel="0" collapsed="false">
      <c r="C357" s="0" t="str">
        <f aca="false">IF(B357="","",IF(COUNTIFS('MASTER MENU'!$A$5:$A$504,B357)=0,"BELUM ADA",INDEX('MASTER MENU'!$B$5:$B$504,MATCH(B357,'MASTER MENU'!$A$5:$A$504,0))))</f>
        <v/>
      </c>
      <c r="D357" s="0" t="str">
        <f aca="false">IF(B357="","",IF(COUNTIFS('MASTER MENU'!$A$5:$A$504,B357)=0,"BELUM ADA",INDEX('MASTER MENU'!$E$5:$E$504,MATCH(B357,'MASTER MENU'!$A$5:$A$504,0))))</f>
        <v/>
      </c>
      <c r="F357" s="0" t="str">
        <f aca="false">IF(B357="","",IF(COUNTIFS('MASTER MENU'!$A$5:$A$504,B357)=0,"BELUM ADA",INDEX('MASTER MENU'!$F$5:$F$504,MATCH(B357,'MASTER MENU'!$A$5:$A$504,0))))</f>
        <v/>
      </c>
      <c r="G357" s="0" t="str">
        <f aca="false">IF(A357="","",IF(OR(NOT(ISNUMBER(E357)),NOT(ISNUMBER(F357))),"BELUM LENGKAP",ROUND(E357*F357,0)))</f>
        <v/>
      </c>
      <c r="J357" s="0" t="str">
        <f aca="false">IF(A357="","",IF(NOT(ISNUMBER(G357)),"BELUM LENGKAP",G357-H357-I357))</f>
        <v/>
      </c>
      <c r="L357" s="0" t="str">
        <f aca="false">IF(A357="","",IF(NOT(ISNUMBER(K357)),"ISI SNAPSHOT HPP",ROUND(E357*K357,0)))</f>
        <v/>
      </c>
      <c r="M357" s="0" t="str">
        <f aca="false">IF(A357="","",IF(NOT(ISNUMBER(L357)),"BELUM LENGKAP",J357-L357))</f>
        <v/>
      </c>
      <c r="N357" s="0" t="str">
        <f aca="false">IF(B357="","",IF(COUNTIFS('RESEP DAN HPP'!$A$5:$A$504,B357,'RESEP DAN HPP'!$N$5:$N$504,"LENGKAP")=0,"BELUM LENGKAP",INDEX('RESEP DAN HPP'!$J$5:$J$504,MATCH(B357,'RESEP DAN HPP'!$A$5:$A$504,0))))</f>
        <v/>
      </c>
      <c r="P357" s="0" t="str">
        <f aca="false">IF(A357="","",IF(COUNTIFS('TRANSAKSI PENJUALAN'!$A$5:$A$504,A357)=0,"BELUM ADA",INDEX('TRANSAKSI PENJUALAN'!$B$5:$B$504,MATCH(A357,'TRANSAKSI PENJUALAN'!$A$5:$A$504,0))))</f>
        <v/>
      </c>
      <c r="Q357" s="0" t="str">
        <f aca="false">IF(A357="","",IF(COUNTIFS('TRANSAKSI PENJUALAN'!$A$5:$A$504,A357)=0,"BELUM ADA",INDEX('TRANSAKSI PENJUALAN'!$M$5:$M$504,MATCH(A357,'TRANSAKSI PENJUALAN'!$A$5:$A$504,0))))</f>
        <v/>
      </c>
      <c r="R357" s="24" t="str">
        <f aca="false">IF(A357="","",COUNTIF($A$5:A357,A357))</f>
        <v/>
      </c>
      <c r="S357" s="24" t="str">
        <f aca="false">IF(A357="","",A357&amp;"|"&amp;R357)</f>
        <v/>
      </c>
    </row>
    <row r="358" customFormat="false" ht="15" hidden="false" customHeight="false" outlineLevel="0" collapsed="false">
      <c r="C358" s="0" t="str">
        <f aca="false">IF(B358="","",IF(COUNTIFS('MASTER MENU'!$A$5:$A$504,B358)=0,"BELUM ADA",INDEX('MASTER MENU'!$B$5:$B$504,MATCH(B358,'MASTER MENU'!$A$5:$A$504,0))))</f>
        <v/>
      </c>
      <c r="D358" s="0" t="str">
        <f aca="false">IF(B358="","",IF(COUNTIFS('MASTER MENU'!$A$5:$A$504,B358)=0,"BELUM ADA",INDEX('MASTER MENU'!$E$5:$E$504,MATCH(B358,'MASTER MENU'!$A$5:$A$504,0))))</f>
        <v/>
      </c>
      <c r="F358" s="0" t="str">
        <f aca="false">IF(B358="","",IF(COUNTIFS('MASTER MENU'!$A$5:$A$504,B358)=0,"BELUM ADA",INDEX('MASTER MENU'!$F$5:$F$504,MATCH(B358,'MASTER MENU'!$A$5:$A$504,0))))</f>
        <v/>
      </c>
      <c r="G358" s="0" t="str">
        <f aca="false">IF(A358="","",IF(OR(NOT(ISNUMBER(E358)),NOT(ISNUMBER(F358))),"BELUM LENGKAP",ROUND(E358*F358,0)))</f>
        <v/>
      </c>
      <c r="J358" s="0" t="str">
        <f aca="false">IF(A358="","",IF(NOT(ISNUMBER(G358)),"BELUM LENGKAP",G358-H358-I358))</f>
        <v/>
      </c>
      <c r="L358" s="0" t="str">
        <f aca="false">IF(A358="","",IF(NOT(ISNUMBER(K358)),"ISI SNAPSHOT HPP",ROUND(E358*K358,0)))</f>
        <v/>
      </c>
      <c r="M358" s="0" t="str">
        <f aca="false">IF(A358="","",IF(NOT(ISNUMBER(L358)),"BELUM LENGKAP",J358-L358))</f>
        <v/>
      </c>
      <c r="N358" s="0" t="str">
        <f aca="false">IF(B358="","",IF(COUNTIFS('RESEP DAN HPP'!$A$5:$A$504,B358,'RESEP DAN HPP'!$N$5:$N$504,"LENGKAP")=0,"BELUM LENGKAP",INDEX('RESEP DAN HPP'!$J$5:$J$504,MATCH(B358,'RESEP DAN HPP'!$A$5:$A$504,0))))</f>
        <v/>
      </c>
      <c r="P358" s="0" t="str">
        <f aca="false">IF(A358="","",IF(COUNTIFS('TRANSAKSI PENJUALAN'!$A$5:$A$504,A358)=0,"BELUM ADA",INDEX('TRANSAKSI PENJUALAN'!$B$5:$B$504,MATCH(A358,'TRANSAKSI PENJUALAN'!$A$5:$A$504,0))))</f>
        <v/>
      </c>
      <c r="Q358" s="0" t="str">
        <f aca="false">IF(A358="","",IF(COUNTIFS('TRANSAKSI PENJUALAN'!$A$5:$A$504,A358)=0,"BELUM ADA",INDEX('TRANSAKSI PENJUALAN'!$M$5:$M$504,MATCH(A358,'TRANSAKSI PENJUALAN'!$A$5:$A$504,0))))</f>
        <v/>
      </c>
      <c r="R358" s="24" t="str">
        <f aca="false">IF(A358="","",COUNTIF($A$5:A358,A358))</f>
        <v/>
      </c>
      <c r="S358" s="24" t="str">
        <f aca="false">IF(A358="","",A358&amp;"|"&amp;R358)</f>
        <v/>
      </c>
    </row>
    <row r="359" customFormat="false" ht="15" hidden="false" customHeight="false" outlineLevel="0" collapsed="false">
      <c r="C359" s="0" t="str">
        <f aca="false">IF(B359="","",IF(COUNTIFS('MASTER MENU'!$A$5:$A$504,B359)=0,"BELUM ADA",INDEX('MASTER MENU'!$B$5:$B$504,MATCH(B359,'MASTER MENU'!$A$5:$A$504,0))))</f>
        <v/>
      </c>
      <c r="D359" s="0" t="str">
        <f aca="false">IF(B359="","",IF(COUNTIFS('MASTER MENU'!$A$5:$A$504,B359)=0,"BELUM ADA",INDEX('MASTER MENU'!$E$5:$E$504,MATCH(B359,'MASTER MENU'!$A$5:$A$504,0))))</f>
        <v/>
      </c>
      <c r="F359" s="0" t="str">
        <f aca="false">IF(B359="","",IF(COUNTIFS('MASTER MENU'!$A$5:$A$504,B359)=0,"BELUM ADA",INDEX('MASTER MENU'!$F$5:$F$504,MATCH(B359,'MASTER MENU'!$A$5:$A$504,0))))</f>
        <v/>
      </c>
      <c r="G359" s="0" t="str">
        <f aca="false">IF(A359="","",IF(OR(NOT(ISNUMBER(E359)),NOT(ISNUMBER(F359))),"BELUM LENGKAP",ROUND(E359*F359,0)))</f>
        <v/>
      </c>
      <c r="J359" s="0" t="str">
        <f aca="false">IF(A359="","",IF(NOT(ISNUMBER(G359)),"BELUM LENGKAP",G359-H359-I359))</f>
        <v/>
      </c>
      <c r="L359" s="0" t="str">
        <f aca="false">IF(A359="","",IF(NOT(ISNUMBER(K359)),"ISI SNAPSHOT HPP",ROUND(E359*K359,0)))</f>
        <v/>
      </c>
      <c r="M359" s="0" t="str">
        <f aca="false">IF(A359="","",IF(NOT(ISNUMBER(L359)),"BELUM LENGKAP",J359-L359))</f>
        <v/>
      </c>
      <c r="N359" s="0" t="str">
        <f aca="false">IF(B359="","",IF(COUNTIFS('RESEP DAN HPP'!$A$5:$A$504,B359,'RESEP DAN HPP'!$N$5:$N$504,"LENGKAP")=0,"BELUM LENGKAP",INDEX('RESEP DAN HPP'!$J$5:$J$504,MATCH(B359,'RESEP DAN HPP'!$A$5:$A$504,0))))</f>
        <v/>
      </c>
      <c r="P359" s="0" t="str">
        <f aca="false">IF(A359="","",IF(COUNTIFS('TRANSAKSI PENJUALAN'!$A$5:$A$504,A359)=0,"BELUM ADA",INDEX('TRANSAKSI PENJUALAN'!$B$5:$B$504,MATCH(A359,'TRANSAKSI PENJUALAN'!$A$5:$A$504,0))))</f>
        <v/>
      </c>
      <c r="Q359" s="0" t="str">
        <f aca="false">IF(A359="","",IF(COUNTIFS('TRANSAKSI PENJUALAN'!$A$5:$A$504,A359)=0,"BELUM ADA",INDEX('TRANSAKSI PENJUALAN'!$M$5:$M$504,MATCH(A359,'TRANSAKSI PENJUALAN'!$A$5:$A$504,0))))</f>
        <v/>
      </c>
      <c r="R359" s="24" t="str">
        <f aca="false">IF(A359="","",COUNTIF($A$5:A359,A359))</f>
        <v/>
      </c>
      <c r="S359" s="24" t="str">
        <f aca="false">IF(A359="","",A359&amp;"|"&amp;R359)</f>
        <v/>
      </c>
    </row>
    <row r="360" customFormat="false" ht="15" hidden="false" customHeight="false" outlineLevel="0" collapsed="false">
      <c r="C360" s="0" t="str">
        <f aca="false">IF(B360="","",IF(COUNTIFS('MASTER MENU'!$A$5:$A$504,B360)=0,"BELUM ADA",INDEX('MASTER MENU'!$B$5:$B$504,MATCH(B360,'MASTER MENU'!$A$5:$A$504,0))))</f>
        <v/>
      </c>
      <c r="D360" s="0" t="str">
        <f aca="false">IF(B360="","",IF(COUNTIFS('MASTER MENU'!$A$5:$A$504,B360)=0,"BELUM ADA",INDEX('MASTER MENU'!$E$5:$E$504,MATCH(B360,'MASTER MENU'!$A$5:$A$504,0))))</f>
        <v/>
      </c>
      <c r="F360" s="0" t="str">
        <f aca="false">IF(B360="","",IF(COUNTIFS('MASTER MENU'!$A$5:$A$504,B360)=0,"BELUM ADA",INDEX('MASTER MENU'!$F$5:$F$504,MATCH(B360,'MASTER MENU'!$A$5:$A$504,0))))</f>
        <v/>
      </c>
      <c r="G360" s="0" t="str">
        <f aca="false">IF(A360="","",IF(OR(NOT(ISNUMBER(E360)),NOT(ISNUMBER(F360))),"BELUM LENGKAP",ROUND(E360*F360,0)))</f>
        <v/>
      </c>
      <c r="J360" s="0" t="str">
        <f aca="false">IF(A360="","",IF(NOT(ISNUMBER(G360)),"BELUM LENGKAP",G360-H360-I360))</f>
        <v/>
      </c>
      <c r="L360" s="0" t="str">
        <f aca="false">IF(A360="","",IF(NOT(ISNUMBER(K360)),"ISI SNAPSHOT HPP",ROUND(E360*K360,0)))</f>
        <v/>
      </c>
      <c r="M360" s="0" t="str">
        <f aca="false">IF(A360="","",IF(NOT(ISNUMBER(L360)),"BELUM LENGKAP",J360-L360))</f>
        <v/>
      </c>
      <c r="N360" s="0" t="str">
        <f aca="false">IF(B360="","",IF(COUNTIFS('RESEP DAN HPP'!$A$5:$A$504,B360,'RESEP DAN HPP'!$N$5:$N$504,"LENGKAP")=0,"BELUM LENGKAP",INDEX('RESEP DAN HPP'!$J$5:$J$504,MATCH(B360,'RESEP DAN HPP'!$A$5:$A$504,0))))</f>
        <v/>
      </c>
      <c r="P360" s="0" t="str">
        <f aca="false">IF(A360="","",IF(COUNTIFS('TRANSAKSI PENJUALAN'!$A$5:$A$504,A360)=0,"BELUM ADA",INDEX('TRANSAKSI PENJUALAN'!$B$5:$B$504,MATCH(A360,'TRANSAKSI PENJUALAN'!$A$5:$A$504,0))))</f>
        <v/>
      </c>
      <c r="Q360" s="0" t="str">
        <f aca="false">IF(A360="","",IF(COUNTIFS('TRANSAKSI PENJUALAN'!$A$5:$A$504,A360)=0,"BELUM ADA",INDEX('TRANSAKSI PENJUALAN'!$M$5:$M$504,MATCH(A360,'TRANSAKSI PENJUALAN'!$A$5:$A$504,0))))</f>
        <v/>
      </c>
      <c r="R360" s="24" t="str">
        <f aca="false">IF(A360="","",COUNTIF($A$5:A360,A360))</f>
        <v/>
      </c>
      <c r="S360" s="24" t="str">
        <f aca="false">IF(A360="","",A360&amp;"|"&amp;R360)</f>
        <v/>
      </c>
    </row>
    <row r="361" customFormat="false" ht="15" hidden="false" customHeight="false" outlineLevel="0" collapsed="false">
      <c r="C361" s="0" t="str">
        <f aca="false">IF(B361="","",IF(COUNTIFS('MASTER MENU'!$A$5:$A$504,B361)=0,"BELUM ADA",INDEX('MASTER MENU'!$B$5:$B$504,MATCH(B361,'MASTER MENU'!$A$5:$A$504,0))))</f>
        <v/>
      </c>
      <c r="D361" s="0" t="str">
        <f aca="false">IF(B361="","",IF(COUNTIFS('MASTER MENU'!$A$5:$A$504,B361)=0,"BELUM ADA",INDEX('MASTER MENU'!$E$5:$E$504,MATCH(B361,'MASTER MENU'!$A$5:$A$504,0))))</f>
        <v/>
      </c>
      <c r="F361" s="0" t="str">
        <f aca="false">IF(B361="","",IF(COUNTIFS('MASTER MENU'!$A$5:$A$504,B361)=0,"BELUM ADA",INDEX('MASTER MENU'!$F$5:$F$504,MATCH(B361,'MASTER MENU'!$A$5:$A$504,0))))</f>
        <v/>
      </c>
      <c r="G361" s="0" t="str">
        <f aca="false">IF(A361="","",IF(OR(NOT(ISNUMBER(E361)),NOT(ISNUMBER(F361))),"BELUM LENGKAP",ROUND(E361*F361,0)))</f>
        <v/>
      </c>
      <c r="J361" s="0" t="str">
        <f aca="false">IF(A361="","",IF(NOT(ISNUMBER(G361)),"BELUM LENGKAP",G361-H361-I361))</f>
        <v/>
      </c>
      <c r="L361" s="0" t="str">
        <f aca="false">IF(A361="","",IF(NOT(ISNUMBER(K361)),"ISI SNAPSHOT HPP",ROUND(E361*K361,0)))</f>
        <v/>
      </c>
      <c r="M361" s="0" t="str">
        <f aca="false">IF(A361="","",IF(NOT(ISNUMBER(L361)),"BELUM LENGKAP",J361-L361))</f>
        <v/>
      </c>
      <c r="N361" s="0" t="str">
        <f aca="false">IF(B361="","",IF(COUNTIFS('RESEP DAN HPP'!$A$5:$A$504,B361,'RESEP DAN HPP'!$N$5:$N$504,"LENGKAP")=0,"BELUM LENGKAP",INDEX('RESEP DAN HPP'!$J$5:$J$504,MATCH(B361,'RESEP DAN HPP'!$A$5:$A$504,0))))</f>
        <v/>
      </c>
      <c r="P361" s="0" t="str">
        <f aca="false">IF(A361="","",IF(COUNTIFS('TRANSAKSI PENJUALAN'!$A$5:$A$504,A361)=0,"BELUM ADA",INDEX('TRANSAKSI PENJUALAN'!$B$5:$B$504,MATCH(A361,'TRANSAKSI PENJUALAN'!$A$5:$A$504,0))))</f>
        <v/>
      </c>
      <c r="Q361" s="0" t="str">
        <f aca="false">IF(A361="","",IF(COUNTIFS('TRANSAKSI PENJUALAN'!$A$5:$A$504,A361)=0,"BELUM ADA",INDEX('TRANSAKSI PENJUALAN'!$M$5:$M$504,MATCH(A361,'TRANSAKSI PENJUALAN'!$A$5:$A$504,0))))</f>
        <v/>
      </c>
      <c r="R361" s="24" t="str">
        <f aca="false">IF(A361="","",COUNTIF($A$5:A361,A361))</f>
        <v/>
      </c>
      <c r="S361" s="24" t="str">
        <f aca="false">IF(A361="","",A361&amp;"|"&amp;R361)</f>
        <v/>
      </c>
    </row>
    <row r="362" customFormat="false" ht="15" hidden="false" customHeight="false" outlineLevel="0" collapsed="false">
      <c r="C362" s="0" t="str">
        <f aca="false">IF(B362="","",IF(COUNTIFS('MASTER MENU'!$A$5:$A$504,B362)=0,"BELUM ADA",INDEX('MASTER MENU'!$B$5:$B$504,MATCH(B362,'MASTER MENU'!$A$5:$A$504,0))))</f>
        <v/>
      </c>
      <c r="D362" s="0" t="str">
        <f aca="false">IF(B362="","",IF(COUNTIFS('MASTER MENU'!$A$5:$A$504,B362)=0,"BELUM ADA",INDEX('MASTER MENU'!$E$5:$E$504,MATCH(B362,'MASTER MENU'!$A$5:$A$504,0))))</f>
        <v/>
      </c>
      <c r="F362" s="0" t="str">
        <f aca="false">IF(B362="","",IF(COUNTIFS('MASTER MENU'!$A$5:$A$504,B362)=0,"BELUM ADA",INDEX('MASTER MENU'!$F$5:$F$504,MATCH(B362,'MASTER MENU'!$A$5:$A$504,0))))</f>
        <v/>
      </c>
      <c r="G362" s="0" t="str">
        <f aca="false">IF(A362="","",IF(OR(NOT(ISNUMBER(E362)),NOT(ISNUMBER(F362))),"BELUM LENGKAP",ROUND(E362*F362,0)))</f>
        <v/>
      </c>
      <c r="J362" s="0" t="str">
        <f aca="false">IF(A362="","",IF(NOT(ISNUMBER(G362)),"BELUM LENGKAP",G362-H362-I362))</f>
        <v/>
      </c>
      <c r="L362" s="0" t="str">
        <f aca="false">IF(A362="","",IF(NOT(ISNUMBER(K362)),"ISI SNAPSHOT HPP",ROUND(E362*K362,0)))</f>
        <v/>
      </c>
      <c r="M362" s="0" t="str">
        <f aca="false">IF(A362="","",IF(NOT(ISNUMBER(L362)),"BELUM LENGKAP",J362-L362))</f>
        <v/>
      </c>
      <c r="N362" s="0" t="str">
        <f aca="false">IF(B362="","",IF(COUNTIFS('RESEP DAN HPP'!$A$5:$A$504,B362,'RESEP DAN HPP'!$N$5:$N$504,"LENGKAP")=0,"BELUM LENGKAP",INDEX('RESEP DAN HPP'!$J$5:$J$504,MATCH(B362,'RESEP DAN HPP'!$A$5:$A$504,0))))</f>
        <v/>
      </c>
      <c r="P362" s="0" t="str">
        <f aca="false">IF(A362="","",IF(COUNTIFS('TRANSAKSI PENJUALAN'!$A$5:$A$504,A362)=0,"BELUM ADA",INDEX('TRANSAKSI PENJUALAN'!$B$5:$B$504,MATCH(A362,'TRANSAKSI PENJUALAN'!$A$5:$A$504,0))))</f>
        <v/>
      </c>
      <c r="Q362" s="0" t="str">
        <f aca="false">IF(A362="","",IF(COUNTIFS('TRANSAKSI PENJUALAN'!$A$5:$A$504,A362)=0,"BELUM ADA",INDEX('TRANSAKSI PENJUALAN'!$M$5:$M$504,MATCH(A362,'TRANSAKSI PENJUALAN'!$A$5:$A$504,0))))</f>
        <v/>
      </c>
      <c r="R362" s="24" t="str">
        <f aca="false">IF(A362="","",COUNTIF($A$5:A362,A362))</f>
        <v/>
      </c>
      <c r="S362" s="24" t="str">
        <f aca="false">IF(A362="","",A362&amp;"|"&amp;R362)</f>
        <v/>
      </c>
    </row>
    <row r="363" customFormat="false" ht="15" hidden="false" customHeight="false" outlineLevel="0" collapsed="false">
      <c r="C363" s="0" t="str">
        <f aca="false">IF(B363="","",IF(COUNTIFS('MASTER MENU'!$A$5:$A$504,B363)=0,"BELUM ADA",INDEX('MASTER MENU'!$B$5:$B$504,MATCH(B363,'MASTER MENU'!$A$5:$A$504,0))))</f>
        <v/>
      </c>
      <c r="D363" s="0" t="str">
        <f aca="false">IF(B363="","",IF(COUNTIFS('MASTER MENU'!$A$5:$A$504,B363)=0,"BELUM ADA",INDEX('MASTER MENU'!$E$5:$E$504,MATCH(B363,'MASTER MENU'!$A$5:$A$504,0))))</f>
        <v/>
      </c>
      <c r="F363" s="0" t="str">
        <f aca="false">IF(B363="","",IF(COUNTIFS('MASTER MENU'!$A$5:$A$504,B363)=0,"BELUM ADA",INDEX('MASTER MENU'!$F$5:$F$504,MATCH(B363,'MASTER MENU'!$A$5:$A$504,0))))</f>
        <v/>
      </c>
      <c r="G363" s="0" t="str">
        <f aca="false">IF(A363="","",IF(OR(NOT(ISNUMBER(E363)),NOT(ISNUMBER(F363))),"BELUM LENGKAP",ROUND(E363*F363,0)))</f>
        <v/>
      </c>
      <c r="J363" s="0" t="str">
        <f aca="false">IF(A363="","",IF(NOT(ISNUMBER(G363)),"BELUM LENGKAP",G363-H363-I363))</f>
        <v/>
      </c>
      <c r="L363" s="0" t="str">
        <f aca="false">IF(A363="","",IF(NOT(ISNUMBER(K363)),"ISI SNAPSHOT HPP",ROUND(E363*K363,0)))</f>
        <v/>
      </c>
      <c r="M363" s="0" t="str">
        <f aca="false">IF(A363="","",IF(NOT(ISNUMBER(L363)),"BELUM LENGKAP",J363-L363))</f>
        <v/>
      </c>
      <c r="N363" s="0" t="str">
        <f aca="false">IF(B363="","",IF(COUNTIFS('RESEP DAN HPP'!$A$5:$A$504,B363,'RESEP DAN HPP'!$N$5:$N$504,"LENGKAP")=0,"BELUM LENGKAP",INDEX('RESEP DAN HPP'!$J$5:$J$504,MATCH(B363,'RESEP DAN HPP'!$A$5:$A$504,0))))</f>
        <v/>
      </c>
      <c r="P363" s="0" t="str">
        <f aca="false">IF(A363="","",IF(COUNTIFS('TRANSAKSI PENJUALAN'!$A$5:$A$504,A363)=0,"BELUM ADA",INDEX('TRANSAKSI PENJUALAN'!$B$5:$B$504,MATCH(A363,'TRANSAKSI PENJUALAN'!$A$5:$A$504,0))))</f>
        <v/>
      </c>
      <c r="Q363" s="0" t="str">
        <f aca="false">IF(A363="","",IF(COUNTIFS('TRANSAKSI PENJUALAN'!$A$5:$A$504,A363)=0,"BELUM ADA",INDEX('TRANSAKSI PENJUALAN'!$M$5:$M$504,MATCH(A363,'TRANSAKSI PENJUALAN'!$A$5:$A$504,0))))</f>
        <v/>
      </c>
      <c r="R363" s="24" t="str">
        <f aca="false">IF(A363="","",COUNTIF($A$5:A363,A363))</f>
        <v/>
      </c>
      <c r="S363" s="24" t="str">
        <f aca="false">IF(A363="","",A363&amp;"|"&amp;R363)</f>
        <v/>
      </c>
    </row>
    <row r="364" customFormat="false" ht="15" hidden="false" customHeight="false" outlineLevel="0" collapsed="false">
      <c r="C364" s="0" t="str">
        <f aca="false">IF(B364="","",IF(COUNTIFS('MASTER MENU'!$A$5:$A$504,B364)=0,"BELUM ADA",INDEX('MASTER MENU'!$B$5:$B$504,MATCH(B364,'MASTER MENU'!$A$5:$A$504,0))))</f>
        <v/>
      </c>
      <c r="D364" s="0" t="str">
        <f aca="false">IF(B364="","",IF(COUNTIFS('MASTER MENU'!$A$5:$A$504,B364)=0,"BELUM ADA",INDEX('MASTER MENU'!$E$5:$E$504,MATCH(B364,'MASTER MENU'!$A$5:$A$504,0))))</f>
        <v/>
      </c>
      <c r="F364" s="0" t="str">
        <f aca="false">IF(B364="","",IF(COUNTIFS('MASTER MENU'!$A$5:$A$504,B364)=0,"BELUM ADA",INDEX('MASTER MENU'!$F$5:$F$504,MATCH(B364,'MASTER MENU'!$A$5:$A$504,0))))</f>
        <v/>
      </c>
      <c r="G364" s="0" t="str">
        <f aca="false">IF(A364="","",IF(OR(NOT(ISNUMBER(E364)),NOT(ISNUMBER(F364))),"BELUM LENGKAP",ROUND(E364*F364,0)))</f>
        <v/>
      </c>
      <c r="J364" s="0" t="str">
        <f aca="false">IF(A364="","",IF(NOT(ISNUMBER(G364)),"BELUM LENGKAP",G364-H364-I364))</f>
        <v/>
      </c>
      <c r="L364" s="0" t="str">
        <f aca="false">IF(A364="","",IF(NOT(ISNUMBER(K364)),"ISI SNAPSHOT HPP",ROUND(E364*K364,0)))</f>
        <v/>
      </c>
      <c r="M364" s="0" t="str">
        <f aca="false">IF(A364="","",IF(NOT(ISNUMBER(L364)),"BELUM LENGKAP",J364-L364))</f>
        <v/>
      </c>
      <c r="N364" s="0" t="str">
        <f aca="false">IF(B364="","",IF(COUNTIFS('RESEP DAN HPP'!$A$5:$A$504,B364,'RESEP DAN HPP'!$N$5:$N$504,"LENGKAP")=0,"BELUM LENGKAP",INDEX('RESEP DAN HPP'!$J$5:$J$504,MATCH(B364,'RESEP DAN HPP'!$A$5:$A$504,0))))</f>
        <v/>
      </c>
      <c r="P364" s="0" t="str">
        <f aca="false">IF(A364="","",IF(COUNTIFS('TRANSAKSI PENJUALAN'!$A$5:$A$504,A364)=0,"BELUM ADA",INDEX('TRANSAKSI PENJUALAN'!$B$5:$B$504,MATCH(A364,'TRANSAKSI PENJUALAN'!$A$5:$A$504,0))))</f>
        <v/>
      </c>
      <c r="Q364" s="0" t="str">
        <f aca="false">IF(A364="","",IF(COUNTIFS('TRANSAKSI PENJUALAN'!$A$5:$A$504,A364)=0,"BELUM ADA",INDEX('TRANSAKSI PENJUALAN'!$M$5:$M$504,MATCH(A364,'TRANSAKSI PENJUALAN'!$A$5:$A$504,0))))</f>
        <v/>
      </c>
      <c r="R364" s="24" t="str">
        <f aca="false">IF(A364="","",COUNTIF($A$5:A364,A364))</f>
        <v/>
      </c>
      <c r="S364" s="24" t="str">
        <f aca="false">IF(A364="","",A364&amp;"|"&amp;R364)</f>
        <v/>
      </c>
    </row>
    <row r="365" customFormat="false" ht="15" hidden="false" customHeight="false" outlineLevel="0" collapsed="false">
      <c r="C365" s="0" t="str">
        <f aca="false">IF(B365="","",IF(COUNTIFS('MASTER MENU'!$A$5:$A$504,B365)=0,"BELUM ADA",INDEX('MASTER MENU'!$B$5:$B$504,MATCH(B365,'MASTER MENU'!$A$5:$A$504,0))))</f>
        <v/>
      </c>
      <c r="D365" s="0" t="str">
        <f aca="false">IF(B365="","",IF(COUNTIFS('MASTER MENU'!$A$5:$A$504,B365)=0,"BELUM ADA",INDEX('MASTER MENU'!$E$5:$E$504,MATCH(B365,'MASTER MENU'!$A$5:$A$504,0))))</f>
        <v/>
      </c>
      <c r="F365" s="0" t="str">
        <f aca="false">IF(B365="","",IF(COUNTIFS('MASTER MENU'!$A$5:$A$504,B365)=0,"BELUM ADA",INDEX('MASTER MENU'!$F$5:$F$504,MATCH(B365,'MASTER MENU'!$A$5:$A$504,0))))</f>
        <v/>
      </c>
      <c r="G365" s="0" t="str">
        <f aca="false">IF(A365="","",IF(OR(NOT(ISNUMBER(E365)),NOT(ISNUMBER(F365))),"BELUM LENGKAP",ROUND(E365*F365,0)))</f>
        <v/>
      </c>
      <c r="J365" s="0" t="str">
        <f aca="false">IF(A365="","",IF(NOT(ISNUMBER(G365)),"BELUM LENGKAP",G365-H365-I365))</f>
        <v/>
      </c>
      <c r="L365" s="0" t="str">
        <f aca="false">IF(A365="","",IF(NOT(ISNUMBER(K365)),"ISI SNAPSHOT HPP",ROUND(E365*K365,0)))</f>
        <v/>
      </c>
      <c r="M365" s="0" t="str">
        <f aca="false">IF(A365="","",IF(NOT(ISNUMBER(L365)),"BELUM LENGKAP",J365-L365))</f>
        <v/>
      </c>
      <c r="N365" s="0" t="str">
        <f aca="false">IF(B365="","",IF(COUNTIFS('RESEP DAN HPP'!$A$5:$A$504,B365,'RESEP DAN HPP'!$N$5:$N$504,"LENGKAP")=0,"BELUM LENGKAP",INDEX('RESEP DAN HPP'!$J$5:$J$504,MATCH(B365,'RESEP DAN HPP'!$A$5:$A$504,0))))</f>
        <v/>
      </c>
      <c r="P365" s="0" t="str">
        <f aca="false">IF(A365="","",IF(COUNTIFS('TRANSAKSI PENJUALAN'!$A$5:$A$504,A365)=0,"BELUM ADA",INDEX('TRANSAKSI PENJUALAN'!$B$5:$B$504,MATCH(A365,'TRANSAKSI PENJUALAN'!$A$5:$A$504,0))))</f>
        <v/>
      </c>
      <c r="Q365" s="0" t="str">
        <f aca="false">IF(A365="","",IF(COUNTIFS('TRANSAKSI PENJUALAN'!$A$5:$A$504,A365)=0,"BELUM ADA",INDEX('TRANSAKSI PENJUALAN'!$M$5:$M$504,MATCH(A365,'TRANSAKSI PENJUALAN'!$A$5:$A$504,0))))</f>
        <v/>
      </c>
      <c r="R365" s="24" t="str">
        <f aca="false">IF(A365="","",COUNTIF($A$5:A365,A365))</f>
        <v/>
      </c>
      <c r="S365" s="24" t="str">
        <f aca="false">IF(A365="","",A365&amp;"|"&amp;R365)</f>
        <v/>
      </c>
    </row>
    <row r="366" customFormat="false" ht="15" hidden="false" customHeight="false" outlineLevel="0" collapsed="false">
      <c r="C366" s="0" t="str">
        <f aca="false">IF(B366="","",IF(COUNTIFS('MASTER MENU'!$A$5:$A$504,B366)=0,"BELUM ADA",INDEX('MASTER MENU'!$B$5:$B$504,MATCH(B366,'MASTER MENU'!$A$5:$A$504,0))))</f>
        <v/>
      </c>
      <c r="D366" s="0" t="str">
        <f aca="false">IF(B366="","",IF(COUNTIFS('MASTER MENU'!$A$5:$A$504,B366)=0,"BELUM ADA",INDEX('MASTER MENU'!$E$5:$E$504,MATCH(B366,'MASTER MENU'!$A$5:$A$504,0))))</f>
        <v/>
      </c>
      <c r="F366" s="0" t="str">
        <f aca="false">IF(B366="","",IF(COUNTIFS('MASTER MENU'!$A$5:$A$504,B366)=0,"BELUM ADA",INDEX('MASTER MENU'!$F$5:$F$504,MATCH(B366,'MASTER MENU'!$A$5:$A$504,0))))</f>
        <v/>
      </c>
      <c r="G366" s="0" t="str">
        <f aca="false">IF(A366="","",IF(OR(NOT(ISNUMBER(E366)),NOT(ISNUMBER(F366))),"BELUM LENGKAP",ROUND(E366*F366,0)))</f>
        <v/>
      </c>
      <c r="J366" s="0" t="str">
        <f aca="false">IF(A366="","",IF(NOT(ISNUMBER(G366)),"BELUM LENGKAP",G366-H366-I366))</f>
        <v/>
      </c>
      <c r="L366" s="0" t="str">
        <f aca="false">IF(A366="","",IF(NOT(ISNUMBER(K366)),"ISI SNAPSHOT HPP",ROUND(E366*K366,0)))</f>
        <v/>
      </c>
      <c r="M366" s="0" t="str">
        <f aca="false">IF(A366="","",IF(NOT(ISNUMBER(L366)),"BELUM LENGKAP",J366-L366))</f>
        <v/>
      </c>
      <c r="N366" s="0" t="str">
        <f aca="false">IF(B366="","",IF(COUNTIFS('RESEP DAN HPP'!$A$5:$A$504,B366,'RESEP DAN HPP'!$N$5:$N$504,"LENGKAP")=0,"BELUM LENGKAP",INDEX('RESEP DAN HPP'!$J$5:$J$504,MATCH(B366,'RESEP DAN HPP'!$A$5:$A$504,0))))</f>
        <v/>
      </c>
      <c r="P366" s="0" t="str">
        <f aca="false">IF(A366="","",IF(COUNTIFS('TRANSAKSI PENJUALAN'!$A$5:$A$504,A366)=0,"BELUM ADA",INDEX('TRANSAKSI PENJUALAN'!$B$5:$B$504,MATCH(A366,'TRANSAKSI PENJUALAN'!$A$5:$A$504,0))))</f>
        <v/>
      </c>
      <c r="Q366" s="0" t="str">
        <f aca="false">IF(A366="","",IF(COUNTIFS('TRANSAKSI PENJUALAN'!$A$5:$A$504,A366)=0,"BELUM ADA",INDEX('TRANSAKSI PENJUALAN'!$M$5:$M$504,MATCH(A366,'TRANSAKSI PENJUALAN'!$A$5:$A$504,0))))</f>
        <v/>
      </c>
      <c r="R366" s="24" t="str">
        <f aca="false">IF(A366="","",COUNTIF($A$5:A366,A366))</f>
        <v/>
      </c>
      <c r="S366" s="24" t="str">
        <f aca="false">IF(A366="","",A366&amp;"|"&amp;R366)</f>
        <v/>
      </c>
    </row>
    <row r="367" customFormat="false" ht="15" hidden="false" customHeight="false" outlineLevel="0" collapsed="false">
      <c r="C367" s="0" t="str">
        <f aca="false">IF(B367="","",IF(COUNTIFS('MASTER MENU'!$A$5:$A$504,B367)=0,"BELUM ADA",INDEX('MASTER MENU'!$B$5:$B$504,MATCH(B367,'MASTER MENU'!$A$5:$A$504,0))))</f>
        <v/>
      </c>
      <c r="D367" s="0" t="str">
        <f aca="false">IF(B367="","",IF(COUNTIFS('MASTER MENU'!$A$5:$A$504,B367)=0,"BELUM ADA",INDEX('MASTER MENU'!$E$5:$E$504,MATCH(B367,'MASTER MENU'!$A$5:$A$504,0))))</f>
        <v/>
      </c>
      <c r="F367" s="0" t="str">
        <f aca="false">IF(B367="","",IF(COUNTIFS('MASTER MENU'!$A$5:$A$504,B367)=0,"BELUM ADA",INDEX('MASTER MENU'!$F$5:$F$504,MATCH(B367,'MASTER MENU'!$A$5:$A$504,0))))</f>
        <v/>
      </c>
      <c r="G367" s="0" t="str">
        <f aca="false">IF(A367="","",IF(OR(NOT(ISNUMBER(E367)),NOT(ISNUMBER(F367))),"BELUM LENGKAP",ROUND(E367*F367,0)))</f>
        <v/>
      </c>
      <c r="J367" s="0" t="str">
        <f aca="false">IF(A367="","",IF(NOT(ISNUMBER(G367)),"BELUM LENGKAP",G367-H367-I367))</f>
        <v/>
      </c>
      <c r="L367" s="0" t="str">
        <f aca="false">IF(A367="","",IF(NOT(ISNUMBER(K367)),"ISI SNAPSHOT HPP",ROUND(E367*K367,0)))</f>
        <v/>
      </c>
      <c r="M367" s="0" t="str">
        <f aca="false">IF(A367="","",IF(NOT(ISNUMBER(L367)),"BELUM LENGKAP",J367-L367))</f>
        <v/>
      </c>
      <c r="N367" s="0" t="str">
        <f aca="false">IF(B367="","",IF(COUNTIFS('RESEP DAN HPP'!$A$5:$A$504,B367,'RESEP DAN HPP'!$N$5:$N$504,"LENGKAP")=0,"BELUM LENGKAP",INDEX('RESEP DAN HPP'!$J$5:$J$504,MATCH(B367,'RESEP DAN HPP'!$A$5:$A$504,0))))</f>
        <v/>
      </c>
      <c r="P367" s="0" t="str">
        <f aca="false">IF(A367="","",IF(COUNTIFS('TRANSAKSI PENJUALAN'!$A$5:$A$504,A367)=0,"BELUM ADA",INDEX('TRANSAKSI PENJUALAN'!$B$5:$B$504,MATCH(A367,'TRANSAKSI PENJUALAN'!$A$5:$A$504,0))))</f>
        <v/>
      </c>
      <c r="Q367" s="0" t="str">
        <f aca="false">IF(A367="","",IF(COUNTIFS('TRANSAKSI PENJUALAN'!$A$5:$A$504,A367)=0,"BELUM ADA",INDEX('TRANSAKSI PENJUALAN'!$M$5:$M$504,MATCH(A367,'TRANSAKSI PENJUALAN'!$A$5:$A$504,0))))</f>
        <v/>
      </c>
      <c r="R367" s="24" t="str">
        <f aca="false">IF(A367="","",COUNTIF($A$5:A367,A367))</f>
        <v/>
      </c>
      <c r="S367" s="24" t="str">
        <f aca="false">IF(A367="","",A367&amp;"|"&amp;R367)</f>
        <v/>
      </c>
    </row>
    <row r="368" customFormat="false" ht="15" hidden="false" customHeight="false" outlineLevel="0" collapsed="false">
      <c r="C368" s="0" t="str">
        <f aca="false">IF(B368="","",IF(COUNTIFS('MASTER MENU'!$A$5:$A$504,B368)=0,"BELUM ADA",INDEX('MASTER MENU'!$B$5:$B$504,MATCH(B368,'MASTER MENU'!$A$5:$A$504,0))))</f>
        <v/>
      </c>
      <c r="D368" s="0" t="str">
        <f aca="false">IF(B368="","",IF(COUNTIFS('MASTER MENU'!$A$5:$A$504,B368)=0,"BELUM ADA",INDEX('MASTER MENU'!$E$5:$E$504,MATCH(B368,'MASTER MENU'!$A$5:$A$504,0))))</f>
        <v/>
      </c>
      <c r="F368" s="0" t="str">
        <f aca="false">IF(B368="","",IF(COUNTIFS('MASTER MENU'!$A$5:$A$504,B368)=0,"BELUM ADA",INDEX('MASTER MENU'!$F$5:$F$504,MATCH(B368,'MASTER MENU'!$A$5:$A$504,0))))</f>
        <v/>
      </c>
      <c r="G368" s="0" t="str">
        <f aca="false">IF(A368="","",IF(OR(NOT(ISNUMBER(E368)),NOT(ISNUMBER(F368))),"BELUM LENGKAP",ROUND(E368*F368,0)))</f>
        <v/>
      </c>
      <c r="J368" s="0" t="str">
        <f aca="false">IF(A368="","",IF(NOT(ISNUMBER(G368)),"BELUM LENGKAP",G368-H368-I368))</f>
        <v/>
      </c>
      <c r="L368" s="0" t="str">
        <f aca="false">IF(A368="","",IF(NOT(ISNUMBER(K368)),"ISI SNAPSHOT HPP",ROUND(E368*K368,0)))</f>
        <v/>
      </c>
      <c r="M368" s="0" t="str">
        <f aca="false">IF(A368="","",IF(NOT(ISNUMBER(L368)),"BELUM LENGKAP",J368-L368))</f>
        <v/>
      </c>
      <c r="N368" s="0" t="str">
        <f aca="false">IF(B368="","",IF(COUNTIFS('RESEP DAN HPP'!$A$5:$A$504,B368,'RESEP DAN HPP'!$N$5:$N$504,"LENGKAP")=0,"BELUM LENGKAP",INDEX('RESEP DAN HPP'!$J$5:$J$504,MATCH(B368,'RESEP DAN HPP'!$A$5:$A$504,0))))</f>
        <v/>
      </c>
      <c r="P368" s="0" t="str">
        <f aca="false">IF(A368="","",IF(COUNTIFS('TRANSAKSI PENJUALAN'!$A$5:$A$504,A368)=0,"BELUM ADA",INDEX('TRANSAKSI PENJUALAN'!$B$5:$B$504,MATCH(A368,'TRANSAKSI PENJUALAN'!$A$5:$A$504,0))))</f>
        <v/>
      </c>
      <c r="Q368" s="0" t="str">
        <f aca="false">IF(A368="","",IF(COUNTIFS('TRANSAKSI PENJUALAN'!$A$5:$A$504,A368)=0,"BELUM ADA",INDEX('TRANSAKSI PENJUALAN'!$M$5:$M$504,MATCH(A368,'TRANSAKSI PENJUALAN'!$A$5:$A$504,0))))</f>
        <v/>
      </c>
      <c r="R368" s="24" t="str">
        <f aca="false">IF(A368="","",COUNTIF($A$5:A368,A368))</f>
        <v/>
      </c>
      <c r="S368" s="24" t="str">
        <f aca="false">IF(A368="","",A368&amp;"|"&amp;R368)</f>
        <v/>
      </c>
    </row>
    <row r="369" customFormat="false" ht="15" hidden="false" customHeight="false" outlineLevel="0" collapsed="false">
      <c r="C369" s="0" t="str">
        <f aca="false">IF(B369="","",IF(COUNTIFS('MASTER MENU'!$A$5:$A$504,B369)=0,"BELUM ADA",INDEX('MASTER MENU'!$B$5:$B$504,MATCH(B369,'MASTER MENU'!$A$5:$A$504,0))))</f>
        <v/>
      </c>
      <c r="D369" s="0" t="str">
        <f aca="false">IF(B369="","",IF(COUNTIFS('MASTER MENU'!$A$5:$A$504,B369)=0,"BELUM ADA",INDEX('MASTER MENU'!$E$5:$E$504,MATCH(B369,'MASTER MENU'!$A$5:$A$504,0))))</f>
        <v/>
      </c>
      <c r="F369" s="0" t="str">
        <f aca="false">IF(B369="","",IF(COUNTIFS('MASTER MENU'!$A$5:$A$504,B369)=0,"BELUM ADA",INDEX('MASTER MENU'!$F$5:$F$504,MATCH(B369,'MASTER MENU'!$A$5:$A$504,0))))</f>
        <v/>
      </c>
      <c r="G369" s="0" t="str">
        <f aca="false">IF(A369="","",IF(OR(NOT(ISNUMBER(E369)),NOT(ISNUMBER(F369))),"BELUM LENGKAP",ROUND(E369*F369,0)))</f>
        <v/>
      </c>
      <c r="J369" s="0" t="str">
        <f aca="false">IF(A369="","",IF(NOT(ISNUMBER(G369)),"BELUM LENGKAP",G369-H369-I369))</f>
        <v/>
      </c>
      <c r="L369" s="0" t="str">
        <f aca="false">IF(A369="","",IF(NOT(ISNUMBER(K369)),"ISI SNAPSHOT HPP",ROUND(E369*K369,0)))</f>
        <v/>
      </c>
      <c r="M369" s="0" t="str">
        <f aca="false">IF(A369="","",IF(NOT(ISNUMBER(L369)),"BELUM LENGKAP",J369-L369))</f>
        <v/>
      </c>
      <c r="N369" s="0" t="str">
        <f aca="false">IF(B369="","",IF(COUNTIFS('RESEP DAN HPP'!$A$5:$A$504,B369,'RESEP DAN HPP'!$N$5:$N$504,"LENGKAP")=0,"BELUM LENGKAP",INDEX('RESEP DAN HPP'!$J$5:$J$504,MATCH(B369,'RESEP DAN HPP'!$A$5:$A$504,0))))</f>
        <v/>
      </c>
      <c r="P369" s="0" t="str">
        <f aca="false">IF(A369="","",IF(COUNTIFS('TRANSAKSI PENJUALAN'!$A$5:$A$504,A369)=0,"BELUM ADA",INDEX('TRANSAKSI PENJUALAN'!$B$5:$B$504,MATCH(A369,'TRANSAKSI PENJUALAN'!$A$5:$A$504,0))))</f>
        <v/>
      </c>
      <c r="Q369" s="0" t="str">
        <f aca="false">IF(A369="","",IF(COUNTIFS('TRANSAKSI PENJUALAN'!$A$5:$A$504,A369)=0,"BELUM ADA",INDEX('TRANSAKSI PENJUALAN'!$M$5:$M$504,MATCH(A369,'TRANSAKSI PENJUALAN'!$A$5:$A$504,0))))</f>
        <v/>
      </c>
      <c r="R369" s="24" t="str">
        <f aca="false">IF(A369="","",COUNTIF($A$5:A369,A369))</f>
        <v/>
      </c>
      <c r="S369" s="24" t="str">
        <f aca="false">IF(A369="","",A369&amp;"|"&amp;R369)</f>
        <v/>
      </c>
    </row>
    <row r="370" customFormat="false" ht="15" hidden="false" customHeight="false" outlineLevel="0" collapsed="false">
      <c r="C370" s="0" t="str">
        <f aca="false">IF(B370="","",IF(COUNTIFS('MASTER MENU'!$A$5:$A$504,B370)=0,"BELUM ADA",INDEX('MASTER MENU'!$B$5:$B$504,MATCH(B370,'MASTER MENU'!$A$5:$A$504,0))))</f>
        <v/>
      </c>
      <c r="D370" s="0" t="str">
        <f aca="false">IF(B370="","",IF(COUNTIFS('MASTER MENU'!$A$5:$A$504,B370)=0,"BELUM ADA",INDEX('MASTER MENU'!$E$5:$E$504,MATCH(B370,'MASTER MENU'!$A$5:$A$504,0))))</f>
        <v/>
      </c>
      <c r="F370" s="0" t="str">
        <f aca="false">IF(B370="","",IF(COUNTIFS('MASTER MENU'!$A$5:$A$504,B370)=0,"BELUM ADA",INDEX('MASTER MENU'!$F$5:$F$504,MATCH(B370,'MASTER MENU'!$A$5:$A$504,0))))</f>
        <v/>
      </c>
      <c r="G370" s="0" t="str">
        <f aca="false">IF(A370="","",IF(OR(NOT(ISNUMBER(E370)),NOT(ISNUMBER(F370))),"BELUM LENGKAP",ROUND(E370*F370,0)))</f>
        <v/>
      </c>
      <c r="J370" s="0" t="str">
        <f aca="false">IF(A370="","",IF(NOT(ISNUMBER(G370)),"BELUM LENGKAP",G370-H370-I370))</f>
        <v/>
      </c>
      <c r="L370" s="0" t="str">
        <f aca="false">IF(A370="","",IF(NOT(ISNUMBER(K370)),"ISI SNAPSHOT HPP",ROUND(E370*K370,0)))</f>
        <v/>
      </c>
      <c r="M370" s="0" t="str">
        <f aca="false">IF(A370="","",IF(NOT(ISNUMBER(L370)),"BELUM LENGKAP",J370-L370))</f>
        <v/>
      </c>
      <c r="N370" s="0" t="str">
        <f aca="false">IF(B370="","",IF(COUNTIFS('RESEP DAN HPP'!$A$5:$A$504,B370,'RESEP DAN HPP'!$N$5:$N$504,"LENGKAP")=0,"BELUM LENGKAP",INDEX('RESEP DAN HPP'!$J$5:$J$504,MATCH(B370,'RESEP DAN HPP'!$A$5:$A$504,0))))</f>
        <v/>
      </c>
      <c r="P370" s="0" t="str">
        <f aca="false">IF(A370="","",IF(COUNTIFS('TRANSAKSI PENJUALAN'!$A$5:$A$504,A370)=0,"BELUM ADA",INDEX('TRANSAKSI PENJUALAN'!$B$5:$B$504,MATCH(A370,'TRANSAKSI PENJUALAN'!$A$5:$A$504,0))))</f>
        <v/>
      </c>
      <c r="Q370" s="0" t="str">
        <f aca="false">IF(A370="","",IF(COUNTIFS('TRANSAKSI PENJUALAN'!$A$5:$A$504,A370)=0,"BELUM ADA",INDEX('TRANSAKSI PENJUALAN'!$M$5:$M$504,MATCH(A370,'TRANSAKSI PENJUALAN'!$A$5:$A$504,0))))</f>
        <v/>
      </c>
      <c r="R370" s="24" t="str">
        <f aca="false">IF(A370="","",COUNTIF($A$5:A370,A370))</f>
        <v/>
      </c>
      <c r="S370" s="24" t="str">
        <f aca="false">IF(A370="","",A370&amp;"|"&amp;R370)</f>
        <v/>
      </c>
    </row>
    <row r="371" customFormat="false" ht="15" hidden="false" customHeight="false" outlineLevel="0" collapsed="false">
      <c r="C371" s="0" t="str">
        <f aca="false">IF(B371="","",IF(COUNTIFS('MASTER MENU'!$A$5:$A$504,B371)=0,"BELUM ADA",INDEX('MASTER MENU'!$B$5:$B$504,MATCH(B371,'MASTER MENU'!$A$5:$A$504,0))))</f>
        <v/>
      </c>
      <c r="D371" s="0" t="str">
        <f aca="false">IF(B371="","",IF(COUNTIFS('MASTER MENU'!$A$5:$A$504,B371)=0,"BELUM ADA",INDEX('MASTER MENU'!$E$5:$E$504,MATCH(B371,'MASTER MENU'!$A$5:$A$504,0))))</f>
        <v/>
      </c>
      <c r="F371" s="0" t="str">
        <f aca="false">IF(B371="","",IF(COUNTIFS('MASTER MENU'!$A$5:$A$504,B371)=0,"BELUM ADA",INDEX('MASTER MENU'!$F$5:$F$504,MATCH(B371,'MASTER MENU'!$A$5:$A$504,0))))</f>
        <v/>
      </c>
      <c r="G371" s="0" t="str">
        <f aca="false">IF(A371="","",IF(OR(NOT(ISNUMBER(E371)),NOT(ISNUMBER(F371))),"BELUM LENGKAP",ROUND(E371*F371,0)))</f>
        <v/>
      </c>
      <c r="J371" s="0" t="str">
        <f aca="false">IF(A371="","",IF(NOT(ISNUMBER(G371)),"BELUM LENGKAP",G371-H371-I371))</f>
        <v/>
      </c>
      <c r="L371" s="0" t="str">
        <f aca="false">IF(A371="","",IF(NOT(ISNUMBER(K371)),"ISI SNAPSHOT HPP",ROUND(E371*K371,0)))</f>
        <v/>
      </c>
      <c r="M371" s="0" t="str">
        <f aca="false">IF(A371="","",IF(NOT(ISNUMBER(L371)),"BELUM LENGKAP",J371-L371))</f>
        <v/>
      </c>
      <c r="N371" s="0" t="str">
        <f aca="false">IF(B371="","",IF(COUNTIFS('RESEP DAN HPP'!$A$5:$A$504,B371,'RESEP DAN HPP'!$N$5:$N$504,"LENGKAP")=0,"BELUM LENGKAP",INDEX('RESEP DAN HPP'!$J$5:$J$504,MATCH(B371,'RESEP DAN HPP'!$A$5:$A$504,0))))</f>
        <v/>
      </c>
      <c r="P371" s="0" t="str">
        <f aca="false">IF(A371="","",IF(COUNTIFS('TRANSAKSI PENJUALAN'!$A$5:$A$504,A371)=0,"BELUM ADA",INDEX('TRANSAKSI PENJUALAN'!$B$5:$B$504,MATCH(A371,'TRANSAKSI PENJUALAN'!$A$5:$A$504,0))))</f>
        <v/>
      </c>
      <c r="Q371" s="0" t="str">
        <f aca="false">IF(A371="","",IF(COUNTIFS('TRANSAKSI PENJUALAN'!$A$5:$A$504,A371)=0,"BELUM ADA",INDEX('TRANSAKSI PENJUALAN'!$M$5:$M$504,MATCH(A371,'TRANSAKSI PENJUALAN'!$A$5:$A$504,0))))</f>
        <v/>
      </c>
      <c r="R371" s="24" t="str">
        <f aca="false">IF(A371="","",COUNTIF($A$5:A371,A371))</f>
        <v/>
      </c>
      <c r="S371" s="24" t="str">
        <f aca="false">IF(A371="","",A371&amp;"|"&amp;R371)</f>
        <v/>
      </c>
    </row>
    <row r="372" customFormat="false" ht="15" hidden="false" customHeight="false" outlineLevel="0" collapsed="false">
      <c r="C372" s="0" t="str">
        <f aca="false">IF(B372="","",IF(COUNTIFS('MASTER MENU'!$A$5:$A$504,B372)=0,"BELUM ADA",INDEX('MASTER MENU'!$B$5:$B$504,MATCH(B372,'MASTER MENU'!$A$5:$A$504,0))))</f>
        <v/>
      </c>
      <c r="D372" s="0" t="str">
        <f aca="false">IF(B372="","",IF(COUNTIFS('MASTER MENU'!$A$5:$A$504,B372)=0,"BELUM ADA",INDEX('MASTER MENU'!$E$5:$E$504,MATCH(B372,'MASTER MENU'!$A$5:$A$504,0))))</f>
        <v/>
      </c>
      <c r="F372" s="0" t="str">
        <f aca="false">IF(B372="","",IF(COUNTIFS('MASTER MENU'!$A$5:$A$504,B372)=0,"BELUM ADA",INDEX('MASTER MENU'!$F$5:$F$504,MATCH(B372,'MASTER MENU'!$A$5:$A$504,0))))</f>
        <v/>
      </c>
      <c r="G372" s="0" t="str">
        <f aca="false">IF(A372="","",IF(OR(NOT(ISNUMBER(E372)),NOT(ISNUMBER(F372))),"BELUM LENGKAP",ROUND(E372*F372,0)))</f>
        <v/>
      </c>
      <c r="J372" s="0" t="str">
        <f aca="false">IF(A372="","",IF(NOT(ISNUMBER(G372)),"BELUM LENGKAP",G372-H372-I372))</f>
        <v/>
      </c>
      <c r="L372" s="0" t="str">
        <f aca="false">IF(A372="","",IF(NOT(ISNUMBER(K372)),"ISI SNAPSHOT HPP",ROUND(E372*K372,0)))</f>
        <v/>
      </c>
      <c r="M372" s="0" t="str">
        <f aca="false">IF(A372="","",IF(NOT(ISNUMBER(L372)),"BELUM LENGKAP",J372-L372))</f>
        <v/>
      </c>
      <c r="N372" s="0" t="str">
        <f aca="false">IF(B372="","",IF(COUNTIFS('RESEP DAN HPP'!$A$5:$A$504,B372,'RESEP DAN HPP'!$N$5:$N$504,"LENGKAP")=0,"BELUM LENGKAP",INDEX('RESEP DAN HPP'!$J$5:$J$504,MATCH(B372,'RESEP DAN HPP'!$A$5:$A$504,0))))</f>
        <v/>
      </c>
      <c r="P372" s="0" t="str">
        <f aca="false">IF(A372="","",IF(COUNTIFS('TRANSAKSI PENJUALAN'!$A$5:$A$504,A372)=0,"BELUM ADA",INDEX('TRANSAKSI PENJUALAN'!$B$5:$B$504,MATCH(A372,'TRANSAKSI PENJUALAN'!$A$5:$A$504,0))))</f>
        <v/>
      </c>
      <c r="Q372" s="0" t="str">
        <f aca="false">IF(A372="","",IF(COUNTIFS('TRANSAKSI PENJUALAN'!$A$5:$A$504,A372)=0,"BELUM ADA",INDEX('TRANSAKSI PENJUALAN'!$M$5:$M$504,MATCH(A372,'TRANSAKSI PENJUALAN'!$A$5:$A$504,0))))</f>
        <v/>
      </c>
      <c r="R372" s="24" t="str">
        <f aca="false">IF(A372="","",COUNTIF($A$5:A372,A372))</f>
        <v/>
      </c>
      <c r="S372" s="24" t="str">
        <f aca="false">IF(A372="","",A372&amp;"|"&amp;R372)</f>
        <v/>
      </c>
    </row>
    <row r="373" customFormat="false" ht="15" hidden="false" customHeight="false" outlineLevel="0" collapsed="false">
      <c r="C373" s="0" t="str">
        <f aca="false">IF(B373="","",IF(COUNTIFS('MASTER MENU'!$A$5:$A$504,B373)=0,"BELUM ADA",INDEX('MASTER MENU'!$B$5:$B$504,MATCH(B373,'MASTER MENU'!$A$5:$A$504,0))))</f>
        <v/>
      </c>
      <c r="D373" s="0" t="str">
        <f aca="false">IF(B373="","",IF(COUNTIFS('MASTER MENU'!$A$5:$A$504,B373)=0,"BELUM ADA",INDEX('MASTER MENU'!$E$5:$E$504,MATCH(B373,'MASTER MENU'!$A$5:$A$504,0))))</f>
        <v/>
      </c>
      <c r="F373" s="0" t="str">
        <f aca="false">IF(B373="","",IF(COUNTIFS('MASTER MENU'!$A$5:$A$504,B373)=0,"BELUM ADA",INDEX('MASTER MENU'!$F$5:$F$504,MATCH(B373,'MASTER MENU'!$A$5:$A$504,0))))</f>
        <v/>
      </c>
      <c r="G373" s="0" t="str">
        <f aca="false">IF(A373="","",IF(OR(NOT(ISNUMBER(E373)),NOT(ISNUMBER(F373))),"BELUM LENGKAP",ROUND(E373*F373,0)))</f>
        <v/>
      </c>
      <c r="J373" s="0" t="str">
        <f aca="false">IF(A373="","",IF(NOT(ISNUMBER(G373)),"BELUM LENGKAP",G373-H373-I373))</f>
        <v/>
      </c>
      <c r="L373" s="0" t="str">
        <f aca="false">IF(A373="","",IF(NOT(ISNUMBER(K373)),"ISI SNAPSHOT HPP",ROUND(E373*K373,0)))</f>
        <v/>
      </c>
      <c r="M373" s="0" t="str">
        <f aca="false">IF(A373="","",IF(NOT(ISNUMBER(L373)),"BELUM LENGKAP",J373-L373))</f>
        <v/>
      </c>
      <c r="N373" s="0" t="str">
        <f aca="false">IF(B373="","",IF(COUNTIFS('RESEP DAN HPP'!$A$5:$A$504,B373,'RESEP DAN HPP'!$N$5:$N$504,"LENGKAP")=0,"BELUM LENGKAP",INDEX('RESEP DAN HPP'!$J$5:$J$504,MATCH(B373,'RESEP DAN HPP'!$A$5:$A$504,0))))</f>
        <v/>
      </c>
      <c r="P373" s="0" t="str">
        <f aca="false">IF(A373="","",IF(COUNTIFS('TRANSAKSI PENJUALAN'!$A$5:$A$504,A373)=0,"BELUM ADA",INDEX('TRANSAKSI PENJUALAN'!$B$5:$B$504,MATCH(A373,'TRANSAKSI PENJUALAN'!$A$5:$A$504,0))))</f>
        <v/>
      </c>
      <c r="Q373" s="0" t="str">
        <f aca="false">IF(A373="","",IF(COUNTIFS('TRANSAKSI PENJUALAN'!$A$5:$A$504,A373)=0,"BELUM ADA",INDEX('TRANSAKSI PENJUALAN'!$M$5:$M$504,MATCH(A373,'TRANSAKSI PENJUALAN'!$A$5:$A$504,0))))</f>
        <v/>
      </c>
      <c r="R373" s="24" t="str">
        <f aca="false">IF(A373="","",COUNTIF($A$5:A373,A373))</f>
        <v/>
      </c>
      <c r="S373" s="24" t="str">
        <f aca="false">IF(A373="","",A373&amp;"|"&amp;R373)</f>
        <v/>
      </c>
    </row>
    <row r="374" customFormat="false" ht="15" hidden="false" customHeight="false" outlineLevel="0" collapsed="false">
      <c r="C374" s="0" t="str">
        <f aca="false">IF(B374="","",IF(COUNTIFS('MASTER MENU'!$A$5:$A$504,B374)=0,"BELUM ADA",INDEX('MASTER MENU'!$B$5:$B$504,MATCH(B374,'MASTER MENU'!$A$5:$A$504,0))))</f>
        <v/>
      </c>
      <c r="D374" s="0" t="str">
        <f aca="false">IF(B374="","",IF(COUNTIFS('MASTER MENU'!$A$5:$A$504,B374)=0,"BELUM ADA",INDEX('MASTER MENU'!$E$5:$E$504,MATCH(B374,'MASTER MENU'!$A$5:$A$504,0))))</f>
        <v/>
      </c>
      <c r="F374" s="0" t="str">
        <f aca="false">IF(B374="","",IF(COUNTIFS('MASTER MENU'!$A$5:$A$504,B374)=0,"BELUM ADA",INDEX('MASTER MENU'!$F$5:$F$504,MATCH(B374,'MASTER MENU'!$A$5:$A$504,0))))</f>
        <v/>
      </c>
      <c r="G374" s="0" t="str">
        <f aca="false">IF(A374="","",IF(OR(NOT(ISNUMBER(E374)),NOT(ISNUMBER(F374))),"BELUM LENGKAP",ROUND(E374*F374,0)))</f>
        <v/>
      </c>
      <c r="J374" s="0" t="str">
        <f aca="false">IF(A374="","",IF(NOT(ISNUMBER(G374)),"BELUM LENGKAP",G374-H374-I374))</f>
        <v/>
      </c>
      <c r="L374" s="0" t="str">
        <f aca="false">IF(A374="","",IF(NOT(ISNUMBER(K374)),"ISI SNAPSHOT HPP",ROUND(E374*K374,0)))</f>
        <v/>
      </c>
      <c r="M374" s="0" t="str">
        <f aca="false">IF(A374="","",IF(NOT(ISNUMBER(L374)),"BELUM LENGKAP",J374-L374))</f>
        <v/>
      </c>
      <c r="N374" s="0" t="str">
        <f aca="false">IF(B374="","",IF(COUNTIFS('RESEP DAN HPP'!$A$5:$A$504,B374,'RESEP DAN HPP'!$N$5:$N$504,"LENGKAP")=0,"BELUM LENGKAP",INDEX('RESEP DAN HPP'!$J$5:$J$504,MATCH(B374,'RESEP DAN HPP'!$A$5:$A$504,0))))</f>
        <v/>
      </c>
      <c r="P374" s="0" t="str">
        <f aca="false">IF(A374="","",IF(COUNTIFS('TRANSAKSI PENJUALAN'!$A$5:$A$504,A374)=0,"BELUM ADA",INDEX('TRANSAKSI PENJUALAN'!$B$5:$B$504,MATCH(A374,'TRANSAKSI PENJUALAN'!$A$5:$A$504,0))))</f>
        <v/>
      </c>
      <c r="Q374" s="0" t="str">
        <f aca="false">IF(A374="","",IF(COUNTIFS('TRANSAKSI PENJUALAN'!$A$5:$A$504,A374)=0,"BELUM ADA",INDEX('TRANSAKSI PENJUALAN'!$M$5:$M$504,MATCH(A374,'TRANSAKSI PENJUALAN'!$A$5:$A$504,0))))</f>
        <v/>
      </c>
      <c r="R374" s="24" t="str">
        <f aca="false">IF(A374="","",COUNTIF($A$5:A374,A374))</f>
        <v/>
      </c>
      <c r="S374" s="24" t="str">
        <f aca="false">IF(A374="","",A374&amp;"|"&amp;R374)</f>
        <v/>
      </c>
    </row>
    <row r="375" customFormat="false" ht="15" hidden="false" customHeight="false" outlineLevel="0" collapsed="false">
      <c r="C375" s="0" t="str">
        <f aca="false">IF(B375="","",IF(COUNTIFS('MASTER MENU'!$A$5:$A$504,B375)=0,"BELUM ADA",INDEX('MASTER MENU'!$B$5:$B$504,MATCH(B375,'MASTER MENU'!$A$5:$A$504,0))))</f>
        <v/>
      </c>
      <c r="D375" s="0" t="str">
        <f aca="false">IF(B375="","",IF(COUNTIFS('MASTER MENU'!$A$5:$A$504,B375)=0,"BELUM ADA",INDEX('MASTER MENU'!$E$5:$E$504,MATCH(B375,'MASTER MENU'!$A$5:$A$504,0))))</f>
        <v/>
      </c>
      <c r="F375" s="0" t="str">
        <f aca="false">IF(B375="","",IF(COUNTIFS('MASTER MENU'!$A$5:$A$504,B375)=0,"BELUM ADA",INDEX('MASTER MENU'!$F$5:$F$504,MATCH(B375,'MASTER MENU'!$A$5:$A$504,0))))</f>
        <v/>
      </c>
      <c r="G375" s="0" t="str">
        <f aca="false">IF(A375="","",IF(OR(NOT(ISNUMBER(E375)),NOT(ISNUMBER(F375))),"BELUM LENGKAP",ROUND(E375*F375,0)))</f>
        <v/>
      </c>
      <c r="J375" s="0" t="str">
        <f aca="false">IF(A375="","",IF(NOT(ISNUMBER(G375)),"BELUM LENGKAP",G375-H375-I375))</f>
        <v/>
      </c>
      <c r="L375" s="0" t="str">
        <f aca="false">IF(A375="","",IF(NOT(ISNUMBER(K375)),"ISI SNAPSHOT HPP",ROUND(E375*K375,0)))</f>
        <v/>
      </c>
      <c r="M375" s="0" t="str">
        <f aca="false">IF(A375="","",IF(NOT(ISNUMBER(L375)),"BELUM LENGKAP",J375-L375))</f>
        <v/>
      </c>
      <c r="N375" s="0" t="str">
        <f aca="false">IF(B375="","",IF(COUNTIFS('RESEP DAN HPP'!$A$5:$A$504,B375,'RESEP DAN HPP'!$N$5:$N$504,"LENGKAP")=0,"BELUM LENGKAP",INDEX('RESEP DAN HPP'!$J$5:$J$504,MATCH(B375,'RESEP DAN HPP'!$A$5:$A$504,0))))</f>
        <v/>
      </c>
      <c r="P375" s="0" t="str">
        <f aca="false">IF(A375="","",IF(COUNTIFS('TRANSAKSI PENJUALAN'!$A$5:$A$504,A375)=0,"BELUM ADA",INDEX('TRANSAKSI PENJUALAN'!$B$5:$B$504,MATCH(A375,'TRANSAKSI PENJUALAN'!$A$5:$A$504,0))))</f>
        <v/>
      </c>
      <c r="Q375" s="0" t="str">
        <f aca="false">IF(A375="","",IF(COUNTIFS('TRANSAKSI PENJUALAN'!$A$5:$A$504,A375)=0,"BELUM ADA",INDEX('TRANSAKSI PENJUALAN'!$M$5:$M$504,MATCH(A375,'TRANSAKSI PENJUALAN'!$A$5:$A$504,0))))</f>
        <v/>
      </c>
      <c r="R375" s="24" t="str">
        <f aca="false">IF(A375="","",COUNTIF($A$5:A375,A375))</f>
        <v/>
      </c>
      <c r="S375" s="24" t="str">
        <f aca="false">IF(A375="","",A375&amp;"|"&amp;R375)</f>
        <v/>
      </c>
    </row>
    <row r="376" customFormat="false" ht="15" hidden="false" customHeight="false" outlineLevel="0" collapsed="false">
      <c r="C376" s="0" t="str">
        <f aca="false">IF(B376="","",IF(COUNTIFS('MASTER MENU'!$A$5:$A$504,B376)=0,"BELUM ADA",INDEX('MASTER MENU'!$B$5:$B$504,MATCH(B376,'MASTER MENU'!$A$5:$A$504,0))))</f>
        <v/>
      </c>
      <c r="D376" s="0" t="str">
        <f aca="false">IF(B376="","",IF(COUNTIFS('MASTER MENU'!$A$5:$A$504,B376)=0,"BELUM ADA",INDEX('MASTER MENU'!$E$5:$E$504,MATCH(B376,'MASTER MENU'!$A$5:$A$504,0))))</f>
        <v/>
      </c>
      <c r="F376" s="0" t="str">
        <f aca="false">IF(B376="","",IF(COUNTIFS('MASTER MENU'!$A$5:$A$504,B376)=0,"BELUM ADA",INDEX('MASTER MENU'!$F$5:$F$504,MATCH(B376,'MASTER MENU'!$A$5:$A$504,0))))</f>
        <v/>
      </c>
      <c r="G376" s="0" t="str">
        <f aca="false">IF(A376="","",IF(OR(NOT(ISNUMBER(E376)),NOT(ISNUMBER(F376))),"BELUM LENGKAP",ROUND(E376*F376,0)))</f>
        <v/>
      </c>
      <c r="J376" s="0" t="str">
        <f aca="false">IF(A376="","",IF(NOT(ISNUMBER(G376)),"BELUM LENGKAP",G376-H376-I376))</f>
        <v/>
      </c>
      <c r="L376" s="0" t="str">
        <f aca="false">IF(A376="","",IF(NOT(ISNUMBER(K376)),"ISI SNAPSHOT HPP",ROUND(E376*K376,0)))</f>
        <v/>
      </c>
      <c r="M376" s="0" t="str">
        <f aca="false">IF(A376="","",IF(NOT(ISNUMBER(L376)),"BELUM LENGKAP",J376-L376))</f>
        <v/>
      </c>
      <c r="N376" s="0" t="str">
        <f aca="false">IF(B376="","",IF(COUNTIFS('RESEP DAN HPP'!$A$5:$A$504,B376,'RESEP DAN HPP'!$N$5:$N$504,"LENGKAP")=0,"BELUM LENGKAP",INDEX('RESEP DAN HPP'!$J$5:$J$504,MATCH(B376,'RESEP DAN HPP'!$A$5:$A$504,0))))</f>
        <v/>
      </c>
      <c r="P376" s="0" t="str">
        <f aca="false">IF(A376="","",IF(COUNTIFS('TRANSAKSI PENJUALAN'!$A$5:$A$504,A376)=0,"BELUM ADA",INDEX('TRANSAKSI PENJUALAN'!$B$5:$B$504,MATCH(A376,'TRANSAKSI PENJUALAN'!$A$5:$A$504,0))))</f>
        <v/>
      </c>
      <c r="Q376" s="0" t="str">
        <f aca="false">IF(A376="","",IF(COUNTIFS('TRANSAKSI PENJUALAN'!$A$5:$A$504,A376)=0,"BELUM ADA",INDEX('TRANSAKSI PENJUALAN'!$M$5:$M$504,MATCH(A376,'TRANSAKSI PENJUALAN'!$A$5:$A$504,0))))</f>
        <v/>
      </c>
      <c r="R376" s="24" t="str">
        <f aca="false">IF(A376="","",COUNTIF($A$5:A376,A376))</f>
        <v/>
      </c>
      <c r="S376" s="24" t="str">
        <f aca="false">IF(A376="","",A376&amp;"|"&amp;R376)</f>
        <v/>
      </c>
    </row>
    <row r="377" customFormat="false" ht="15" hidden="false" customHeight="false" outlineLevel="0" collapsed="false">
      <c r="C377" s="0" t="str">
        <f aca="false">IF(B377="","",IF(COUNTIFS('MASTER MENU'!$A$5:$A$504,B377)=0,"BELUM ADA",INDEX('MASTER MENU'!$B$5:$B$504,MATCH(B377,'MASTER MENU'!$A$5:$A$504,0))))</f>
        <v/>
      </c>
      <c r="D377" s="0" t="str">
        <f aca="false">IF(B377="","",IF(COUNTIFS('MASTER MENU'!$A$5:$A$504,B377)=0,"BELUM ADA",INDEX('MASTER MENU'!$E$5:$E$504,MATCH(B377,'MASTER MENU'!$A$5:$A$504,0))))</f>
        <v/>
      </c>
      <c r="F377" s="0" t="str">
        <f aca="false">IF(B377="","",IF(COUNTIFS('MASTER MENU'!$A$5:$A$504,B377)=0,"BELUM ADA",INDEX('MASTER MENU'!$F$5:$F$504,MATCH(B377,'MASTER MENU'!$A$5:$A$504,0))))</f>
        <v/>
      </c>
      <c r="G377" s="0" t="str">
        <f aca="false">IF(A377="","",IF(OR(NOT(ISNUMBER(E377)),NOT(ISNUMBER(F377))),"BELUM LENGKAP",ROUND(E377*F377,0)))</f>
        <v/>
      </c>
      <c r="J377" s="0" t="str">
        <f aca="false">IF(A377="","",IF(NOT(ISNUMBER(G377)),"BELUM LENGKAP",G377-H377-I377))</f>
        <v/>
      </c>
      <c r="L377" s="0" t="str">
        <f aca="false">IF(A377="","",IF(NOT(ISNUMBER(K377)),"ISI SNAPSHOT HPP",ROUND(E377*K377,0)))</f>
        <v/>
      </c>
      <c r="M377" s="0" t="str">
        <f aca="false">IF(A377="","",IF(NOT(ISNUMBER(L377)),"BELUM LENGKAP",J377-L377))</f>
        <v/>
      </c>
      <c r="N377" s="0" t="str">
        <f aca="false">IF(B377="","",IF(COUNTIFS('RESEP DAN HPP'!$A$5:$A$504,B377,'RESEP DAN HPP'!$N$5:$N$504,"LENGKAP")=0,"BELUM LENGKAP",INDEX('RESEP DAN HPP'!$J$5:$J$504,MATCH(B377,'RESEP DAN HPP'!$A$5:$A$504,0))))</f>
        <v/>
      </c>
      <c r="P377" s="0" t="str">
        <f aca="false">IF(A377="","",IF(COUNTIFS('TRANSAKSI PENJUALAN'!$A$5:$A$504,A377)=0,"BELUM ADA",INDEX('TRANSAKSI PENJUALAN'!$B$5:$B$504,MATCH(A377,'TRANSAKSI PENJUALAN'!$A$5:$A$504,0))))</f>
        <v/>
      </c>
      <c r="Q377" s="0" t="str">
        <f aca="false">IF(A377="","",IF(COUNTIFS('TRANSAKSI PENJUALAN'!$A$5:$A$504,A377)=0,"BELUM ADA",INDEX('TRANSAKSI PENJUALAN'!$M$5:$M$504,MATCH(A377,'TRANSAKSI PENJUALAN'!$A$5:$A$504,0))))</f>
        <v/>
      </c>
      <c r="R377" s="24" t="str">
        <f aca="false">IF(A377="","",COUNTIF($A$5:A377,A377))</f>
        <v/>
      </c>
      <c r="S377" s="24" t="str">
        <f aca="false">IF(A377="","",A377&amp;"|"&amp;R377)</f>
        <v/>
      </c>
    </row>
    <row r="378" customFormat="false" ht="15" hidden="false" customHeight="false" outlineLevel="0" collapsed="false">
      <c r="C378" s="0" t="str">
        <f aca="false">IF(B378="","",IF(COUNTIFS('MASTER MENU'!$A$5:$A$504,B378)=0,"BELUM ADA",INDEX('MASTER MENU'!$B$5:$B$504,MATCH(B378,'MASTER MENU'!$A$5:$A$504,0))))</f>
        <v/>
      </c>
      <c r="D378" s="0" t="str">
        <f aca="false">IF(B378="","",IF(COUNTIFS('MASTER MENU'!$A$5:$A$504,B378)=0,"BELUM ADA",INDEX('MASTER MENU'!$E$5:$E$504,MATCH(B378,'MASTER MENU'!$A$5:$A$504,0))))</f>
        <v/>
      </c>
      <c r="F378" s="0" t="str">
        <f aca="false">IF(B378="","",IF(COUNTIFS('MASTER MENU'!$A$5:$A$504,B378)=0,"BELUM ADA",INDEX('MASTER MENU'!$F$5:$F$504,MATCH(B378,'MASTER MENU'!$A$5:$A$504,0))))</f>
        <v/>
      </c>
      <c r="G378" s="0" t="str">
        <f aca="false">IF(A378="","",IF(OR(NOT(ISNUMBER(E378)),NOT(ISNUMBER(F378))),"BELUM LENGKAP",ROUND(E378*F378,0)))</f>
        <v/>
      </c>
      <c r="J378" s="0" t="str">
        <f aca="false">IF(A378="","",IF(NOT(ISNUMBER(G378)),"BELUM LENGKAP",G378-H378-I378))</f>
        <v/>
      </c>
      <c r="L378" s="0" t="str">
        <f aca="false">IF(A378="","",IF(NOT(ISNUMBER(K378)),"ISI SNAPSHOT HPP",ROUND(E378*K378,0)))</f>
        <v/>
      </c>
      <c r="M378" s="0" t="str">
        <f aca="false">IF(A378="","",IF(NOT(ISNUMBER(L378)),"BELUM LENGKAP",J378-L378))</f>
        <v/>
      </c>
      <c r="N378" s="0" t="str">
        <f aca="false">IF(B378="","",IF(COUNTIFS('RESEP DAN HPP'!$A$5:$A$504,B378,'RESEP DAN HPP'!$N$5:$N$504,"LENGKAP")=0,"BELUM LENGKAP",INDEX('RESEP DAN HPP'!$J$5:$J$504,MATCH(B378,'RESEP DAN HPP'!$A$5:$A$504,0))))</f>
        <v/>
      </c>
      <c r="P378" s="0" t="str">
        <f aca="false">IF(A378="","",IF(COUNTIFS('TRANSAKSI PENJUALAN'!$A$5:$A$504,A378)=0,"BELUM ADA",INDEX('TRANSAKSI PENJUALAN'!$B$5:$B$504,MATCH(A378,'TRANSAKSI PENJUALAN'!$A$5:$A$504,0))))</f>
        <v/>
      </c>
      <c r="Q378" s="0" t="str">
        <f aca="false">IF(A378="","",IF(COUNTIFS('TRANSAKSI PENJUALAN'!$A$5:$A$504,A378)=0,"BELUM ADA",INDEX('TRANSAKSI PENJUALAN'!$M$5:$M$504,MATCH(A378,'TRANSAKSI PENJUALAN'!$A$5:$A$504,0))))</f>
        <v/>
      </c>
      <c r="R378" s="24" t="str">
        <f aca="false">IF(A378="","",COUNTIF($A$5:A378,A378))</f>
        <v/>
      </c>
      <c r="S378" s="24" t="str">
        <f aca="false">IF(A378="","",A378&amp;"|"&amp;R378)</f>
        <v/>
      </c>
    </row>
    <row r="379" customFormat="false" ht="15" hidden="false" customHeight="false" outlineLevel="0" collapsed="false">
      <c r="C379" s="0" t="str">
        <f aca="false">IF(B379="","",IF(COUNTIFS('MASTER MENU'!$A$5:$A$504,B379)=0,"BELUM ADA",INDEX('MASTER MENU'!$B$5:$B$504,MATCH(B379,'MASTER MENU'!$A$5:$A$504,0))))</f>
        <v/>
      </c>
      <c r="D379" s="0" t="str">
        <f aca="false">IF(B379="","",IF(COUNTIFS('MASTER MENU'!$A$5:$A$504,B379)=0,"BELUM ADA",INDEX('MASTER MENU'!$E$5:$E$504,MATCH(B379,'MASTER MENU'!$A$5:$A$504,0))))</f>
        <v/>
      </c>
      <c r="F379" s="0" t="str">
        <f aca="false">IF(B379="","",IF(COUNTIFS('MASTER MENU'!$A$5:$A$504,B379)=0,"BELUM ADA",INDEX('MASTER MENU'!$F$5:$F$504,MATCH(B379,'MASTER MENU'!$A$5:$A$504,0))))</f>
        <v/>
      </c>
      <c r="G379" s="0" t="str">
        <f aca="false">IF(A379="","",IF(OR(NOT(ISNUMBER(E379)),NOT(ISNUMBER(F379))),"BELUM LENGKAP",ROUND(E379*F379,0)))</f>
        <v/>
      </c>
      <c r="J379" s="0" t="str">
        <f aca="false">IF(A379="","",IF(NOT(ISNUMBER(G379)),"BELUM LENGKAP",G379-H379-I379))</f>
        <v/>
      </c>
      <c r="L379" s="0" t="str">
        <f aca="false">IF(A379="","",IF(NOT(ISNUMBER(K379)),"ISI SNAPSHOT HPP",ROUND(E379*K379,0)))</f>
        <v/>
      </c>
      <c r="M379" s="0" t="str">
        <f aca="false">IF(A379="","",IF(NOT(ISNUMBER(L379)),"BELUM LENGKAP",J379-L379))</f>
        <v/>
      </c>
      <c r="N379" s="0" t="str">
        <f aca="false">IF(B379="","",IF(COUNTIFS('RESEP DAN HPP'!$A$5:$A$504,B379,'RESEP DAN HPP'!$N$5:$N$504,"LENGKAP")=0,"BELUM LENGKAP",INDEX('RESEP DAN HPP'!$J$5:$J$504,MATCH(B379,'RESEP DAN HPP'!$A$5:$A$504,0))))</f>
        <v/>
      </c>
      <c r="P379" s="0" t="str">
        <f aca="false">IF(A379="","",IF(COUNTIFS('TRANSAKSI PENJUALAN'!$A$5:$A$504,A379)=0,"BELUM ADA",INDEX('TRANSAKSI PENJUALAN'!$B$5:$B$504,MATCH(A379,'TRANSAKSI PENJUALAN'!$A$5:$A$504,0))))</f>
        <v/>
      </c>
      <c r="Q379" s="0" t="str">
        <f aca="false">IF(A379="","",IF(COUNTIFS('TRANSAKSI PENJUALAN'!$A$5:$A$504,A379)=0,"BELUM ADA",INDEX('TRANSAKSI PENJUALAN'!$M$5:$M$504,MATCH(A379,'TRANSAKSI PENJUALAN'!$A$5:$A$504,0))))</f>
        <v/>
      </c>
      <c r="R379" s="24" t="str">
        <f aca="false">IF(A379="","",COUNTIF($A$5:A379,A379))</f>
        <v/>
      </c>
      <c r="S379" s="24" t="str">
        <f aca="false">IF(A379="","",A379&amp;"|"&amp;R379)</f>
        <v/>
      </c>
    </row>
    <row r="380" customFormat="false" ht="15" hidden="false" customHeight="false" outlineLevel="0" collapsed="false">
      <c r="C380" s="0" t="str">
        <f aca="false">IF(B380="","",IF(COUNTIFS('MASTER MENU'!$A$5:$A$504,B380)=0,"BELUM ADA",INDEX('MASTER MENU'!$B$5:$B$504,MATCH(B380,'MASTER MENU'!$A$5:$A$504,0))))</f>
        <v/>
      </c>
      <c r="D380" s="0" t="str">
        <f aca="false">IF(B380="","",IF(COUNTIFS('MASTER MENU'!$A$5:$A$504,B380)=0,"BELUM ADA",INDEX('MASTER MENU'!$E$5:$E$504,MATCH(B380,'MASTER MENU'!$A$5:$A$504,0))))</f>
        <v/>
      </c>
      <c r="F380" s="0" t="str">
        <f aca="false">IF(B380="","",IF(COUNTIFS('MASTER MENU'!$A$5:$A$504,B380)=0,"BELUM ADA",INDEX('MASTER MENU'!$F$5:$F$504,MATCH(B380,'MASTER MENU'!$A$5:$A$504,0))))</f>
        <v/>
      </c>
      <c r="G380" s="0" t="str">
        <f aca="false">IF(A380="","",IF(OR(NOT(ISNUMBER(E380)),NOT(ISNUMBER(F380))),"BELUM LENGKAP",ROUND(E380*F380,0)))</f>
        <v/>
      </c>
      <c r="J380" s="0" t="str">
        <f aca="false">IF(A380="","",IF(NOT(ISNUMBER(G380)),"BELUM LENGKAP",G380-H380-I380))</f>
        <v/>
      </c>
      <c r="L380" s="0" t="str">
        <f aca="false">IF(A380="","",IF(NOT(ISNUMBER(K380)),"ISI SNAPSHOT HPP",ROUND(E380*K380,0)))</f>
        <v/>
      </c>
      <c r="M380" s="0" t="str">
        <f aca="false">IF(A380="","",IF(NOT(ISNUMBER(L380)),"BELUM LENGKAP",J380-L380))</f>
        <v/>
      </c>
      <c r="N380" s="0" t="str">
        <f aca="false">IF(B380="","",IF(COUNTIFS('RESEP DAN HPP'!$A$5:$A$504,B380,'RESEP DAN HPP'!$N$5:$N$504,"LENGKAP")=0,"BELUM LENGKAP",INDEX('RESEP DAN HPP'!$J$5:$J$504,MATCH(B380,'RESEP DAN HPP'!$A$5:$A$504,0))))</f>
        <v/>
      </c>
      <c r="P380" s="0" t="str">
        <f aca="false">IF(A380="","",IF(COUNTIFS('TRANSAKSI PENJUALAN'!$A$5:$A$504,A380)=0,"BELUM ADA",INDEX('TRANSAKSI PENJUALAN'!$B$5:$B$504,MATCH(A380,'TRANSAKSI PENJUALAN'!$A$5:$A$504,0))))</f>
        <v/>
      </c>
      <c r="Q380" s="0" t="str">
        <f aca="false">IF(A380="","",IF(COUNTIFS('TRANSAKSI PENJUALAN'!$A$5:$A$504,A380)=0,"BELUM ADA",INDEX('TRANSAKSI PENJUALAN'!$M$5:$M$504,MATCH(A380,'TRANSAKSI PENJUALAN'!$A$5:$A$504,0))))</f>
        <v/>
      </c>
      <c r="R380" s="24" t="str">
        <f aca="false">IF(A380="","",COUNTIF($A$5:A380,A380))</f>
        <v/>
      </c>
      <c r="S380" s="24" t="str">
        <f aca="false">IF(A380="","",A380&amp;"|"&amp;R380)</f>
        <v/>
      </c>
    </row>
    <row r="381" customFormat="false" ht="15" hidden="false" customHeight="false" outlineLevel="0" collapsed="false">
      <c r="C381" s="0" t="str">
        <f aca="false">IF(B381="","",IF(COUNTIFS('MASTER MENU'!$A$5:$A$504,B381)=0,"BELUM ADA",INDEX('MASTER MENU'!$B$5:$B$504,MATCH(B381,'MASTER MENU'!$A$5:$A$504,0))))</f>
        <v/>
      </c>
      <c r="D381" s="0" t="str">
        <f aca="false">IF(B381="","",IF(COUNTIFS('MASTER MENU'!$A$5:$A$504,B381)=0,"BELUM ADA",INDEX('MASTER MENU'!$E$5:$E$504,MATCH(B381,'MASTER MENU'!$A$5:$A$504,0))))</f>
        <v/>
      </c>
      <c r="F381" s="0" t="str">
        <f aca="false">IF(B381="","",IF(COUNTIFS('MASTER MENU'!$A$5:$A$504,B381)=0,"BELUM ADA",INDEX('MASTER MENU'!$F$5:$F$504,MATCH(B381,'MASTER MENU'!$A$5:$A$504,0))))</f>
        <v/>
      </c>
      <c r="G381" s="0" t="str">
        <f aca="false">IF(A381="","",IF(OR(NOT(ISNUMBER(E381)),NOT(ISNUMBER(F381))),"BELUM LENGKAP",ROUND(E381*F381,0)))</f>
        <v/>
      </c>
      <c r="J381" s="0" t="str">
        <f aca="false">IF(A381="","",IF(NOT(ISNUMBER(G381)),"BELUM LENGKAP",G381-H381-I381))</f>
        <v/>
      </c>
      <c r="L381" s="0" t="str">
        <f aca="false">IF(A381="","",IF(NOT(ISNUMBER(K381)),"ISI SNAPSHOT HPP",ROUND(E381*K381,0)))</f>
        <v/>
      </c>
      <c r="M381" s="0" t="str">
        <f aca="false">IF(A381="","",IF(NOT(ISNUMBER(L381)),"BELUM LENGKAP",J381-L381))</f>
        <v/>
      </c>
      <c r="N381" s="0" t="str">
        <f aca="false">IF(B381="","",IF(COUNTIFS('RESEP DAN HPP'!$A$5:$A$504,B381,'RESEP DAN HPP'!$N$5:$N$504,"LENGKAP")=0,"BELUM LENGKAP",INDEX('RESEP DAN HPP'!$J$5:$J$504,MATCH(B381,'RESEP DAN HPP'!$A$5:$A$504,0))))</f>
        <v/>
      </c>
      <c r="P381" s="0" t="str">
        <f aca="false">IF(A381="","",IF(COUNTIFS('TRANSAKSI PENJUALAN'!$A$5:$A$504,A381)=0,"BELUM ADA",INDEX('TRANSAKSI PENJUALAN'!$B$5:$B$504,MATCH(A381,'TRANSAKSI PENJUALAN'!$A$5:$A$504,0))))</f>
        <v/>
      </c>
      <c r="Q381" s="0" t="str">
        <f aca="false">IF(A381="","",IF(COUNTIFS('TRANSAKSI PENJUALAN'!$A$5:$A$504,A381)=0,"BELUM ADA",INDEX('TRANSAKSI PENJUALAN'!$M$5:$M$504,MATCH(A381,'TRANSAKSI PENJUALAN'!$A$5:$A$504,0))))</f>
        <v/>
      </c>
      <c r="R381" s="24" t="str">
        <f aca="false">IF(A381="","",COUNTIF($A$5:A381,A381))</f>
        <v/>
      </c>
      <c r="S381" s="24" t="str">
        <f aca="false">IF(A381="","",A381&amp;"|"&amp;R381)</f>
        <v/>
      </c>
    </row>
    <row r="382" customFormat="false" ht="15" hidden="false" customHeight="false" outlineLevel="0" collapsed="false">
      <c r="C382" s="0" t="str">
        <f aca="false">IF(B382="","",IF(COUNTIFS('MASTER MENU'!$A$5:$A$504,B382)=0,"BELUM ADA",INDEX('MASTER MENU'!$B$5:$B$504,MATCH(B382,'MASTER MENU'!$A$5:$A$504,0))))</f>
        <v/>
      </c>
      <c r="D382" s="0" t="str">
        <f aca="false">IF(B382="","",IF(COUNTIFS('MASTER MENU'!$A$5:$A$504,B382)=0,"BELUM ADA",INDEX('MASTER MENU'!$E$5:$E$504,MATCH(B382,'MASTER MENU'!$A$5:$A$504,0))))</f>
        <v/>
      </c>
      <c r="F382" s="0" t="str">
        <f aca="false">IF(B382="","",IF(COUNTIFS('MASTER MENU'!$A$5:$A$504,B382)=0,"BELUM ADA",INDEX('MASTER MENU'!$F$5:$F$504,MATCH(B382,'MASTER MENU'!$A$5:$A$504,0))))</f>
        <v/>
      </c>
      <c r="G382" s="0" t="str">
        <f aca="false">IF(A382="","",IF(OR(NOT(ISNUMBER(E382)),NOT(ISNUMBER(F382))),"BELUM LENGKAP",ROUND(E382*F382,0)))</f>
        <v/>
      </c>
      <c r="J382" s="0" t="str">
        <f aca="false">IF(A382="","",IF(NOT(ISNUMBER(G382)),"BELUM LENGKAP",G382-H382-I382))</f>
        <v/>
      </c>
      <c r="L382" s="0" t="str">
        <f aca="false">IF(A382="","",IF(NOT(ISNUMBER(K382)),"ISI SNAPSHOT HPP",ROUND(E382*K382,0)))</f>
        <v/>
      </c>
      <c r="M382" s="0" t="str">
        <f aca="false">IF(A382="","",IF(NOT(ISNUMBER(L382)),"BELUM LENGKAP",J382-L382))</f>
        <v/>
      </c>
      <c r="N382" s="0" t="str">
        <f aca="false">IF(B382="","",IF(COUNTIFS('RESEP DAN HPP'!$A$5:$A$504,B382,'RESEP DAN HPP'!$N$5:$N$504,"LENGKAP")=0,"BELUM LENGKAP",INDEX('RESEP DAN HPP'!$J$5:$J$504,MATCH(B382,'RESEP DAN HPP'!$A$5:$A$504,0))))</f>
        <v/>
      </c>
      <c r="P382" s="0" t="str">
        <f aca="false">IF(A382="","",IF(COUNTIFS('TRANSAKSI PENJUALAN'!$A$5:$A$504,A382)=0,"BELUM ADA",INDEX('TRANSAKSI PENJUALAN'!$B$5:$B$504,MATCH(A382,'TRANSAKSI PENJUALAN'!$A$5:$A$504,0))))</f>
        <v/>
      </c>
      <c r="Q382" s="0" t="str">
        <f aca="false">IF(A382="","",IF(COUNTIFS('TRANSAKSI PENJUALAN'!$A$5:$A$504,A382)=0,"BELUM ADA",INDEX('TRANSAKSI PENJUALAN'!$M$5:$M$504,MATCH(A382,'TRANSAKSI PENJUALAN'!$A$5:$A$504,0))))</f>
        <v/>
      </c>
      <c r="R382" s="24" t="str">
        <f aca="false">IF(A382="","",COUNTIF($A$5:A382,A382))</f>
        <v/>
      </c>
      <c r="S382" s="24" t="str">
        <f aca="false">IF(A382="","",A382&amp;"|"&amp;R382)</f>
        <v/>
      </c>
    </row>
    <row r="383" customFormat="false" ht="15" hidden="false" customHeight="false" outlineLevel="0" collapsed="false">
      <c r="C383" s="0" t="str">
        <f aca="false">IF(B383="","",IF(COUNTIFS('MASTER MENU'!$A$5:$A$504,B383)=0,"BELUM ADA",INDEX('MASTER MENU'!$B$5:$B$504,MATCH(B383,'MASTER MENU'!$A$5:$A$504,0))))</f>
        <v/>
      </c>
      <c r="D383" s="0" t="str">
        <f aca="false">IF(B383="","",IF(COUNTIFS('MASTER MENU'!$A$5:$A$504,B383)=0,"BELUM ADA",INDEX('MASTER MENU'!$E$5:$E$504,MATCH(B383,'MASTER MENU'!$A$5:$A$504,0))))</f>
        <v/>
      </c>
      <c r="F383" s="0" t="str">
        <f aca="false">IF(B383="","",IF(COUNTIFS('MASTER MENU'!$A$5:$A$504,B383)=0,"BELUM ADA",INDEX('MASTER MENU'!$F$5:$F$504,MATCH(B383,'MASTER MENU'!$A$5:$A$504,0))))</f>
        <v/>
      </c>
      <c r="G383" s="0" t="str">
        <f aca="false">IF(A383="","",IF(OR(NOT(ISNUMBER(E383)),NOT(ISNUMBER(F383))),"BELUM LENGKAP",ROUND(E383*F383,0)))</f>
        <v/>
      </c>
      <c r="J383" s="0" t="str">
        <f aca="false">IF(A383="","",IF(NOT(ISNUMBER(G383)),"BELUM LENGKAP",G383-H383-I383))</f>
        <v/>
      </c>
      <c r="L383" s="0" t="str">
        <f aca="false">IF(A383="","",IF(NOT(ISNUMBER(K383)),"ISI SNAPSHOT HPP",ROUND(E383*K383,0)))</f>
        <v/>
      </c>
      <c r="M383" s="0" t="str">
        <f aca="false">IF(A383="","",IF(NOT(ISNUMBER(L383)),"BELUM LENGKAP",J383-L383))</f>
        <v/>
      </c>
      <c r="N383" s="0" t="str">
        <f aca="false">IF(B383="","",IF(COUNTIFS('RESEP DAN HPP'!$A$5:$A$504,B383,'RESEP DAN HPP'!$N$5:$N$504,"LENGKAP")=0,"BELUM LENGKAP",INDEX('RESEP DAN HPP'!$J$5:$J$504,MATCH(B383,'RESEP DAN HPP'!$A$5:$A$504,0))))</f>
        <v/>
      </c>
      <c r="P383" s="0" t="str">
        <f aca="false">IF(A383="","",IF(COUNTIFS('TRANSAKSI PENJUALAN'!$A$5:$A$504,A383)=0,"BELUM ADA",INDEX('TRANSAKSI PENJUALAN'!$B$5:$B$504,MATCH(A383,'TRANSAKSI PENJUALAN'!$A$5:$A$504,0))))</f>
        <v/>
      </c>
      <c r="Q383" s="0" t="str">
        <f aca="false">IF(A383="","",IF(COUNTIFS('TRANSAKSI PENJUALAN'!$A$5:$A$504,A383)=0,"BELUM ADA",INDEX('TRANSAKSI PENJUALAN'!$M$5:$M$504,MATCH(A383,'TRANSAKSI PENJUALAN'!$A$5:$A$504,0))))</f>
        <v/>
      </c>
      <c r="R383" s="24" t="str">
        <f aca="false">IF(A383="","",COUNTIF($A$5:A383,A383))</f>
        <v/>
      </c>
      <c r="S383" s="24" t="str">
        <f aca="false">IF(A383="","",A383&amp;"|"&amp;R383)</f>
        <v/>
      </c>
    </row>
    <row r="384" customFormat="false" ht="15" hidden="false" customHeight="false" outlineLevel="0" collapsed="false">
      <c r="C384" s="0" t="str">
        <f aca="false">IF(B384="","",IF(COUNTIFS('MASTER MENU'!$A$5:$A$504,B384)=0,"BELUM ADA",INDEX('MASTER MENU'!$B$5:$B$504,MATCH(B384,'MASTER MENU'!$A$5:$A$504,0))))</f>
        <v/>
      </c>
      <c r="D384" s="0" t="str">
        <f aca="false">IF(B384="","",IF(COUNTIFS('MASTER MENU'!$A$5:$A$504,B384)=0,"BELUM ADA",INDEX('MASTER MENU'!$E$5:$E$504,MATCH(B384,'MASTER MENU'!$A$5:$A$504,0))))</f>
        <v/>
      </c>
      <c r="F384" s="0" t="str">
        <f aca="false">IF(B384="","",IF(COUNTIFS('MASTER MENU'!$A$5:$A$504,B384)=0,"BELUM ADA",INDEX('MASTER MENU'!$F$5:$F$504,MATCH(B384,'MASTER MENU'!$A$5:$A$504,0))))</f>
        <v/>
      </c>
      <c r="G384" s="0" t="str">
        <f aca="false">IF(A384="","",IF(OR(NOT(ISNUMBER(E384)),NOT(ISNUMBER(F384))),"BELUM LENGKAP",ROUND(E384*F384,0)))</f>
        <v/>
      </c>
      <c r="J384" s="0" t="str">
        <f aca="false">IF(A384="","",IF(NOT(ISNUMBER(G384)),"BELUM LENGKAP",G384-H384-I384))</f>
        <v/>
      </c>
      <c r="L384" s="0" t="str">
        <f aca="false">IF(A384="","",IF(NOT(ISNUMBER(K384)),"ISI SNAPSHOT HPP",ROUND(E384*K384,0)))</f>
        <v/>
      </c>
      <c r="M384" s="0" t="str">
        <f aca="false">IF(A384="","",IF(NOT(ISNUMBER(L384)),"BELUM LENGKAP",J384-L384))</f>
        <v/>
      </c>
      <c r="N384" s="0" t="str">
        <f aca="false">IF(B384="","",IF(COUNTIFS('RESEP DAN HPP'!$A$5:$A$504,B384,'RESEP DAN HPP'!$N$5:$N$504,"LENGKAP")=0,"BELUM LENGKAP",INDEX('RESEP DAN HPP'!$J$5:$J$504,MATCH(B384,'RESEP DAN HPP'!$A$5:$A$504,0))))</f>
        <v/>
      </c>
      <c r="P384" s="0" t="str">
        <f aca="false">IF(A384="","",IF(COUNTIFS('TRANSAKSI PENJUALAN'!$A$5:$A$504,A384)=0,"BELUM ADA",INDEX('TRANSAKSI PENJUALAN'!$B$5:$B$504,MATCH(A384,'TRANSAKSI PENJUALAN'!$A$5:$A$504,0))))</f>
        <v/>
      </c>
      <c r="Q384" s="0" t="str">
        <f aca="false">IF(A384="","",IF(COUNTIFS('TRANSAKSI PENJUALAN'!$A$5:$A$504,A384)=0,"BELUM ADA",INDEX('TRANSAKSI PENJUALAN'!$M$5:$M$504,MATCH(A384,'TRANSAKSI PENJUALAN'!$A$5:$A$504,0))))</f>
        <v/>
      </c>
      <c r="R384" s="24" t="str">
        <f aca="false">IF(A384="","",COUNTIF($A$5:A384,A384))</f>
        <v/>
      </c>
      <c r="S384" s="24" t="str">
        <f aca="false">IF(A384="","",A384&amp;"|"&amp;R384)</f>
        <v/>
      </c>
    </row>
    <row r="385" customFormat="false" ht="15" hidden="false" customHeight="false" outlineLevel="0" collapsed="false">
      <c r="C385" s="0" t="str">
        <f aca="false">IF(B385="","",IF(COUNTIFS('MASTER MENU'!$A$5:$A$504,B385)=0,"BELUM ADA",INDEX('MASTER MENU'!$B$5:$B$504,MATCH(B385,'MASTER MENU'!$A$5:$A$504,0))))</f>
        <v/>
      </c>
      <c r="D385" s="0" t="str">
        <f aca="false">IF(B385="","",IF(COUNTIFS('MASTER MENU'!$A$5:$A$504,B385)=0,"BELUM ADA",INDEX('MASTER MENU'!$E$5:$E$504,MATCH(B385,'MASTER MENU'!$A$5:$A$504,0))))</f>
        <v/>
      </c>
      <c r="F385" s="0" t="str">
        <f aca="false">IF(B385="","",IF(COUNTIFS('MASTER MENU'!$A$5:$A$504,B385)=0,"BELUM ADA",INDEX('MASTER MENU'!$F$5:$F$504,MATCH(B385,'MASTER MENU'!$A$5:$A$504,0))))</f>
        <v/>
      </c>
      <c r="G385" s="0" t="str">
        <f aca="false">IF(A385="","",IF(OR(NOT(ISNUMBER(E385)),NOT(ISNUMBER(F385))),"BELUM LENGKAP",ROUND(E385*F385,0)))</f>
        <v/>
      </c>
      <c r="J385" s="0" t="str">
        <f aca="false">IF(A385="","",IF(NOT(ISNUMBER(G385)),"BELUM LENGKAP",G385-H385-I385))</f>
        <v/>
      </c>
      <c r="L385" s="0" t="str">
        <f aca="false">IF(A385="","",IF(NOT(ISNUMBER(K385)),"ISI SNAPSHOT HPP",ROUND(E385*K385,0)))</f>
        <v/>
      </c>
      <c r="M385" s="0" t="str">
        <f aca="false">IF(A385="","",IF(NOT(ISNUMBER(L385)),"BELUM LENGKAP",J385-L385))</f>
        <v/>
      </c>
      <c r="N385" s="0" t="str">
        <f aca="false">IF(B385="","",IF(COUNTIFS('RESEP DAN HPP'!$A$5:$A$504,B385,'RESEP DAN HPP'!$N$5:$N$504,"LENGKAP")=0,"BELUM LENGKAP",INDEX('RESEP DAN HPP'!$J$5:$J$504,MATCH(B385,'RESEP DAN HPP'!$A$5:$A$504,0))))</f>
        <v/>
      </c>
      <c r="P385" s="0" t="str">
        <f aca="false">IF(A385="","",IF(COUNTIFS('TRANSAKSI PENJUALAN'!$A$5:$A$504,A385)=0,"BELUM ADA",INDEX('TRANSAKSI PENJUALAN'!$B$5:$B$504,MATCH(A385,'TRANSAKSI PENJUALAN'!$A$5:$A$504,0))))</f>
        <v/>
      </c>
      <c r="Q385" s="0" t="str">
        <f aca="false">IF(A385="","",IF(COUNTIFS('TRANSAKSI PENJUALAN'!$A$5:$A$504,A385)=0,"BELUM ADA",INDEX('TRANSAKSI PENJUALAN'!$M$5:$M$504,MATCH(A385,'TRANSAKSI PENJUALAN'!$A$5:$A$504,0))))</f>
        <v/>
      </c>
      <c r="R385" s="24" t="str">
        <f aca="false">IF(A385="","",COUNTIF($A$5:A385,A385))</f>
        <v/>
      </c>
      <c r="S385" s="24" t="str">
        <f aca="false">IF(A385="","",A385&amp;"|"&amp;R385)</f>
        <v/>
      </c>
    </row>
    <row r="386" customFormat="false" ht="15" hidden="false" customHeight="false" outlineLevel="0" collapsed="false">
      <c r="C386" s="0" t="str">
        <f aca="false">IF(B386="","",IF(COUNTIFS('MASTER MENU'!$A$5:$A$504,B386)=0,"BELUM ADA",INDEX('MASTER MENU'!$B$5:$B$504,MATCH(B386,'MASTER MENU'!$A$5:$A$504,0))))</f>
        <v/>
      </c>
      <c r="D386" s="0" t="str">
        <f aca="false">IF(B386="","",IF(COUNTIFS('MASTER MENU'!$A$5:$A$504,B386)=0,"BELUM ADA",INDEX('MASTER MENU'!$E$5:$E$504,MATCH(B386,'MASTER MENU'!$A$5:$A$504,0))))</f>
        <v/>
      </c>
      <c r="F386" s="0" t="str">
        <f aca="false">IF(B386="","",IF(COUNTIFS('MASTER MENU'!$A$5:$A$504,B386)=0,"BELUM ADA",INDEX('MASTER MENU'!$F$5:$F$504,MATCH(B386,'MASTER MENU'!$A$5:$A$504,0))))</f>
        <v/>
      </c>
      <c r="G386" s="0" t="str">
        <f aca="false">IF(A386="","",IF(OR(NOT(ISNUMBER(E386)),NOT(ISNUMBER(F386))),"BELUM LENGKAP",ROUND(E386*F386,0)))</f>
        <v/>
      </c>
      <c r="J386" s="0" t="str">
        <f aca="false">IF(A386="","",IF(NOT(ISNUMBER(G386)),"BELUM LENGKAP",G386-H386-I386))</f>
        <v/>
      </c>
      <c r="L386" s="0" t="str">
        <f aca="false">IF(A386="","",IF(NOT(ISNUMBER(K386)),"ISI SNAPSHOT HPP",ROUND(E386*K386,0)))</f>
        <v/>
      </c>
      <c r="M386" s="0" t="str">
        <f aca="false">IF(A386="","",IF(NOT(ISNUMBER(L386)),"BELUM LENGKAP",J386-L386))</f>
        <v/>
      </c>
      <c r="N386" s="0" t="str">
        <f aca="false">IF(B386="","",IF(COUNTIFS('RESEP DAN HPP'!$A$5:$A$504,B386,'RESEP DAN HPP'!$N$5:$N$504,"LENGKAP")=0,"BELUM LENGKAP",INDEX('RESEP DAN HPP'!$J$5:$J$504,MATCH(B386,'RESEP DAN HPP'!$A$5:$A$504,0))))</f>
        <v/>
      </c>
      <c r="P386" s="0" t="str">
        <f aca="false">IF(A386="","",IF(COUNTIFS('TRANSAKSI PENJUALAN'!$A$5:$A$504,A386)=0,"BELUM ADA",INDEX('TRANSAKSI PENJUALAN'!$B$5:$B$504,MATCH(A386,'TRANSAKSI PENJUALAN'!$A$5:$A$504,0))))</f>
        <v/>
      </c>
      <c r="Q386" s="0" t="str">
        <f aca="false">IF(A386="","",IF(COUNTIFS('TRANSAKSI PENJUALAN'!$A$5:$A$504,A386)=0,"BELUM ADA",INDEX('TRANSAKSI PENJUALAN'!$M$5:$M$504,MATCH(A386,'TRANSAKSI PENJUALAN'!$A$5:$A$504,0))))</f>
        <v/>
      </c>
      <c r="R386" s="24" t="str">
        <f aca="false">IF(A386="","",COUNTIF($A$5:A386,A386))</f>
        <v/>
      </c>
      <c r="S386" s="24" t="str">
        <f aca="false">IF(A386="","",A386&amp;"|"&amp;R386)</f>
        <v/>
      </c>
    </row>
    <row r="387" customFormat="false" ht="15" hidden="false" customHeight="false" outlineLevel="0" collapsed="false">
      <c r="C387" s="0" t="str">
        <f aca="false">IF(B387="","",IF(COUNTIFS('MASTER MENU'!$A$5:$A$504,B387)=0,"BELUM ADA",INDEX('MASTER MENU'!$B$5:$B$504,MATCH(B387,'MASTER MENU'!$A$5:$A$504,0))))</f>
        <v/>
      </c>
      <c r="D387" s="0" t="str">
        <f aca="false">IF(B387="","",IF(COUNTIFS('MASTER MENU'!$A$5:$A$504,B387)=0,"BELUM ADA",INDEX('MASTER MENU'!$E$5:$E$504,MATCH(B387,'MASTER MENU'!$A$5:$A$504,0))))</f>
        <v/>
      </c>
      <c r="F387" s="0" t="str">
        <f aca="false">IF(B387="","",IF(COUNTIFS('MASTER MENU'!$A$5:$A$504,B387)=0,"BELUM ADA",INDEX('MASTER MENU'!$F$5:$F$504,MATCH(B387,'MASTER MENU'!$A$5:$A$504,0))))</f>
        <v/>
      </c>
      <c r="G387" s="0" t="str">
        <f aca="false">IF(A387="","",IF(OR(NOT(ISNUMBER(E387)),NOT(ISNUMBER(F387))),"BELUM LENGKAP",ROUND(E387*F387,0)))</f>
        <v/>
      </c>
      <c r="J387" s="0" t="str">
        <f aca="false">IF(A387="","",IF(NOT(ISNUMBER(G387)),"BELUM LENGKAP",G387-H387-I387))</f>
        <v/>
      </c>
      <c r="L387" s="0" t="str">
        <f aca="false">IF(A387="","",IF(NOT(ISNUMBER(K387)),"ISI SNAPSHOT HPP",ROUND(E387*K387,0)))</f>
        <v/>
      </c>
      <c r="M387" s="0" t="str">
        <f aca="false">IF(A387="","",IF(NOT(ISNUMBER(L387)),"BELUM LENGKAP",J387-L387))</f>
        <v/>
      </c>
      <c r="N387" s="0" t="str">
        <f aca="false">IF(B387="","",IF(COUNTIFS('RESEP DAN HPP'!$A$5:$A$504,B387,'RESEP DAN HPP'!$N$5:$N$504,"LENGKAP")=0,"BELUM LENGKAP",INDEX('RESEP DAN HPP'!$J$5:$J$504,MATCH(B387,'RESEP DAN HPP'!$A$5:$A$504,0))))</f>
        <v/>
      </c>
      <c r="P387" s="0" t="str">
        <f aca="false">IF(A387="","",IF(COUNTIFS('TRANSAKSI PENJUALAN'!$A$5:$A$504,A387)=0,"BELUM ADA",INDEX('TRANSAKSI PENJUALAN'!$B$5:$B$504,MATCH(A387,'TRANSAKSI PENJUALAN'!$A$5:$A$504,0))))</f>
        <v/>
      </c>
      <c r="Q387" s="0" t="str">
        <f aca="false">IF(A387="","",IF(COUNTIFS('TRANSAKSI PENJUALAN'!$A$5:$A$504,A387)=0,"BELUM ADA",INDEX('TRANSAKSI PENJUALAN'!$M$5:$M$504,MATCH(A387,'TRANSAKSI PENJUALAN'!$A$5:$A$504,0))))</f>
        <v/>
      </c>
      <c r="R387" s="24" t="str">
        <f aca="false">IF(A387="","",COUNTIF($A$5:A387,A387))</f>
        <v/>
      </c>
      <c r="S387" s="24" t="str">
        <f aca="false">IF(A387="","",A387&amp;"|"&amp;R387)</f>
        <v/>
      </c>
    </row>
    <row r="388" customFormat="false" ht="15" hidden="false" customHeight="false" outlineLevel="0" collapsed="false">
      <c r="C388" s="0" t="str">
        <f aca="false">IF(B388="","",IF(COUNTIFS('MASTER MENU'!$A$5:$A$504,B388)=0,"BELUM ADA",INDEX('MASTER MENU'!$B$5:$B$504,MATCH(B388,'MASTER MENU'!$A$5:$A$504,0))))</f>
        <v/>
      </c>
      <c r="D388" s="0" t="str">
        <f aca="false">IF(B388="","",IF(COUNTIFS('MASTER MENU'!$A$5:$A$504,B388)=0,"BELUM ADA",INDEX('MASTER MENU'!$E$5:$E$504,MATCH(B388,'MASTER MENU'!$A$5:$A$504,0))))</f>
        <v/>
      </c>
      <c r="F388" s="0" t="str">
        <f aca="false">IF(B388="","",IF(COUNTIFS('MASTER MENU'!$A$5:$A$504,B388)=0,"BELUM ADA",INDEX('MASTER MENU'!$F$5:$F$504,MATCH(B388,'MASTER MENU'!$A$5:$A$504,0))))</f>
        <v/>
      </c>
      <c r="G388" s="0" t="str">
        <f aca="false">IF(A388="","",IF(OR(NOT(ISNUMBER(E388)),NOT(ISNUMBER(F388))),"BELUM LENGKAP",ROUND(E388*F388,0)))</f>
        <v/>
      </c>
      <c r="J388" s="0" t="str">
        <f aca="false">IF(A388="","",IF(NOT(ISNUMBER(G388)),"BELUM LENGKAP",G388-H388-I388))</f>
        <v/>
      </c>
      <c r="L388" s="0" t="str">
        <f aca="false">IF(A388="","",IF(NOT(ISNUMBER(K388)),"ISI SNAPSHOT HPP",ROUND(E388*K388,0)))</f>
        <v/>
      </c>
      <c r="M388" s="0" t="str">
        <f aca="false">IF(A388="","",IF(NOT(ISNUMBER(L388)),"BELUM LENGKAP",J388-L388))</f>
        <v/>
      </c>
      <c r="N388" s="0" t="str">
        <f aca="false">IF(B388="","",IF(COUNTIFS('RESEP DAN HPP'!$A$5:$A$504,B388,'RESEP DAN HPP'!$N$5:$N$504,"LENGKAP")=0,"BELUM LENGKAP",INDEX('RESEP DAN HPP'!$J$5:$J$504,MATCH(B388,'RESEP DAN HPP'!$A$5:$A$504,0))))</f>
        <v/>
      </c>
      <c r="P388" s="0" t="str">
        <f aca="false">IF(A388="","",IF(COUNTIFS('TRANSAKSI PENJUALAN'!$A$5:$A$504,A388)=0,"BELUM ADA",INDEX('TRANSAKSI PENJUALAN'!$B$5:$B$504,MATCH(A388,'TRANSAKSI PENJUALAN'!$A$5:$A$504,0))))</f>
        <v/>
      </c>
      <c r="Q388" s="0" t="str">
        <f aca="false">IF(A388="","",IF(COUNTIFS('TRANSAKSI PENJUALAN'!$A$5:$A$504,A388)=0,"BELUM ADA",INDEX('TRANSAKSI PENJUALAN'!$M$5:$M$504,MATCH(A388,'TRANSAKSI PENJUALAN'!$A$5:$A$504,0))))</f>
        <v/>
      </c>
      <c r="R388" s="24" t="str">
        <f aca="false">IF(A388="","",COUNTIF($A$5:A388,A388))</f>
        <v/>
      </c>
      <c r="S388" s="24" t="str">
        <f aca="false">IF(A388="","",A388&amp;"|"&amp;R388)</f>
        <v/>
      </c>
    </row>
    <row r="389" customFormat="false" ht="15" hidden="false" customHeight="false" outlineLevel="0" collapsed="false">
      <c r="C389" s="0" t="str">
        <f aca="false">IF(B389="","",IF(COUNTIFS('MASTER MENU'!$A$5:$A$504,B389)=0,"BELUM ADA",INDEX('MASTER MENU'!$B$5:$B$504,MATCH(B389,'MASTER MENU'!$A$5:$A$504,0))))</f>
        <v/>
      </c>
      <c r="D389" s="0" t="str">
        <f aca="false">IF(B389="","",IF(COUNTIFS('MASTER MENU'!$A$5:$A$504,B389)=0,"BELUM ADA",INDEX('MASTER MENU'!$E$5:$E$504,MATCH(B389,'MASTER MENU'!$A$5:$A$504,0))))</f>
        <v/>
      </c>
      <c r="F389" s="0" t="str">
        <f aca="false">IF(B389="","",IF(COUNTIFS('MASTER MENU'!$A$5:$A$504,B389)=0,"BELUM ADA",INDEX('MASTER MENU'!$F$5:$F$504,MATCH(B389,'MASTER MENU'!$A$5:$A$504,0))))</f>
        <v/>
      </c>
      <c r="G389" s="0" t="str">
        <f aca="false">IF(A389="","",IF(OR(NOT(ISNUMBER(E389)),NOT(ISNUMBER(F389))),"BELUM LENGKAP",ROUND(E389*F389,0)))</f>
        <v/>
      </c>
      <c r="J389" s="0" t="str">
        <f aca="false">IF(A389="","",IF(NOT(ISNUMBER(G389)),"BELUM LENGKAP",G389-H389-I389))</f>
        <v/>
      </c>
      <c r="L389" s="0" t="str">
        <f aca="false">IF(A389="","",IF(NOT(ISNUMBER(K389)),"ISI SNAPSHOT HPP",ROUND(E389*K389,0)))</f>
        <v/>
      </c>
      <c r="M389" s="0" t="str">
        <f aca="false">IF(A389="","",IF(NOT(ISNUMBER(L389)),"BELUM LENGKAP",J389-L389))</f>
        <v/>
      </c>
      <c r="N389" s="0" t="str">
        <f aca="false">IF(B389="","",IF(COUNTIFS('RESEP DAN HPP'!$A$5:$A$504,B389,'RESEP DAN HPP'!$N$5:$N$504,"LENGKAP")=0,"BELUM LENGKAP",INDEX('RESEP DAN HPP'!$J$5:$J$504,MATCH(B389,'RESEP DAN HPP'!$A$5:$A$504,0))))</f>
        <v/>
      </c>
      <c r="P389" s="0" t="str">
        <f aca="false">IF(A389="","",IF(COUNTIFS('TRANSAKSI PENJUALAN'!$A$5:$A$504,A389)=0,"BELUM ADA",INDEX('TRANSAKSI PENJUALAN'!$B$5:$B$504,MATCH(A389,'TRANSAKSI PENJUALAN'!$A$5:$A$504,0))))</f>
        <v/>
      </c>
      <c r="Q389" s="0" t="str">
        <f aca="false">IF(A389="","",IF(COUNTIFS('TRANSAKSI PENJUALAN'!$A$5:$A$504,A389)=0,"BELUM ADA",INDEX('TRANSAKSI PENJUALAN'!$M$5:$M$504,MATCH(A389,'TRANSAKSI PENJUALAN'!$A$5:$A$504,0))))</f>
        <v/>
      </c>
      <c r="R389" s="24" t="str">
        <f aca="false">IF(A389="","",COUNTIF($A$5:A389,A389))</f>
        <v/>
      </c>
      <c r="S389" s="24" t="str">
        <f aca="false">IF(A389="","",A389&amp;"|"&amp;R389)</f>
        <v/>
      </c>
    </row>
    <row r="390" customFormat="false" ht="15" hidden="false" customHeight="false" outlineLevel="0" collapsed="false">
      <c r="C390" s="0" t="str">
        <f aca="false">IF(B390="","",IF(COUNTIFS('MASTER MENU'!$A$5:$A$504,B390)=0,"BELUM ADA",INDEX('MASTER MENU'!$B$5:$B$504,MATCH(B390,'MASTER MENU'!$A$5:$A$504,0))))</f>
        <v/>
      </c>
      <c r="D390" s="0" t="str">
        <f aca="false">IF(B390="","",IF(COUNTIFS('MASTER MENU'!$A$5:$A$504,B390)=0,"BELUM ADA",INDEX('MASTER MENU'!$E$5:$E$504,MATCH(B390,'MASTER MENU'!$A$5:$A$504,0))))</f>
        <v/>
      </c>
      <c r="F390" s="0" t="str">
        <f aca="false">IF(B390="","",IF(COUNTIFS('MASTER MENU'!$A$5:$A$504,B390)=0,"BELUM ADA",INDEX('MASTER MENU'!$F$5:$F$504,MATCH(B390,'MASTER MENU'!$A$5:$A$504,0))))</f>
        <v/>
      </c>
      <c r="G390" s="0" t="str">
        <f aca="false">IF(A390="","",IF(OR(NOT(ISNUMBER(E390)),NOT(ISNUMBER(F390))),"BELUM LENGKAP",ROUND(E390*F390,0)))</f>
        <v/>
      </c>
      <c r="J390" s="0" t="str">
        <f aca="false">IF(A390="","",IF(NOT(ISNUMBER(G390)),"BELUM LENGKAP",G390-H390-I390))</f>
        <v/>
      </c>
      <c r="L390" s="0" t="str">
        <f aca="false">IF(A390="","",IF(NOT(ISNUMBER(K390)),"ISI SNAPSHOT HPP",ROUND(E390*K390,0)))</f>
        <v/>
      </c>
      <c r="M390" s="0" t="str">
        <f aca="false">IF(A390="","",IF(NOT(ISNUMBER(L390)),"BELUM LENGKAP",J390-L390))</f>
        <v/>
      </c>
      <c r="N390" s="0" t="str">
        <f aca="false">IF(B390="","",IF(COUNTIFS('RESEP DAN HPP'!$A$5:$A$504,B390,'RESEP DAN HPP'!$N$5:$N$504,"LENGKAP")=0,"BELUM LENGKAP",INDEX('RESEP DAN HPP'!$J$5:$J$504,MATCH(B390,'RESEP DAN HPP'!$A$5:$A$504,0))))</f>
        <v/>
      </c>
      <c r="P390" s="0" t="str">
        <f aca="false">IF(A390="","",IF(COUNTIFS('TRANSAKSI PENJUALAN'!$A$5:$A$504,A390)=0,"BELUM ADA",INDEX('TRANSAKSI PENJUALAN'!$B$5:$B$504,MATCH(A390,'TRANSAKSI PENJUALAN'!$A$5:$A$504,0))))</f>
        <v/>
      </c>
      <c r="Q390" s="0" t="str">
        <f aca="false">IF(A390="","",IF(COUNTIFS('TRANSAKSI PENJUALAN'!$A$5:$A$504,A390)=0,"BELUM ADA",INDEX('TRANSAKSI PENJUALAN'!$M$5:$M$504,MATCH(A390,'TRANSAKSI PENJUALAN'!$A$5:$A$504,0))))</f>
        <v/>
      </c>
      <c r="R390" s="24" t="str">
        <f aca="false">IF(A390="","",COUNTIF($A$5:A390,A390))</f>
        <v/>
      </c>
      <c r="S390" s="24" t="str">
        <f aca="false">IF(A390="","",A390&amp;"|"&amp;R390)</f>
        <v/>
      </c>
    </row>
    <row r="391" customFormat="false" ht="15" hidden="false" customHeight="false" outlineLevel="0" collapsed="false">
      <c r="C391" s="0" t="str">
        <f aca="false">IF(B391="","",IF(COUNTIFS('MASTER MENU'!$A$5:$A$504,B391)=0,"BELUM ADA",INDEX('MASTER MENU'!$B$5:$B$504,MATCH(B391,'MASTER MENU'!$A$5:$A$504,0))))</f>
        <v/>
      </c>
      <c r="D391" s="0" t="str">
        <f aca="false">IF(B391="","",IF(COUNTIFS('MASTER MENU'!$A$5:$A$504,B391)=0,"BELUM ADA",INDEX('MASTER MENU'!$E$5:$E$504,MATCH(B391,'MASTER MENU'!$A$5:$A$504,0))))</f>
        <v/>
      </c>
      <c r="F391" s="0" t="str">
        <f aca="false">IF(B391="","",IF(COUNTIFS('MASTER MENU'!$A$5:$A$504,B391)=0,"BELUM ADA",INDEX('MASTER MENU'!$F$5:$F$504,MATCH(B391,'MASTER MENU'!$A$5:$A$504,0))))</f>
        <v/>
      </c>
      <c r="G391" s="0" t="str">
        <f aca="false">IF(A391="","",IF(OR(NOT(ISNUMBER(E391)),NOT(ISNUMBER(F391))),"BELUM LENGKAP",ROUND(E391*F391,0)))</f>
        <v/>
      </c>
      <c r="J391" s="0" t="str">
        <f aca="false">IF(A391="","",IF(NOT(ISNUMBER(G391)),"BELUM LENGKAP",G391-H391-I391))</f>
        <v/>
      </c>
      <c r="L391" s="0" t="str">
        <f aca="false">IF(A391="","",IF(NOT(ISNUMBER(K391)),"ISI SNAPSHOT HPP",ROUND(E391*K391,0)))</f>
        <v/>
      </c>
      <c r="M391" s="0" t="str">
        <f aca="false">IF(A391="","",IF(NOT(ISNUMBER(L391)),"BELUM LENGKAP",J391-L391))</f>
        <v/>
      </c>
      <c r="N391" s="0" t="str">
        <f aca="false">IF(B391="","",IF(COUNTIFS('RESEP DAN HPP'!$A$5:$A$504,B391,'RESEP DAN HPP'!$N$5:$N$504,"LENGKAP")=0,"BELUM LENGKAP",INDEX('RESEP DAN HPP'!$J$5:$J$504,MATCH(B391,'RESEP DAN HPP'!$A$5:$A$504,0))))</f>
        <v/>
      </c>
      <c r="P391" s="0" t="str">
        <f aca="false">IF(A391="","",IF(COUNTIFS('TRANSAKSI PENJUALAN'!$A$5:$A$504,A391)=0,"BELUM ADA",INDEX('TRANSAKSI PENJUALAN'!$B$5:$B$504,MATCH(A391,'TRANSAKSI PENJUALAN'!$A$5:$A$504,0))))</f>
        <v/>
      </c>
      <c r="Q391" s="0" t="str">
        <f aca="false">IF(A391="","",IF(COUNTIFS('TRANSAKSI PENJUALAN'!$A$5:$A$504,A391)=0,"BELUM ADA",INDEX('TRANSAKSI PENJUALAN'!$M$5:$M$504,MATCH(A391,'TRANSAKSI PENJUALAN'!$A$5:$A$504,0))))</f>
        <v/>
      </c>
      <c r="R391" s="24" t="str">
        <f aca="false">IF(A391="","",COUNTIF($A$5:A391,A391))</f>
        <v/>
      </c>
      <c r="S391" s="24" t="str">
        <f aca="false">IF(A391="","",A391&amp;"|"&amp;R391)</f>
        <v/>
      </c>
    </row>
    <row r="392" customFormat="false" ht="15" hidden="false" customHeight="false" outlineLevel="0" collapsed="false">
      <c r="C392" s="0" t="str">
        <f aca="false">IF(B392="","",IF(COUNTIFS('MASTER MENU'!$A$5:$A$504,B392)=0,"BELUM ADA",INDEX('MASTER MENU'!$B$5:$B$504,MATCH(B392,'MASTER MENU'!$A$5:$A$504,0))))</f>
        <v/>
      </c>
      <c r="D392" s="0" t="str">
        <f aca="false">IF(B392="","",IF(COUNTIFS('MASTER MENU'!$A$5:$A$504,B392)=0,"BELUM ADA",INDEX('MASTER MENU'!$E$5:$E$504,MATCH(B392,'MASTER MENU'!$A$5:$A$504,0))))</f>
        <v/>
      </c>
      <c r="F392" s="0" t="str">
        <f aca="false">IF(B392="","",IF(COUNTIFS('MASTER MENU'!$A$5:$A$504,B392)=0,"BELUM ADA",INDEX('MASTER MENU'!$F$5:$F$504,MATCH(B392,'MASTER MENU'!$A$5:$A$504,0))))</f>
        <v/>
      </c>
      <c r="G392" s="0" t="str">
        <f aca="false">IF(A392="","",IF(OR(NOT(ISNUMBER(E392)),NOT(ISNUMBER(F392))),"BELUM LENGKAP",ROUND(E392*F392,0)))</f>
        <v/>
      </c>
      <c r="J392" s="0" t="str">
        <f aca="false">IF(A392="","",IF(NOT(ISNUMBER(G392)),"BELUM LENGKAP",G392-H392-I392))</f>
        <v/>
      </c>
      <c r="L392" s="0" t="str">
        <f aca="false">IF(A392="","",IF(NOT(ISNUMBER(K392)),"ISI SNAPSHOT HPP",ROUND(E392*K392,0)))</f>
        <v/>
      </c>
      <c r="M392" s="0" t="str">
        <f aca="false">IF(A392="","",IF(NOT(ISNUMBER(L392)),"BELUM LENGKAP",J392-L392))</f>
        <v/>
      </c>
      <c r="N392" s="0" t="str">
        <f aca="false">IF(B392="","",IF(COUNTIFS('RESEP DAN HPP'!$A$5:$A$504,B392,'RESEP DAN HPP'!$N$5:$N$504,"LENGKAP")=0,"BELUM LENGKAP",INDEX('RESEP DAN HPP'!$J$5:$J$504,MATCH(B392,'RESEP DAN HPP'!$A$5:$A$504,0))))</f>
        <v/>
      </c>
      <c r="P392" s="0" t="str">
        <f aca="false">IF(A392="","",IF(COUNTIFS('TRANSAKSI PENJUALAN'!$A$5:$A$504,A392)=0,"BELUM ADA",INDEX('TRANSAKSI PENJUALAN'!$B$5:$B$504,MATCH(A392,'TRANSAKSI PENJUALAN'!$A$5:$A$504,0))))</f>
        <v/>
      </c>
      <c r="Q392" s="0" t="str">
        <f aca="false">IF(A392="","",IF(COUNTIFS('TRANSAKSI PENJUALAN'!$A$5:$A$504,A392)=0,"BELUM ADA",INDEX('TRANSAKSI PENJUALAN'!$M$5:$M$504,MATCH(A392,'TRANSAKSI PENJUALAN'!$A$5:$A$504,0))))</f>
        <v/>
      </c>
      <c r="R392" s="24" t="str">
        <f aca="false">IF(A392="","",COUNTIF($A$5:A392,A392))</f>
        <v/>
      </c>
      <c r="S392" s="24" t="str">
        <f aca="false">IF(A392="","",A392&amp;"|"&amp;R392)</f>
        <v/>
      </c>
    </row>
    <row r="393" customFormat="false" ht="15" hidden="false" customHeight="false" outlineLevel="0" collapsed="false">
      <c r="C393" s="0" t="str">
        <f aca="false">IF(B393="","",IF(COUNTIFS('MASTER MENU'!$A$5:$A$504,B393)=0,"BELUM ADA",INDEX('MASTER MENU'!$B$5:$B$504,MATCH(B393,'MASTER MENU'!$A$5:$A$504,0))))</f>
        <v/>
      </c>
      <c r="D393" s="0" t="str">
        <f aca="false">IF(B393="","",IF(COUNTIFS('MASTER MENU'!$A$5:$A$504,B393)=0,"BELUM ADA",INDEX('MASTER MENU'!$E$5:$E$504,MATCH(B393,'MASTER MENU'!$A$5:$A$504,0))))</f>
        <v/>
      </c>
      <c r="F393" s="0" t="str">
        <f aca="false">IF(B393="","",IF(COUNTIFS('MASTER MENU'!$A$5:$A$504,B393)=0,"BELUM ADA",INDEX('MASTER MENU'!$F$5:$F$504,MATCH(B393,'MASTER MENU'!$A$5:$A$504,0))))</f>
        <v/>
      </c>
      <c r="G393" s="0" t="str">
        <f aca="false">IF(A393="","",IF(OR(NOT(ISNUMBER(E393)),NOT(ISNUMBER(F393))),"BELUM LENGKAP",ROUND(E393*F393,0)))</f>
        <v/>
      </c>
      <c r="J393" s="0" t="str">
        <f aca="false">IF(A393="","",IF(NOT(ISNUMBER(G393)),"BELUM LENGKAP",G393-H393-I393))</f>
        <v/>
      </c>
      <c r="L393" s="0" t="str">
        <f aca="false">IF(A393="","",IF(NOT(ISNUMBER(K393)),"ISI SNAPSHOT HPP",ROUND(E393*K393,0)))</f>
        <v/>
      </c>
      <c r="M393" s="0" t="str">
        <f aca="false">IF(A393="","",IF(NOT(ISNUMBER(L393)),"BELUM LENGKAP",J393-L393))</f>
        <v/>
      </c>
      <c r="N393" s="0" t="str">
        <f aca="false">IF(B393="","",IF(COUNTIFS('RESEP DAN HPP'!$A$5:$A$504,B393,'RESEP DAN HPP'!$N$5:$N$504,"LENGKAP")=0,"BELUM LENGKAP",INDEX('RESEP DAN HPP'!$J$5:$J$504,MATCH(B393,'RESEP DAN HPP'!$A$5:$A$504,0))))</f>
        <v/>
      </c>
      <c r="P393" s="0" t="str">
        <f aca="false">IF(A393="","",IF(COUNTIFS('TRANSAKSI PENJUALAN'!$A$5:$A$504,A393)=0,"BELUM ADA",INDEX('TRANSAKSI PENJUALAN'!$B$5:$B$504,MATCH(A393,'TRANSAKSI PENJUALAN'!$A$5:$A$504,0))))</f>
        <v/>
      </c>
      <c r="Q393" s="0" t="str">
        <f aca="false">IF(A393="","",IF(COUNTIFS('TRANSAKSI PENJUALAN'!$A$5:$A$504,A393)=0,"BELUM ADA",INDEX('TRANSAKSI PENJUALAN'!$M$5:$M$504,MATCH(A393,'TRANSAKSI PENJUALAN'!$A$5:$A$504,0))))</f>
        <v/>
      </c>
      <c r="R393" s="24" t="str">
        <f aca="false">IF(A393="","",COUNTIF($A$5:A393,A393))</f>
        <v/>
      </c>
      <c r="S393" s="24" t="str">
        <f aca="false">IF(A393="","",A393&amp;"|"&amp;R393)</f>
        <v/>
      </c>
    </row>
    <row r="394" customFormat="false" ht="15" hidden="false" customHeight="false" outlineLevel="0" collapsed="false">
      <c r="C394" s="0" t="str">
        <f aca="false">IF(B394="","",IF(COUNTIFS('MASTER MENU'!$A$5:$A$504,B394)=0,"BELUM ADA",INDEX('MASTER MENU'!$B$5:$B$504,MATCH(B394,'MASTER MENU'!$A$5:$A$504,0))))</f>
        <v/>
      </c>
      <c r="D394" s="0" t="str">
        <f aca="false">IF(B394="","",IF(COUNTIFS('MASTER MENU'!$A$5:$A$504,B394)=0,"BELUM ADA",INDEX('MASTER MENU'!$E$5:$E$504,MATCH(B394,'MASTER MENU'!$A$5:$A$504,0))))</f>
        <v/>
      </c>
      <c r="F394" s="0" t="str">
        <f aca="false">IF(B394="","",IF(COUNTIFS('MASTER MENU'!$A$5:$A$504,B394)=0,"BELUM ADA",INDEX('MASTER MENU'!$F$5:$F$504,MATCH(B394,'MASTER MENU'!$A$5:$A$504,0))))</f>
        <v/>
      </c>
      <c r="G394" s="0" t="str">
        <f aca="false">IF(A394="","",IF(OR(NOT(ISNUMBER(E394)),NOT(ISNUMBER(F394))),"BELUM LENGKAP",ROUND(E394*F394,0)))</f>
        <v/>
      </c>
      <c r="J394" s="0" t="str">
        <f aca="false">IF(A394="","",IF(NOT(ISNUMBER(G394)),"BELUM LENGKAP",G394-H394-I394))</f>
        <v/>
      </c>
      <c r="L394" s="0" t="str">
        <f aca="false">IF(A394="","",IF(NOT(ISNUMBER(K394)),"ISI SNAPSHOT HPP",ROUND(E394*K394,0)))</f>
        <v/>
      </c>
      <c r="M394" s="0" t="str">
        <f aca="false">IF(A394="","",IF(NOT(ISNUMBER(L394)),"BELUM LENGKAP",J394-L394))</f>
        <v/>
      </c>
      <c r="N394" s="0" t="str">
        <f aca="false">IF(B394="","",IF(COUNTIFS('RESEP DAN HPP'!$A$5:$A$504,B394,'RESEP DAN HPP'!$N$5:$N$504,"LENGKAP")=0,"BELUM LENGKAP",INDEX('RESEP DAN HPP'!$J$5:$J$504,MATCH(B394,'RESEP DAN HPP'!$A$5:$A$504,0))))</f>
        <v/>
      </c>
      <c r="P394" s="0" t="str">
        <f aca="false">IF(A394="","",IF(COUNTIFS('TRANSAKSI PENJUALAN'!$A$5:$A$504,A394)=0,"BELUM ADA",INDEX('TRANSAKSI PENJUALAN'!$B$5:$B$504,MATCH(A394,'TRANSAKSI PENJUALAN'!$A$5:$A$504,0))))</f>
        <v/>
      </c>
      <c r="Q394" s="0" t="str">
        <f aca="false">IF(A394="","",IF(COUNTIFS('TRANSAKSI PENJUALAN'!$A$5:$A$504,A394)=0,"BELUM ADA",INDEX('TRANSAKSI PENJUALAN'!$M$5:$M$504,MATCH(A394,'TRANSAKSI PENJUALAN'!$A$5:$A$504,0))))</f>
        <v/>
      </c>
      <c r="R394" s="24" t="str">
        <f aca="false">IF(A394="","",COUNTIF($A$5:A394,A394))</f>
        <v/>
      </c>
      <c r="S394" s="24" t="str">
        <f aca="false">IF(A394="","",A394&amp;"|"&amp;R394)</f>
        <v/>
      </c>
    </row>
    <row r="395" customFormat="false" ht="15" hidden="false" customHeight="false" outlineLevel="0" collapsed="false">
      <c r="C395" s="0" t="str">
        <f aca="false">IF(B395="","",IF(COUNTIFS('MASTER MENU'!$A$5:$A$504,B395)=0,"BELUM ADA",INDEX('MASTER MENU'!$B$5:$B$504,MATCH(B395,'MASTER MENU'!$A$5:$A$504,0))))</f>
        <v/>
      </c>
      <c r="D395" s="0" t="str">
        <f aca="false">IF(B395="","",IF(COUNTIFS('MASTER MENU'!$A$5:$A$504,B395)=0,"BELUM ADA",INDEX('MASTER MENU'!$E$5:$E$504,MATCH(B395,'MASTER MENU'!$A$5:$A$504,0))))</f>
        <v/>
      </c>
      <c r="F395" s="0" t="str">
        <f aca="false">IF(B395="","",IF(COUNTIFS('MASTER MENU'!$A$5:$A$504,B395)=0,"BELUM ADA",INDEX('MASTER MENU'!$F$5:$F$504,MATCH(B395,'MASTER MENU'!$A$5:$A$504,0))))</f>
        <v/>
      </c>
      <c r="G395" s="0" t="str">
        <f aca="false">IF(A395="","",IF(OR(NOT(ISNUMBER(E395)),NOT(ISNUMBER(F395))),"BELUM LENGKAP",ROUND(E395*F395,0)))</f>
        <v/>
      </c>
      <c r="J395" s="0" t="str">
        <f aca="false">IF(A395="","",IF(NOT(ISNUMBER(G395)),"BELUM LENGKAP",G395-H395-I395))</f>
        <v/>
      </c>
      <c r="L395" s="0" t="str">
        <f aca="false">IF(A395="","",IF(NOT(ISNUMBER(K395)),"ISI SNAPSHOT HPP",ROUND(E395*K395,0)))</f>
        <v/>
      </c>
      <c r="M395" s="0" t="str">
        <f aca="false">IF(A395="","",IF(NOT(ISNUMBER(L395)),"BELUM LENGKAP",J395-L395))</f>
        <v/>
      </c>
      <c r="N395" s="0" t="str">
        <f aca="false">IF(B395="","",IF(COUNTIFS('RESEP DAN HPP'!$A$5:$A$504,B395,'RESEP DAN HPP'!$N$5:$N$504,"LENGKAP")=0,"BELUM LENGKAP",INDEX('RESEP DAN HPP'!$J$5:$J$504,MATCH(B395,'RESEP DAN HPP'!$A$5:$A$504,0))))</f>
        <v/>
      </c>
      <c r="P395" s="0" t="str">
        <f aca="false">IF(A395="","",IF(COUNTIFS('TRANSAKSI PENJUALAN'!$A$5:$A$504,A395)=0,"BELUM ADA",INDEX('TRANSAKSI PENJUALAN'!$B$5:$B$504,MATCH(A395,'TRANSAKSI PENJUALAN'!$A$5:$A$504,0))))</f>
        <v/>
      </c>
      <c r="Q395" s="0" t="str">
        <f aca="false">IF(A395="","",IF(COUNTIFS('TRANSAKSI PENJUALAN'!$A$5:$A$504,A395)=0,"BELUM ADA",INDEX('TRANSAKSI PENJUALAN'!$M$5:$M$504,MATCH(A395,'TRANSAKSI PENJUALAN'!$A$5:$A$504,0))))</f>
        <v/>
      </c>
      <c r="R395" s="24" t="str">
        <f aca="false">IF(A395="","",COUNTIF($A$5:A395,A395))</f>
        <v/>
      </c>
      <c r="S395" s="24" t="str">
        <f aca="false">IF(A395="","",A395&amp;"|"&amp;R395)</f>
        <v/>
      </c>
    </row>
    <row r="396" customFormat="false" ht="15" hidden="false" customHeight="false" outlineLevel="0" collapsed="false">
      <c r="C396" s="0" t="str">
        <f aca="false">IF(B396="","",IF(COUNTIFS('MASTER MENU'!$A$5:$A$504,B396)=0,"BELUM ADA",INDEX('MASTER MENU'!$B$5:$B$504,MATCH(B396,'MASTER MENU'!$A$5:$A$504,0))))</f>
        <v/>
      </c>
      <c r="D396" s="0" t="str">
        <f aca="false">IF(B396="","",IF(COUNTIFS('MASTER MENU'!$A$5:$A$504,B396)=0,"BELUM ADA",INDEX('MASTER MENU'!$E$5:$E$504,MATCH(B396,'MASTER MENU'!$A$5:$A$504,0))))</f>
        <v/>
      </c>
      <c r="F396" s="0" t="str">
        <f aca="false">IF(B396="","",IF(COUNTIFS('MASTER MENU'!$A$5:$A$504,B396)=0,"BELUM ADA",INDEX('MASTER MENU'!$F$5:$F$504,MATCH(B396,'MASTER MENU'!$A$5:$A$504,0))))</f>
        <v/>
      </c>
      <c r="G396" s="0" t="str">
        <f aca="false">IF(A396="","",IF(OR(NOT(ISNUMBER(E396)),NOT(ISNUMBER(F396))),"BELUM LENGKAP",ROUND(E396*F396,0)))</f>
        <v/>
      </c>
      <c r="J396" s="0" t="str">
        <f aca="false">IF(A396="","",IF(NOT(ISNUMBER(G396)),"BELUM LENGKAP",G396-H396-I396))</f>
        <v/>
      </c>
      <c r="L396" s="0" t="str">
        <f aca="false">IF(A396="","",IF(NOT(ISNUMBER(K396)),"ISI SNAPSHOT HPP",ROUND(E396*K396,0)))</f>
        <v/>
      </c>
      <c r="M396" s="0" t="str">
        <f aca="false">IF(A396="","",IF(NOT(ISNUMBER(L396)),"BELUM LENGKAP",J396-L396))</f>
        <v/>
      </c>
      <c r="N396" s="0" t="str">
        <f aca="false">IF(B396="","",IF(COUNTIFS('RESEP DAN HPP'!$A$5:$A$504,B396,'RESEP DAN HPP'!$N$5:$N$504,"LENGKAP")=0,"BELUM LENGKAP",INDEX('RESEP DAN HPP'!$J$5:$J$504,MATCH(B396,'RESEP DAN HPP'!$A$5:$A$504,0))))</f>
        <v/>
      </c>
      <c r="P396" s="0" t="str">
        <f aca="false">IF(A396="","",IF(COUNTIFS('TRANSAKSI PENJUALAN'!$A$5:$A$504,A396)=0,"BELUM ADA",INDEX('TRANSAKSI PENJUALAN'!$B$5:$B$504,MATCH(A396,'TRANSAKSI PENJUALAN'!$A$5:$A$504,0))))</f>
        <v/>
      </c>
      <c r="Q396" s="0" t="str">
        <f aca="false">IF(A396="","",IF(COUNTIFS('TRANSAKSI PENJUALAN'!$A$5:$A$504,A396)=0,"BELUM ADA",INDEX('TRANSAKSI PENJUALAN'!$M$5:$M$504,MATCH(A396,'TRANSAKSI PENJUALAN'!$A$5:$A$504,0))))</f>
        <v/>
      </c>
      <c r="R396" s="24" t="str">
        <f aca="false">IF(A396="","",COUNTIF($A$5:A396,A396))</f>
        <v/>
      </c>
      <c r="S396" s="24" t="str">
        <f aca="false">IF(A396="","",A396&amp;"|"&amp;R396)</f>
        <v/>
      </c>
    </row>
    <row r="397" customFormat="false" ht="15" hidden="false" customHeight="false" outlineLevel="0" collapsed="false">
      <c r="C397" s="0" t="str">
        <f aca="false">IF(B397="","",IF(COUNTIFS('MASTER MENU'!$A$5:$A$504,B397)=0,"BELUM ADA",INDEX('MASTER MENU'!$B$5:$B$504,MATCH(B397,'MASTER MENU'!$A$5:$A$504,0))))</f>
        <v/>
      </c>
      <c r="D397" s="0" t="str">
        <f aca="false">IF(B397="","",IF(COUNTIFS('MASTER MENU'!$A$5:$A$504,B397)=0,"BELUM ADA",INDEX('MASTER MENU'!$E$5:$E$504,MATCH(B397,'MASTER MENU'!$A$5:$A$504,0))))</f>
        <v/>
      </c>
      <c r="F397" s="0" t="str">
        <f aca="false">IF(B397="","",IF(COUNTIFS('MASTER MENU'!$A$5:$A$504,B397)=0,"BELUM ADA",INDEX('MASTER MENU'!$F$5:$F$504,MATCH(B397,'MASTER MENU'!$A$5:$A$504,0))))</f>
        <v/>
      </c>
      <c r="G397" s="0" t="str">
        <f aca="false">IF(A397="","",IF(OR(NOT(ISNUMBER(E397)),NOT(ISNUMBER(F397))),"BELUM LENGKAP",ROUND(E397*F397,0)))</f>
        <v/>
      </c>
      <c r="J397" s="0" t="str">
        <f aca="false">IF(A397="","",IF(NOT(ISNUMBER(G397)),"BELUM LENGKAP",G397-H397-I397))</f>
        <v/>
      </c>
      <c r="L397" s="0" t="str">
        <f aca="false">IF(A397="","",IF(NOT(ISNUMBER(K397)),"ISI SNAPSHOT HPP",ROUND(E397*K397,0)))</f>
        <v/>
      </c>
      <c r="M397" s="0" t="str">
        <f aca="false">IF(A397="","",IF(NOT(ISNUMBER(L397)),"BELUM LENGKAP",J397-L397))</f>
        <v/>
      </c>
      <c r="N397" s="0" t="str">
        <f aca="false">IF(B397="","",IF(COUNTIFS('RESEP DAN HPP'!$A$5:$A$504,B397,'RESEP DAN HPP'!$N$5:$N$504,"LENGKAP")=0,"BELUM LENGKAP",INDEX('RESEP DAN HPP'!$J$5:$J$504,MATCH(B397,'RESEP DAN HPP'!$A$5:$A$504,0))))</f>
        <v/>
      </c>
      <c r="P397" s="0" t="str">
        <f aca="false">IF(A397="","",IF(COUNTIFS('TRANSAKSI PENJUALAN'!$A$5:$A$504,A397)=0,"BELUM ADA",INDEX('TRANSAKSI PENJUALAN'!$B$5:$B$504,MATCH(A397,'TRANSAKSI PENJUALAN'!$A$5:$A$504,0))))</f>
        <v/>
      </c>
      <c r="Q397" s="0" t="str">
        <f aca="false">IF(A397="","",IF(COUNTIFS('TRANSAKSI PENJUALAN'!$A$5:$A$504,A397)=0,"BELUM ADA",INDEX('TRANSAKSI PENJUALAN'!$M$5:$M$504,MATCH(A397,'TRANSAKSI PENJUALAN'!$A$5:$A$504,0))))</f>
        <v/>
      </c>
      <c r="R397" s="24" t="str">
        <f aca="false">IF(A397="","",COUNTIF($A$5:A397,A397))</f>
        <v/>
      </c>
      <c r="S397" s="24" t="str">
        <f aca="false">IF(A397="","",A397&amp;"|"&amp;R397)</f>
        <v/>
      </c>
    </row>
    <row r="398" customFormat="false" ht="15" hidden="false" customHeight="false" outlineLevel="0" collapsed="false">
      <c r="C398" s="0" t="str">
        <f aca="false">IF(B398="","",IF(COUNTIFS('MASTER MENU'!$A$5:$A$504,B398)=0,"BELUM ADA",INDEX('MASTER MENU'!$B$5:$B$504,MATCH(B398,'MASTER MENU'!$A$5:$A$504,0))))</f>
        <v/>
      </c>
      <c r="D398" s="0" t="str">
        <f aca="false">IF(B398="","",IF(COUNTIFS('MASTER MENU'!$A$5:$A$504,B398)=0,"BELUM ADA",INDEX('MASTER MENU'!$E$5:$E$504,MATCH(B398,'MASTER MENU'!$A$5:$A$504,0))))</f>
        <v/>
      </c>
      <c r="F398" s="0" t="str">
        <f aca="false">IF(B398="","",IF(COUNTIFS('MASTER MENU'!$A$5:$A$504,B398)=0,"BELUM ADA",INDEX('MASTER MENU'!$F$5:$F$504,MATCH(B398,'MASTER MENU'!$A$5:$A$504,0))))</f>
        <v/>
      </c>
      <c r="G398" s="0" t="str">
        <f aca="false">IF(A398="","",IF(OR(NOT(ISNUMBER(E398)),NOT(ISNUMBER(F398))),"BELUM LENGKAP",ROUND(E398*F398,0)))</f>
        <v/>
      </c>
      <c r="J398" s="0" t="str">
        <f aca="false">IF(A398="","",IF(NOT(ISNUMBER(G398)),"BELUM LENGKAP",G398-H398-I398))</f>
        <v/>
      </c>
      <c r="L398" s="0" t="str">
        <f aca="false">IF(A398="","",IF(NOT(ISNUMBER(K398)),"ISI SNAPSHOT HPP",ROUND(E398*K398,0)))</f>
        <v/>
      </c>
      <c r="M398" s="0" t="str">
        <f aca="false">IF(A398="","",IF(NOT(ISNUMBER(L398)),"BELUM LENGKAP",J398-L398))</f>
        <v/>
      </c>
      <c r="N398" s="0" t="str">
        <f aca="false">IF(B398="","",IF(COUNTIFS('RESEP DAN HPP'!$A$5:$A$504,B398,'RESEP DAN HPP'!$N$5:$N$504,"LENGKAP")=0,"BELUM LENGKAP",INDEX('RESEP DAN HPP'!$J$5:$J$504,MATCH(B398,'RESEP DAN HPP'!$A$5:$A$504,0))))</f>
        <v/>
      </c>
      <c r="P398" s="0" t="str">
        <f aca="false">IF(A398="","",IF(COUNTIFS('TRANSAKSI PENJUALAN'!$A$5:$A$504,A398)=0,"BELUM ADA",INDEX('TRANSAKSI PENJUALAN'!$B$5:$B$504,MATCH(A398,'TRANSAKSI PENJUALAN'!$A$5:$A$504,0))))</f>
        <v/>
      </c>
      <c r="Q398" s="0" t="str">
        <f aca="false">IF(A398="","",IF(COUNTIFS('TRANSAKSI PENJUALAN'!$A$5:$A$504,A398)=0,"BELUM ADA",INDEX('TRANSAKSI PENJUALAN'!$M$5:$M$504,MATCH(A398,'TRANSAKSI PENJUALAN'!$A$5:$A$504,0))))</f>
        <v/>
      </c>
      <c r="R398" s="24" t="str">
        <f aca="false">IF(A398="","",COUNTIF($A$5:A398,A398))</f>
        <v/>
      </c>
      <c r="S398" s="24" t="str">
        <f aca="false">IF(A398="","",A398&amp;"|"&amp;R398)</f>
        <v/>
      </c>
    </row>
    <row r="399" customFormat="false" ht="15" hidden="false" customHeight="false" outlineLevel="0" collapsed="false">
      <c r="C399" s="0" t="str">
        <f aca="false">IF(B399="","",IF(COUNTIFS('MASTER MENU'!$A$5:$A$504,B399)=0,"BELUM ADA",INDEX('MASTER MENU'!$B$5:$B$504,MATCH(B399,'MASTER MENU'!$A$5:$A$504,0))))</f>
        <v/>
      </c>
      <c r="D399" s="0" t="str">
        <f aca="false">IF(B399="","",IF(COUNTIFS('MASTER MENU'!$A$5:$A$504,B399)=0,"BELUM ADA",INDEX('MASTER MENU'!$E$5:$E$504,MATCH(B399,'MASTER MENU'!$A$5:$A$504,0))))</f>
        <v/>
      </c>
      <c r="F399" s="0" t="str">
        <f aca="false">IF(B399="","",IF(COUNTIFS('MASTER MENU'!$A$5:$A$504,B399)=0,"BELUM ADA",INDEX('MASTER MENU'!$F$5:$F$504,MATCH(B399,'MASTER MENU'!$A$5:$A$504,0))))</f>
        <v/>
      </c>
      <c r="G399" s="0" t="str">
        <f aca="false">IF(A399="","",IF(OR(NOT(ISNUMBER(E399)),NOT(ISNUMBER(F399))),"BELUM LENGKAP",ROUND(E399*F399,0)))</f>
        <v/>
      </c>
      <c r="J399" s="0" t="str">
        <f aca="false">IF(A399="","",IF(NOT(ISNUMBER(G399)),"BELUM LENGKAP",G399-H399-I399))</f>
        <v/>
      </c>
      <c r="L399" s="0" t="str">
        <f aca="false">IF(A399="","",IF(NOT(ISNUMBER(K399)),"ISI SNAPSHOT HPP",ROUND(E399*K399,0)))</f>
        <v/>
      </c>
      <c r="M399" s="0" t="str">
        <f aca="false">IF(A399="","",IF(NOT(ISNUMBER(L399)),"BELUM LENGKAP",J399-L399))</f>
        <v/>
      </c>
      <c r="N399" s="0" t="str">
        <f aca="false">IF(B399="","",IF(COUNTIFS('RESEP DAN HPP'!$A$5:$A$504,B399,'RESEP DAN HPP'!$N$5:$N$504,"LENGKAP")=0,"BELUM LENGKAP",INDEX('RESEP DAN HPP'!$J$5:$J$504,MATCH(B399,'RESEP DAN HPP'!$A$5:$A$504,0))))</f>
        <v/>
      </c>
      <c r="P399" s="0" t="str">
        <f aca="false">IF(A399="","",IF(COUNTIFS('TRANSAKSI PENJUALAN'!$A$5:$A$504,A399)=0,"BELUM ADA",INDEX('TRANSAKSI PENJUALAN'!$B$5:$B$504,MATCH(A399,'TRANSAKSI PENJUALAN'!$A$5:$A$504,0))))</f>
        <v/>
      </c>
      <c r="Q399" s="0" t="str">
        <f aca="false">IF(A399="","",IF(COUNTIFS('TRANSAKSI PENJUALAN'!$A$5:$A$504,A399)=0,"BELUM ADA",INDEX('TRANSAKSI PENJUALAN'!$M$5:$M$504,MATCH(A399,'TRANSAKSI PENJUALAN'!$A$5:$A$504,0))))</f>
        <v/>
      </c>
      <c r="R399" s="24" t="str">
        <f aca="false">IF(A399="","",COUNTIF($A$5:A399,A399))</f>
        <v/>
      </c>
      <c r="S399" s="24" t="str">
        <f aca="false">IF(A399="","",A399&amp;"|"&amp;R399)</f>
        <v/>
      </c>
    </row>
    <row r="400" customFormat="false" ht="15" hidden="false" customHeight="false" outlineLevel="0" collapsed="false">
      <c r="C400" s="0" t="str">
        <f aca="false">IF(B400="","",IF(COUNTIFS('MASTER MENU'!$A$5:$A$504,B400)=0,"BELUM ADA",INDEX('MASTER MENU'!$B$5:$B$504,MATCH(B400,'MASTER MENU'!$A$5:$A$504,0))))</f>
        <v/>
      </c>
      <c r="D400" s="0" t="str">
        <f aca="false">IF(B400="","",IF(COUNTIFS('MASTER MENU'!$A$5:$A$504,B400)=0,"BELUM ADA",INDEX('MASTER MENU'!$E$5:$E$504,MATCH(B400,'MASTER MENU'!$A$5:$A$504,0))))</f>
        <v/>
      </c>
      <c r="F400" s="0" t="str">
        <f aca="false">IF(B400="","",IF(COUNTIFS('MASTER MENU'!$A$5:$A$504,B400)=0,"BELUM ADA",INDEX('MASTER MENU'!$F$5:$F$504,MATCH(B400,'MASTER MENU'!$A$5:$A$504,0))))</f>
        <v/>
      </c>
      <c r="G400" s="0" t="str">
        <f aca="false">IF(A400="","",IF(OR(NOT(ISNUMBER(E400)),NOT(ISNUMBER(F400))),"BELUM LENGKAP",ROUND(E400*F400,0)))</f>
        <v/>
      </c>
      <c r="J400" s="0" t="str">
        <f aca="false">IF(A400="","",IF(NOT(ISNUMBER(G400)),"BELUM LENGKAP",G400-H400-I400))</f>
        <v/>
      </c>
      <c r="L400" s="0" t="str">
        <f aca="false">IF(A400="","",IF(NOT(ISNUMBER(K400)),"ISI SNAPSHOT HPP",ROUND(E400*K400,0)))</f>
        <v/>
      </c>
      <c r="M400" s="0" t="str">
        <f aca="false">IF(A400="","",IF(NOT(ISNUMBER(L400)),"BELUM LENGKAP",J400-L400))</f>
        <v/>
      </c>
      <c r="N400" s="0" t="str">
        <f aca="false">IF(B400="","",IF(COUNTIFS('RESEP DAN HPP'!$A$5:$A$504,B400,'RESEP DAN HPP'!$N$5:$N$504,"LENGKAP")=0,"BELUM LENGKAP",INDEX('RESEP DAN HPP'!$J$5:$J$504,MATCH(B400,'RESEP DAN HPP'!$A$5:$A$504,0))))</f>
        <v/>
      </c>
      <c r="P400" s="0" t="str">
        <f aca="false">IF(A400="","",IF(COUNTIFS('TRANSAKSI PENJUALAN'!$A$5:$A$504,A400)=0,"BELUM ADA",INDEX('TRANSAKSI PENJUALAN'!$B$5:$B$504,MATCH(A400,'TRANSAKSI PENJUALAN'!$A$5:$A$504,0))))</f>
        <v/>
      </c>
      <c r="Q400" s="0" t="str">
        <f aca="false">IF(A400="","",IF(COUNTIFS('TRANSAKSI PENJUALAN'!$A$5:$A$504,A400)=0,"BELUM ADA",INDEX('TRANSAKSI PENJUALAN'!$M$5:$M$504,MATCH(A400,'TRANSAKSI PENJUALAN'!$A$5:$A$504,0))))</f>
        <v/>
      </c>
      <c r="R400" s="24" t="str">
        <f aca="false">IF(A400="","",COUNTIF($A$5:A400,A400))</f>
        <v/>
      </c>
      <c r="S400" s="24" t="str">
        <f aca="false">IF(A400="","",A400&amp;"|"&amp;R400)</f>
        <v/>
      </c>
    </row>
    <row r="401" customFormat="false" ht="15" hidden="false" customHeight="false" outlineLevel="0" collapsed="false">
      <c r="C401" s="0" t="str">
        <f aca="false">IF(B401="","",IF(COUNTIFS('MASTER MENU'!$A$5:$A$504,B401)=0,"BELUM ADA",INDEX('MASTER MENU'!$B$5:$B$504,MATCH(B401,'MASTER MENU'!$A$5:$A$504,0))))</f>
        <v/>
      </c>
      <c r="D401" s="0" t="str">
        <f aca="false">IF(B401="","",IF(COUNTIFS('MASTER MENU'!$A$5:$A$504,B401)=0,"BELUM ADA",INDEX('MASTER MENU'!$E$5:$E$504,MATCH(B401,'MASTER MENU'!$A$5:$A$504,0))))</f>
        <v/>
      </c>
      <c r="F401" s="0" t="str">
        <f aca="false">IF(B401="","",IF(COUNTIFS('MASTER MENU'!$A$5:$A$504,B401)=0,"BELUM ADA",INDEX('MASTER MENU'!$F$5:$F$504,MATCH(B401,'MASTER MENU'!$A$5:$A$504,0))))</f>
        <v/>
      </c>
      <c r="G401" s="0" t="str">
        <f aca="false">IF(A401="","",IF(OR(NOT(ISNUMBER(E401)),NOT(ISNUMBER(F401))),"BELUM LENGKAP",ROUND(E401*F401,0)))</f>
        <v/>
      </c>
      <c r="J401" s="0" t="str">
        <f aca="false">IF(A401="","",IF(NOT(ISNUMBER(G401)),"BELUM LENGKAP",G401-H401-I401))</f>
        <v/>
      </c>
      <c r="L401" s="0" t="str">
        <f aca="false">IF(A401="","",IF(NOT(ISNUMBER(K401)),"ISI SNAPSHOT HPP",ROUND(E401*K401,0)))</f>
        <v/>
      </c>
      <c r="M401" s="0" t="str">
        <f aca="false">IF(A401="","",IF(NOT(ISNUMBER(L401)),"BELUM LENGKAP",J401-L401))</f>
        <v/>
      </c>
      <c r="N401" s="0" t="str">
        <f aca="false">IF(B401="","",IF(COUNTIFS('RESEP DAN HPP'!$A$5:$A$504,B401,'RESEP DAN HPP'!$N$5:$N$504,"LENGKAP")=0,"BELUM LENGKAP",INDEX('RESEP DAN HPP'!$J$5:$J$504,MATCH(B401,'RESEP DAN HPP'!$A$5:$A$504,0))))</f>
        <v/>
      </c>
      <c r="P401" s="0" t="str">
        <f aca="false">IF(A401="","",IF(COUNTIFS('TRANSAKSI PENJUALAN'!$A$5:$A$504,A401)=0,"BELUM ADA",INDEX('TRANSAKSI PENJUALAN'!$B$5:$B$504,MATCH(A401,'TRANSAKSI PENJUALAN'!$A$5:$A$504,0))))</f>
        <v/>
      </c>
      <c r="Q401" s="0" t="str">
        <f aca="false">IF(A401="","",IF(COUNTIFS('TRANSAKSI PENJUALAN'!$A$5:$A$504,A401)=0,"BELUM ADA",INDEX('TRANSAKSI PENJUALAN'!$M$5:$M$504,MATCH(A401,'TRANSAKSI PENJUALAN'!$A$5:$A$504,0))))</f>
        <v/>
      </c>
      <c r="R401" s="24" t="str">
        <f aca="false">IF(A401="","",COUNTIF($A$5:A401,A401))</f>
        <v/>
      </c>
      <c r="S401" s="24" t="str">
        <f aca="false">IF(A401="","",A401&amp;"|"&amp;R401)</f>
        <v/>
      </c>
    </row>
    <row r="402" customFormat="false" ht="15" hidden="false" customHeight="false" outlineLevel="0" collapsed="false">
      <c r="C402" s="0" t="str">
        <f aca="false">IF(B402="","",IF(COUNTIFS('MASTER MENU'!$A$5:$A$504,B402)=0,"BELUM ADA",INDEX('MASTER MENU'!$B$5:$B$504,MATCH(B402,'MASTER MENU'!$A$5:$A$504,0))))</f>
        <v/>
      </c>
      <c r="D402" s="0" t="str">
        <f aca="false">IF(B402="","",IF(COUNTIFS('MASTER MENU'!$A$5:$A$504,B402)=0,"BELUM ADA",INDEX('MASTER MENU'!$E$5:$E$504,MATCH(B402,'MASTER MENU'!$A$5:$A$504,0))))</f>
        <v/>
      </c>
      <c r="F402" s="0" t="str">
        <f aca="false">IF(B402="","",IF(COUNTIFS('MASTER MENU'!$A$5:$A$504,B402)=0,"BELUM ADA",INDEX('MASTER MENU'!$F$5:$F$504,MATCH(B402,'MASTER MENU'!$A$5:$A$504,0))))</f>
        <v/>
      </c>
      <c r="G402" s="0" t="str">
        <f aca="false">IF(A402="","",IF(OR(NOT(ISNUMBER(E402)),NOT(ISNUMBER(F402))),"BELUM LENGKAP",ROUND(E402*F402,0)))</f>
        <v/>
      </c>
      <c r="J402" s="0" t="str">
        <f aca="false">IF(A402="","",IF(NOT(ISNUMBER(G402)),"BELUM LENGKAP",G402-H402-I402))</f>
        <v/>
      </c>
      <c r="L402" s="0" t="str">
        <f aca="false">IF(A402="","",IF(NOT(ISNUMBER(K402)),"ISI SNAPSHOT HPP",ROUND(E402*K402,0)))</f>
        <v/>
      </c>
      <c r="M402" s="0" t="str">
        <f aca="false">IF(A402="","",IF(NOT(ISNUMBER(L402)),"BELUM LENGKAP",J402-L402))</f>
        <v/>
      </c>
      <c r="N402" s="0" t="str">
        <f aca="false">IF(B402="","",IF(COUNTIFS('RESEP DAN HPP'!$A$5:$A$504,B402,'RESEP DAN HPP'!$N$5:$N$504,"LENGKAP")=0,"BELUM LENGKAP",INDEX('RESEP DAN HPP'!$J$5:$J$504,MATCH(B402,'RESEP DAN HPP'!$A$5:$A$504,0))))</f>
        <v/>
      </c>
      <c r="P402" s="0" t="str">
        <f aca="false">IF(A402="","",IF(COUNTIFS('TRANSAKSI PENJUALAN'!$A$5:$A$504,A402)=0,"BELUM ADA",INDEX('TRANSAKSI PENJUALAN'!$B$5:$B$504,MATCH(A402,'TRANSAKSI PENJUALAN'!$A$5:$A$504,0))))</f>
        <v/>
      </c>
      <c r="Q402" s="0" t="str">
        <f aca="false">IF(A402="","",IF(COUNTIFS('TRANSAKSI PENJUALAN'!$A$5:$A$504,A402)=0,"BELUM ADA",INDEX('TRANSAKSI PENJUALAN'!$M$5:$M$504,MATCH(A402,'TRANSAKSI PENJUALAN'!$A$5:$A$504,0))))</f>
        <v/>
      </c>
      <c r="R402" s="24" t="str">
        <f aca="false">IF(A402="","",COUNTIF($A$5:A402,A402))</f>
        <v/>
      </c>
      <c r="S402" s="24" t="str">
        <f aca="false">IF(A402="","",A402&amp;"|"&amp;R402)</f>
        <v/>
      </c>
    </row>
    <row r="403" customFormat="false" ht="15" hidden="false" customHeight="false" outlineLevel="0" collapsed="false">
      <c r="C403" s="0" t="str">
        <f aca="false">IF(B403="","",IF(COUNTIFS('MASTER MENU'!$A$5:$A$504,B403)=0,"BELUM ADA",INDEX('MASTER MENU'!$B$5:$B$504,MATCH(B403,'MASTER MENU'!$A$5:$A$504,0))))</f>
        <v/>
      </c>
      <c r="D403" s="0" t="str">
        <f aca="false">IF(B403="","",IF(COUNTIFS('MASTER MENU'!$A$5:$A$504,B403)=0,"BELUM ADA",INDEX('MASTER MENU'!$E$5:$E$504,MATCH(B403,'MASTER MENU'!$A$5:$A$504,0))))</f>
        <v/>
      </c>
      <c r="F403" s="0" t="str">
        <f aca="false">IF(B403="","",IF(COUNTIFS('MASTER MENU'!$A$5:$A$504,B403)=0,"BELUM ADA",INDEX('MASTER MENU'!$F$5:$F$504,MATCH(B403,'MASTER MENU'!$A$5:$A$504,0))))</f>
        <v/>
      </c>
      <c r="G403" s="0" t="str">
        <f aca="false">IF(A403="","",IF(OR(NOT(ISNUMBER(E403)),NOT(ISNUMBER(F403))),"BELUM LENGKAP",ROUND(E403*F403,0)))</f>
        <v/>
      </c>
      <c r="J403" s="0" t="str">
        <f aca="false">IF(A403="","",IF(NOT(ISNUMBER(G403)),"BELUM LENGKAP",G403-H403-I403))</f>
        <v/>
      </c>
      <c r="L403" s="0" t="str">
        <f aca="false">IF(A403="","",IF(NOT(ISNUMBER(K403)),"ISI SNAPSHOT HPP",ROUND(E403*K403,0)))</f>
        <v/>
      </c>
      <c r="M403" s="0" t="str">
        <f aca="false">IF(A403="","",IF(NOT(ISNUMBER(L403)),"BELUM LENGKAP",J403-L403))</f>
        <v/>
      </c>
      <c r="N403" s="0" t="str">
        <f aca="false">IF(B403="","",IF(COUNTIFS('RESEP DAN HPP'!$A$5:$A$504,B403,'RESEP DAN HPP'!$N$5:$N$504,"LENGKAP")=0,"BELUM LENGKAP",INDEX('RESEP DAN HPP'!$J$5:$J$504,MATCH(B403,'RESEP DAN HPP'!$A$5:$A$504,0))))</f>
        <v/>
      </c>
      <c r="P403" s="0" t="str">
        <f aca="false">IF(A403="","",IF(COUNTIFS('TRANSAKSI PENJUALAN'!$A$5:$A$504,A403)=0,"BELUM ADA",INDEX('TRANSAKSI PENJUALAN'!$B$5:$B$504,MATCH(A403,'TRANSAKSI PENJUALAN'!$A$5:$A$504,0))))</f>
        <v/>
      </c>
      <c r="Q403" s="0" t="str">
        <f aca="false">IF(A403="","",IF(COUNTIFS('TRANSAKSI PENJUALAN'!$A$5:$A$504,A403)=0,"BELUM ADA",INDEX('TRANSAKSI PENJUALAN'!$M$5:$M$504,MATCH(A403,'TRANSAKSI PENJUALAN'!$A$5:$A$504,0))))</f>
        <v/>
      </c>
      <c r="R403" s="24" t="str">
        <f aca="false">IF(A403="","",COUNTIF($A$5:A403,A403))</f>
        <v/>
      </c>
      <c r="S403" s="24" t="str">
        <f aca="false">IF(A403="","",A403&amp;"|"&amp;R403)</f>
        <v/>
      </c>
    </row>
    <row r="404" customFormat="false" ht="15" hidden="false" customHeight="false" outlineLevel="0" collapsed="false">
      <c r="C404" s="0" t="str">
        <f aca="false">IF(B404="","",IF(COUNTIFS('MASTER MENU'!$A$5:$A$504,B404)=0,"BELUM ADA",INDEX('MASTER MENU'!$B$5:$B$504,MATCH(B404,'MASTER MENU'!$A$5:$A$504,0))))</f>
        <v/>
      </c>
      <c r="D404" s="0" t="str">
        <f aca="false">IF(B404="","",IF(COUNTIFS('MASTER MENU'!$A$5:$A$504,B404)=0,"BELUM ADA",INDEX('MASTER MENU'!$E$5:$E$504,MATCH(B404,'MASTER MENU'!$A$5:$A$504,0))))</f>
        <v/>
      </c>
      <c r="F404" s="0" t="str">
        <f aca="false">IF(B404="","",IF(COUNTIFS('MASTER MENU'!$A$5:$A$504,B404)=0,"BELUM ADA",INDEX('MASTER MENU'!$F$5:$F$504,MATCH(B404,'MASTER MENU'!$A$5:$A$504,0))))</f>
        <v/>
      </c>
      <c r="G404" s="0" t="str">
        <f aca="false">IF(A404="","",IF(OR(NOT(ISNUMBER(E404)),NOT(ISNUMBER(F404))),"BELUM LENGKAP",ROUND(E404*F404,0)))</f>
        <v/>
      </c>
      <c r="J404" s="0" t="str">
        <f aca="false">IF(A404="","",IF(NOT(ISNUMBER(G404)),"BELUM LENGKAP",G404-H404-I404))</f>
        <v/>
      </c>
      <c r="L404" s="0" t="str">
        <f aca="false">IF(A404="","",IF(NOT(ISNUMBER(K404)),"ISI SNAPSHOT HPP",ROUND(E404*K404,0)))</f>
        <v/>
      </c>
      <c r="M404" s="0" t="str">
        <f aca="false">IF(A404="","",IF(NOT(ISNUMBER(L404)),"BELUM LENGKAP",J404-L404))</f>
        <v/>
      </c>
      <c r="N404" s="0" t="str">
        <f aca="false">IF(B404="","",IF(COUNTIFS('RESEP DAN HPP'!$A$5:$A$504,B404,'RESEP DAN HPP'!$N$5:$N$504,"LENGKAP")=0,"BELUM LENGKAP",INDEX('RESEP DAN HPP'!$J$5:$J$504,MATCH(B404,'RESEP DAN HPP'!$A$5:$A$504,0))))</f>
        <v/>
      </c>
      <c r="P404" s="0" t="str">
        <f aca="false">IF(A404="","",IF(COUNTIFS('TRANSAKSI PENJUALAN'!$A$5:$A$504,A404)=0,"BELUM ADA",INDEX('TRANSAKSI PENJUALAN'!$B$5:$B$504,MATCH(A404,'TRANSAKSI PENJUALAN'!$A$5:$A$504,0))))</f>
        <v/>
      </c>
      <c r="Q404" s="0" t="str">
        <f aca="false">IF(A404="","",IF(COUNTIFS('TRANSAKSI PENJUALAN'!$A$5:$A$504,A404)=0,"BELUM ADA",INDEX('TRANSAKSI PENJUALAN'!$M$5:$M$504,MATCH(A404,'TRANSAKSI PENJUALAN'!$A$5:$A$504,0))))</f>
        <v/>
      </c>
      <c r="R404" s="24" t="str">
        <f aca="false">IF(A404="","",COUNTIF($A$5:A404,A404))</f>
        <v/>
      </c>
      <c r="S404" s="24" t="str">
        <f aca="false">IF(A404="","",A404&amp;"|"&amp;R404)</f>
        <v/>
      </c>
    </row>
    <row r="405" customFormat="false" ht="15" hidden="false" customHeight="false" outlineLevel="0" collapsed="false">
      <c r="C405" s="0" t="str">
        <f aca="false">IF(B405="","",IF(COUNTIFS('MASTER MENU'!$A$5:$A$504,B405)=0,"BELUM ADA",INDEX('MASTER MENU'!$B$5:$B$504,MATCH(B405,'MASTER MENU'!$A$5:$A$504,0))))</f>
        <v/>
      </c>
      <c r="D405" s="0" t="str">
        <f aca="false">IF(B405="","",IF(COUNTIFS('MASTER MENU'!$A$5:$A$504,B405)=0,"BELUM ADA",INDEX('MASTER MENU'!$E$5:$E$504,MATCH(B405,'MASTER MENU'!$A$5:$A$504,0))))</f>
        <v/>
      </c>
      <c r="F405" s="0" t="str">
        <f aca="false">IF(B405="","",IF(COUNTIFS('MASTER MENU'!$A$5:$A$504,B405)=0,"BELUM ADA",INDEX('MASTER MENU'!$F$5:$F$504,MATCH(B405,'MASTER MENU'!$A$5:$A$504,0))))</f>
        <v/>
      </c>
      <c r="G405" s="0" t="str">
        <f aca="false">IF(A405="","",IF(OR(NOT(ISNUMBER(E405)),NOT(ISNUMBER(F405))),"BELUM LENGKAP",ROUND(E405*F405,0)))</f>
        <v/>
      </c>
      <c r="J405" s="0" t="str">
        <f aca="false">IF(A405="","",IF(NOT(ISNUMBER(G405)),"BELUM LENGKAP",G405-H405-I405))</f>
        <v/>
      </c>
      <c r="L405" s="0" t="str">
        <f aca="false">IF(A405="","",IF(NOT(ISNUMBER(K405)),"ISI SNAPSHOT HPP",ROUND(E405*K405,0)))</f>
        <v/>
      </c>
      <c r="M405" s="0" t="str">
        <f aca="false">IF(A405="","",IF(NOT(ISNUMBER(L405)),"BELUM LENGKAP",J405-L405))</f>
        <v/>
      </c>
      <c r="N405" s="0" t="str">
        <f aca="false">IF(B405="","",IF(COUNTIFS('RESEP DAN HPP'!$A$5:$A$504,B405,'RESEP DAN HPP'!$N$5:$N$504,"LENGKAP")=0,"BELUM LENGKAP",INDEX('RESEP DAN HPP'!$J$5:$J$504,MATCH(B405,'RESEP DAN HPP'!$A$5:$A$504,0))))</f>
        <v/>
      </c>
      <c r="P405" s="0" t="str">
        <f aca="false">IF(A405="","",IF(COUNTIFS('TRANSAKSI PENJUALAN'!$A$5:$A$504,A405)=0,"BELUM ADA",INDEX('TRANSAKSI PENJUALAN'!$B$5:$B$504,MATCH(A405,'TRANSAKSI PENJUALAN'!$A$5:$A$504,0))))</f>
        <v/>
      </c>
      <c r="Q405" s="0" t="str">
        <f aca="false">IF(A405="","",IF(COUNTIFS('TRANSAKSI PENJUALAN'!$A$5:$A$504,A405)=0,"BELUM ADA",INDEX('TRANSAKSI PENJUALAN'!$M$5:$M$504,MATCH(A405,'TRANSAKSI PENJUALAN'!$A$5:$A$504,0))))</f>
        <v/>
      </c>
      <c r="R405" s="24" t="str">
        <f aca="false">IF(A405="","",COUNTIF($A$5:A405,A405))</f>
        <v/>
      </c>
      <c r="S405" s="24" t="str">
        <f aca="false">IF(A405="","",A405&amp;"|"&amp;R405)</f>
        <v/>
      </c>
    </row>
    <row r="406" customFormat="false" ht="15" hidden="false" customHeight="false" outlineLevel="0" collapsed="false">
      <c r="C406" s="0" t="str">
        <f aca="false">IF(B406="","",IF(COUNTIFS('MASTER MENU'!$A$5:$A$504,B406)=0,"BELUM ADA",INDEX('MASTER MENU'!$B$5:$B$504,MATCH(B406,'MASTER MENU'!$A$5:$A$504,0))))</f>
        <v/>
      </c>
      <c r="D406" s="0" t="str">
        <f aca="false">IF(B406="","",IF(COUNTIFS('MASTER MENU'!$A$5:$A$504,B406)=0,"BELUM ADA",INDEX('MASTER MENU'!$E$5:$E$504,MATCH(B406,'MASTER MENU'!$A$5:$A$504,0))))</f>
        <v/>
      </c>
      <c r="F406" s="0" t="str">
        <f aca="false">IF(B406="","",IF(COUNTIFS('MASTER MENU'!$A$5:$A$504,B406)=0,"BELUM ADA",INDEX('MASTER MENU'!$F$5:$F$504,MATCH(B406,'MASTER MENU'!$A$5:$A$504,0))))</f>
        <v/>
      </c>
      <c r="G406" s="0" t="str">
        <f aca="false">IF(A406="","",IF(OR(NOT(ISNUMBER(E406)),NOT(ISNUMBER(F406))),"BELUM LENGKAP",ROUND(E406*F406,0)))</f>
        <v/>
      </c>
      <c r="J406" s="0" t="str">
        <f aca="false">IF(A406="","",IF(NOT(ISNUMBER(G406)),"BELUM LENGKAP",G406-H406-I406))</f>
        <v/>
      </c>
      <c r="L406" s="0" t="str">
        <f aca="false">IF(A406="","",IF(NOT(ISNUMBER(K406)),"ISI SNAPSHOT HPP",ROUND(E406*K406,0)))</f>
        <v/>
      </c>
      <c r="M406" s="0" t="str">
        <f aca="false">IF(A406="","",IF(NOT(ISNUMBER(L406)),"BELUM LENGKAP",J406-L406))</f>
        <v/>
      </c>
      <c r="N406" s="0" t="str">
        <f aca="false">IF(B406="","",IF(COUNTIFS('RESEP DAN HPP'!$A$5:$A$504,B406,'RESEP DAN HPP'!$N$5:$N$504,"LENGKAP")=0,"BELUM LENGKAP",INDEX('RESEP DAN HPP'!$J$5:$J$504,MATCH(B406,'RESEP DAN HPP'!$A$5:$A$504,0))))</f>
        <v/>
      </c>
      <c r="P406" s="0" t="str">
        <f aca="false">IF(A406="","",IF(COUNTIFS('TRANSAKSI PENJUALAN'!$A$5:$A$504,A406)=0,"BELUM ADA",INDEX('TRANSAKSI PENJUALAN'!$B$5:$B$504,MATCH(A406,'TRANSAKSI PENJUALAN'!$A$5:$A$504,0))))</f>
        <v/>
      </c>
      <c r="Q406" s="0" t="str">
        <f aca="false">IF(A406="","",IF(COUNTIFS('TRANSAKSI PENJUALAN'!$A$5:$A$504,A406)=0,"BELUM ADA",INDEX('TRANSAKSI PENJUALAN'!$M$5:$M$504,MATCH(A406,'TRANSAKSI PENJUALAN'!$A$5:$A$504,0))))</f>
        <v/>
      </c>
      <c r="R406" s="24" t="str">
        <f aca="false">IF(A406="","",COUNTIF($A$5:A406,A406))</f>
        <v/>
      </c>
      <c r="S406" s="24" t="str">
        <f aca="false">IF(A406="","",A406&amp;"|"&amp;R406)</f>
        <v/>
      </c>
    </row>
    <row r="407" customFormat="false" ht="15" hidden="false" customHeight="false" outlineLevel="0" collapsed="false">
      <c r="C407" s="0" t="str">
        <f aca="false">IF(B407="","",IF(COUNTIFS('MASTER MENU'!$A$5:$A$504,B407)=0,"BELUM ADA",INDEX('MASTER MENU'!$B$5:$B$504,MATCH(B407,'MASTER MENU'!$A$5:$A$504,0))))</f>
        <v/>
      </c>
      <c r="D407" s="0" t="str">
        <f aca="false">IF(B407="","",IF(COUNTIFS('MASTER MENU'!$A$5:$A$504,B407)=0,"BELUM ADA",INDEX('MASTER MENU'!$E$5:$E$504,MATCH(B407,'MASTER MENU'!$A$5:$A$504,0))))</f>
        <v/>
      </c>
      <c r="F407" s="0" t="str">
        <f aca="false">IF(B407="","",IF(COUNTIFS('MASTER MENU'!$A$5:$A$504,B407)=0,"BELUM ADA",INDEX('MASTER MENU'!$F$5:$F$504,MATCH(B407,'MASTER MENU'!$A$5:$A$504,0))))</f>
        <v/>
      </c>
      <c r="G407" s="0" t="str">
        <f aca="false">IF(A407="","",IF(OR(NOT(ISNUMBER(E407)),NOT(ISNUMBER(F407))),"BELUM LENGKAP",ROUND(E407*F407,0)))</f>
        <v/>
      </c>
      <c r="J407" s="0" t="str">
        <f aca="false">IF(A407="","",IF(NOT(ISNUMBER(G407)),"BELUM LENGKAP",G407-H407-I407))</f>
        <v/>
      </c>
      <c r="L407" s="0" t="str">
        <f aca="false">IF(A407="","",IF(NOT(ISNUMBER(K407)),"ISI SNAPSHOT HPP",ROUND(E407*K407,0)))</f>
        <v/>
      </c>
      <c r="M407" s="0" t="str">
        <f aca="false">IF(A407="","",IF(NOT(ISNUMBER(L407)),"BELUM LENGKAP",J407-L407))</f>
        <v/>
      </c>
      <c r="N407" s="0" t="str">
        <f aca="false">IF(B407="","",IF(COUNTIFS('RESEP DAN HPP'!$A$5:$A$504,B407,'RESEP DAN HPP'!$N$5:$N$504,"LENGKAP")=0,"BELUM LENGKAP",INDEX('RESEP DAN HPP'!$J$5:$J$504,MATCH(B407,'RESEP DAN HPP'!$A$5:$A$504,0))))</f>
        <v/>
      </c>
      <c r="P407" s="0" t="str">
        <f aca="false">IF(A407="","",IF(COUNTIFS('TRANSAKSI PENJUALAN'!$A$5:$A$504,A407)=0,"BELUM ADA",INDEX('TRANSAKSI PENJUALAN'!$B$5:$B$504,MATCH(A407,'TRANSAKSI PENJUALAN'!$A$5:$A$504,0))))</f>
        <v/>
      </c>
      <c r="Q407" s="0" t="str">
        <f aca="false">IF(A407="","",IF(COUNTIFS('TRANSAKSI PENJUALAN'!$A$5:$A$504,A407)=0,"BELUM ADA",INDEX('TRANSAKSI PENJUALAN'!$M$5:$M$504,MATCH(A407,'TRANSAKSI PENJUALAN'!$A$5:$A$504,0))))</f>
        <v/>
      </c>
      <c r="R407" s="24" t="str">
        <f aca="false">IF(A407="","",COUNTIF($A$5:A407,A407))</f>
        <v/>
      </c>
      <c r="S407" s="24" t="str">
        <f aca="false">IF(A407="","",A407&amp;"|"&amp;R407)</f>
        <v/>
      </c>
    </row>
    <row r="408" customFormat="false" ht="15" hidden="false" customHeight="false" outlineLevel="0" collapsed="false">
      <c r="C408" s="0" t="str">
        <f aca="false">IF(B408="","",IF(COUNTIFS('MASTER MENU'!$A$5:$A$504,B408)=0,"BELUM ADA",INDEX('MASTER MENU'!$B$5:$B$504,MATCH(B408,'MASTER MENU'!$A$5:$A$504,0))))</f>
        <v/>
      </c>
      <c r="D408" s="0" t="str">
        <f aca="false">IF(B408="","",IF(COUNTIFS('MASTER MENU'!$A$5:$A$504,B408)=0,"BELUM ADA",INDEX('MASTER MENU'!$E$5:$E$504,MATCH(B408,'MASTER MENU'!$A$5:$A$504,0))))</f>
        <v/>
      </c>
      <c r="F408" s="0" t="str">
        <f aca="false">IF(B408="","",IF(COUNTIFS('MASTER MENU'!$A$5:$A$504,B408)=0,"BELUM ADA",INDEX('MASTER MENU'!$F$5:$F$504,MATCH(B408,'MASTER MENU'!$A$5:$A$504,0))))</f>
        <v/>
      </c>
      <c r="G408" s="0" t="str">
        <f aca="false">IF(A408="","",IF(OR(NOT(ISNUMBER(E408)),NOT(ISNUMBER(F408))),"BELUM LENGKAP",ROUND(E408*F408,0)))</f>
        <v/>
      </c>
      <c r="J408" s="0" t="str">
        <f aca="false">IF(A408="","",IF(NOT(ISNUMBER(G408)),"BELUM LENGKAP",G408-H408-I408))</f>
        <v/>
      </c>
      <c r="L408" s="0" t="str">
        <f aca="false">IF(A408="","",IF(NOT(ISNUMBER(K408)),"ISI SNAPSHOT HPP",ROUND(E408*K408,0)))</f>
        <v/>
      </c>
      <c r="M408" s="0" t="str">
        <f aca="false">IF(A408="","",IF(NOT(ISNUMBER(L408)),"BELUM LENGKAP",J408-L408))</f>
        <v/>
      </c>
      <c r="N408" s="0" t="str">
        <f aca="false">IF(B408="","",IF(COUNTIFS('RESEP DAN HPP'!$A$5:$A$504,B408,'RESEP DAN HPP'!$N$5:$N$504,"LENGKAP")=0,"BELUM LENGKAP",INDEX('RESEP DAN HPP'!$J$5:$J$504,MATCH(B408,'RESEP DAN HPP'!$A$5:$A$504,0))))</f>
        <v/>
      </c>
      <c r="P408" s="0" t="str">
        <f aca="false">IF(A408="","",IF(COUNTIFS('TRANSAKSI PENJUALAN'!$A$5:$A$504,A408)=0,"BELUM ADA",INDEX('TRANSAKSI PENJUALAN'!$B$5:$B$504,MATCH(A408,'TRANSAKSI PENJUALAN'!$A$5:$A$504,0))))</f>
        <v/>
      </c>
      <c r="Q408" s="0" t="str">
        <f aca="false">IF(A408="","",IF(COUNTIFS('TRANSAKSI PENJUALAN'!$A$5:$A$504,A408)=0,"BELUM ADA",INDEX('TRANSAKSI PENJUALAN'!$M$5:$M$504,MATCH(A408,'TRANSAKSI PENJUALAN'!$A$5:$A$504,0))))</f>
        <v/>
      </c>
      <c r="R408" s="24" t="str">
        <f aca="false">IF(A408="","",COUNTIF($A$5:A408,A408))</f>
        <v/>
      </c>
      <c r="S408" s="24" t="str">
        <f aca="false">IF(A408="","",A408&amp;"|"&amp;R408)</f>
        <v/>
      </c>
    </row>
    <row r="409" customFormat="false" ht="15" hidden="false" customHeight="false" outlineLevel="0" collapsed="false">
      <c r="C409" s="0" t="str">
        <f aca="false">IF(B409="","",IF(COUNTIFS('MASTER MENU'!$A$5:$A$504,B409)=0,"BELUM ADA",INDEX('MASTER MENU'!$B$5:$B$504,MATCH(B409,'MASTER MENU'!$A$5:$A$504,0))))</f>
        <v/>
      </c>
      <c r="D409" s="0" t="str">
        <f aca="false">IF(B409="","",IF(COUNTIFS('MASTER MENU'!$A$5:$A$504,B409)=0,"BELUM ADA",INDEX('MASTER MENU'!$E$5:$E$504,MATCH(B409,'MASTER MENU'!$A$5:$A$504,0))))</f>
        <v/>
      </c>
      <c r="F409" s="0" t="str">
        <f aca="false">IF(B409="","",IF(COUNTIFS('MASTER MENU'!$A$5:$A$504,B409)=0,"BELUM ADA",INDEX('MASTER MENU'!$F$5:$F$504,MATCH(B409,'MASTER MENU'!$A$5:$A$504,0))))</f>
        <v/>
      </c>
      <c r="G409" s="0" t="str">
        <f aca="false">IF(A409="","",IF(OR(NOT(ISNUMBER(E409)),NOT(ISNUMBER(F409))),"BELUM LENGKAP",ROUND(E409*F409,0)))</f>
        <v/>
      </c>
      <c r="J409" s="0" t="str">
        <f aca="false">IF(A409="","",IF(NOT(ISNUMBER(G409)),"BELUM LENGKAP",G409-H409-I409))</f>
        <v/>
      </c>
      <c r="L409" s="0" t="str">
        <f aca="false">IF(A409="","",IF(NOT(ISNUMBER(K409)),"ISI SNAPSHOT HPP",ROUND(E409*K409,0)))</f>
        <v/>
      </c>
      <c r="M409" s="0" t="str">
        <f aca="false">IF(A409="","",IF(NOT(ISNUMBER(L409)),"BELUM LENGKAP",J409-L409))</f>
        <v/>
      </c>
      <c r="N409" s="0" t="str">
        <f aca="false">IF(B409="","",IF(COUNTIFS('RESEP DAN HPP'!$A$5:$A$504,B409,'RESEP DAN HPP'!$N$5:$N$504,"LENGKAP")=0,"BELUM LENGKAP",INDEX('RESEP DAN HPP'!$J$5:$J$504,MATCH(B409,'RESEP DAN HPP'!$A$5:$A$504,0))))</f>
        <v/>
      </c>
      <c r="P409" s="0" t="str">
        <f aca="false">IF(A409="","",IF(COUNTIFS('TRANSAKSI PENJUALAN'!$A$5:$A$504,A409)=0,"BELUM ADA",INDEX('TRANSAKSI PENJUALAN'!$B$5:$B$504,MATCH(A409,'TRANSAKSI PENJUALAN'!$A$5:$A$504,0))))</f>
        <v/>
      </c>
      <c r="Q409" s="0" t="str">
        <f aca="false">IF(A409="","",IF(COUNTIFS('TRANSAKSI PENJUALAN'!$A$5:$A$504,A409)=0,"BELUM ADA",INDEX('TRANSAKSI PENJUALAN'!$M$5:$M$504,MATCH(A409,'TRANSAKSI PENJUALAN'!$A$5:$A$504,0))))</f>
        <v/>
      </c>
      <c r="R409" s="24" t="str">
        <f aca="false">IF(A409="","",COUNTIF($A$5:A409,A409))</f>
        <v/>
      </c>
      <c r="S409" s="24" t="str">
        <f aca="false">IF(A409="","",A409&amp;"|"&amp;R409)</f>
        <v/>
      </c>
    </row>
    <row r="410" customFormat="false" ht="15" hidden="false" customHeight="false" outlineLevel="0" collapsed="false">
      <c r="C410" s="0" t="str">
        <f aca="false">IF(B410="","",IF(COUNTIFS('MASTER MENU'!$A$5:$A$504,B410)=0,"BELUM ADA",INDEX('MASTER MENU'!$B$5:$B$504,MATCH(B410,'MASTER MENU'!$A$5:$A$504,0))))</f>
        <v/>
      </c>
      <c r="D410" s="0" t="str">
        <f aca="false">IF(B410="","",IF(COUNTIFS('MASTER MENU'!$A$5:$A$504,B410)=0,"BELUM ADA",INDEX('MASTER MENU'!$E$5:$E$504,MATCH(B410,'MASTER MENU'!$A$5:$A$504,0))))</f>
        <v/>
      </c>
      <c r="F410" s="0" t="str">
        <f aca="false">IF(B410="","",IF(COUNTIFS('MASTER MENU'!$A$5:$A$504,B410)=0,"BELUM ADA",INDEX('MASTER MENU'!$F$5:$F$504,MATCH(B410,'MASTER MENU'!$A$5:$A$504,0))))</f>
        <v/>
      </c>
      <c r="G410" s="0" t="str">
        <f aca="false">IF(A410="","",IF(OR(NOT(ISNUMBER(E410)),NOT(ISNUMBER(F410))),"BELUM LENGKAP",ROUND(E410*F410,0)))</f>
        <v/>
      </c>
      <c r="J410" s="0" t="str">
        <f aca="false">IF(A410="","",IF(NOT(ISNUMBER(G410)),"BELUM LENGKAP",G410-H410-I410))</f>
        <v/>
      </c>
      <c r="L410" s="0" t="str">
        <f aca="false">IF(A410="","",IF(NOT(ISNUMBER(K410)),"ISI SNAPSHOT HPP",ROUND(E410*K410,0)))</f>
        <v/>
      </c>
      <c r="M410" s="0" t="str">
        <f aca="false">IF(A410="","",IF(NOT(ISNUMBER(L410)),"BELUM LENGKAP",J410-L410))</f>
        <v/>
      </c>
      <c r="N410" s="0" t="str">
        <f aca="false">IF(B410="","",IF(COUNTIFS('RESEP DAN HPP'!$A$5:$A$504,B410,'RESEP DAN HPP'!$N$5:$N$504,"LENGKAP")=0,"BELUM LENGKAP",INDEX('RESEP DAN HPP'!$J$5:$J$504,MATCH(B410,'RESEP DAN HPP'!$A$5:$A$504,0))))</f>
        <v/>
      </c>
      <c r="P410" s="0" t="str">
        <f aca="false">IF(A410="","",IF(COUNTIFS('TRANSAKSI PENJUALAN'!$A$5:$A$504,A410)=0,"BELUM ADA",INDEX('TRANSAKSI PENJUALAN'!$B$5:$B$504,MATCH(A410,'TRANSAKSI PENJUALAN'!$A$5:$A$504,0))))</f>
        <v/>
      </c>
      <c r="Q410" s="0" t="str">
        <f aca="false">IF(A410="","",IF(COUNTIFS('TRANSAKSI PENJUALAN'!$A$5:$A$504,A410)=0,"BELUM ADA",INDEX('TRANSAKSI PENJUALAN'!$M$5:$M$504,MATCH(A410,'TRANSAKSI PENJUALAN'!$A$5:$A$504,0))))</f>
        <v/>
      </c>
      <c r="R410" s="24" t="str">
        <f aca="false">IF(A410="","",COUNTIF($A$5:A410,A410))</f>
        <v/>
      </c>
      <c r="S410" s="24" t="str">
        <f aca="false">IF(A410="","",A410&amp;"|"&amp;R410)</f>
        <v/>
      </c>
    </row>
    <row r="411" customFormat="false" ht="15" hidden="false" customHeight="false" outlineLevel="0" collapsed="false">
      <c r="C411" s="0" t="str">
        <f aca="false">IF(B411="","",IF(COUNTIFS('MASTER MENU'!$A$5:$A$504,B411)=0,"BELUM ADA",INDEX('MASTER MENU'!$B$5:$B$504,MATCH(B411,'MASTER MENU'!$A$5:$A$504,0))))</f>
        <v/>
      </c>
      <c r="D411" s="0" t="str">
        <f aca="false">IF(B411="","",IF(COUNTIFS('MASTER MENU'!$A$5:$A$504,B411)=0,"BELUM ADA",INDEX('MASTER MENU'!$E$5:$E$504,MATCH(B411,'MASTER MENU'!$A$5:$A$504,0))))</f>
        <v/>
      </c>
      <c r="F411" s="0" t="str">
        <f aca="false">IF(B411="","",IF(COUNTIFS('MASTER MENU'!$A$5:$A$504,B411)=0,"BELUM ADA",INDEX('MASTER MENU'!$F$5:$F$504,MATCH(B411,'MASTER MENU'!$A$5:$A$504,0))))</f>
        <v/>
      </c>
      <c r="G411" s="0" t="str">
        <f aca="false">IF(A411="","",IF(OR(NOT(ISNUMBER(E411)),NOT(ISNUMBER(F411))),"BELUM LENGKAP",ROUND(E411*F411,0)))</f>
        <v/>
      </c>
      <c r="J411" s="0" t="str">
        <f aca="false">IF(A411="","",IF(NOT(ISNUMBER(G411)),"BELUM LENGKAP",G411-H411-I411))</f>
        <v/>
      </c>
      <c r="L411" s="0" t="str">
        <f aca="false">IF(A411="","",IF(NOT(ISNUMBER(K411)),"ISI SNAPSHOT HPP",ROUND(E411*K411,0)))</f>
        <v/>
      </c>
      <c r="M411" s="0" t="str">
        <f aca="false">IF(A411="","",IF(NOT(ISNUMBER(L411)),"BELUM LENGKAP",J411-L411))</f>
        <v/>
      </c>
      <c r="N411" s="0" t="str">
        <f aca="false">IF(B411="","",IF(COUNTIFS('RESEP DAN HPP'!$A$5:$A$504,B411,'RESEP DAN HPP'!$N$5:$N$504,"LENGKAP")=0,"BELUM LENGKAP",INDEX('RESEP DAN HPP'!$J$5:$J$504,MATCH(B411,'RESEP DAN HPP'!$A$5:$A$504,0))))</f>
        <v/>
      </c>
      <c r="P411" s="0" t="str">
        <f aca="false">IF(A411="","",IF(COUNTIFS('TRANSAKSI PENJUALAN'!$A$5:$A$504,A411)=0,"BELUM ADA",INDEX('TRANSAKSI PENJUALAN'!$B$5:$B$504,MATCH(A411,'TRANSAKSI PENJUALAN'!$A$5:$A$504,0))))</f>
        <v/>
      </c>
      <c r="Q411" s="0" t="str">
        <f aca="false">IF(A411="","",IF(COUNTIFS('TRANSAKSI PENJUALAN'!$A$5:$A$504,A411)=0,"BELUM ADA",INDEX('TRANSAKSI PENJUALAN'!$M$5:$M$504,MATCH(A411,'TRANSAKSI PENJUALAN'!$A$5:$A$504,0))))</f>
        <v/>
      </c>
      <c r="R411" s="24" t="str">
        <f aca="false">IF(A411="","",COUNTIF($A$5:A411,A411))</f>
        <v/>
      </c>
      <c r="S411" s="24" t="str">
        <f aca="false">IF(A411="","",A411&amp;"|"&amp;R411)</f>
        <v/>
      </c>
    </row>
    <row r="412" customFormat="false" ht="15" hidden="false" customHeight="false" outlineLevel="0" collapsed="false">
      <c r="C412" s="0" t="str">
        <f aca="false">IF(B412="","",IF(COUNTIFS('MASTER MENU'!$A$5:$A$504,B412)=0,"BELUM ADA",INDEX('MASTER MENU'!$B$5:$B$504,MATCH(B412,'MASTER MENU'!$A$5:$A$504,0))))</f>
        <v/>
      </c>
      <c r="D412" s="0" t="str">
        <f aca="false">IF(B412="","",IF(COUNTIFS('MASTER MENU'!$A$5:$A$504,B412)=0,"BELUM ADA",INDEX('MASTER MENU'!$E$5:$E$504,MATCH(B412,'MASTER MENU'!$A$5:$A$504,0))))</f>
        <v/>
      </c>
      <c r="F412" s="0" t="str">
        <f aca="false">IF(B412="","",IF(COUNTIFS('MASTER MENU'!$A$5:$A$504,B412)=0,"BELUM ADA",INDEX('MASTER MENU'!$F$5:$F$504,MATCH(B412,'MASTER MENU'!$A$5:$A$504,0))))</f>
        <v/>
      </c>
      <c r="G412" s="0" t="str">
        <f aca="false">IF(A412="","",IF(OR(NOT(ISNUMBER(E412)),NOT(ISNUMBER(F412))),"BELUM LENGKAP",ROUND(E412*F412,0)))</f>
        <v/>
      </c>
      <c r="J412" s="0" t="str">
        <f aca="false">IF(A412="","",IF(NOT(ISNUMBER(G412)),"BELUM LENGKAP",G412-H412-I412))</f>
        <v/>
      </c>
      <c r="L412" s="0" t="str">
        <f aca="false">IF(A412="","",IF(NOT(ISNUMBER(K412)),"ISI SNAPSHOT HPP",ROUND(E412*K412,0)))</f>
        <v/>
      </c>
      <c r="M412" s="0" t="str">
        <f aca="false">IF(A412="","",IF(NOT(ISNUMBER(L412)),"BELUM LENGKAP",J412-L412))</f>
        <v/>
      </c>
      <c r="N412" s="0" t="str">
        <f aca="false">IF(B412="","",IF(COUNTIFS('RESEP DAN HPP'!$A$5:$A$504,B412,'RESEP DAN HPP'!$N$5:$N$504,"LENGKAP")=0,"BELUM LENGKAP",INDEX('RESEP DAN HPP'!$J$5:$J$504,MATCH(B412,'RESEP DAN HPP'!$A$5:$A$504,0))))</f>
        <v/>
      </c>
      <c r="P412" s="0" t="str">
        <f aca="false">IF(A412="","",IF(COUNTIFS('TRANSAKSI PENJUALAN'!$A$5:$A$504,A412)=0,"BELUM ADA",INDEX('TRANSAKSI PENJUALAN'!$B$5:$B$504,MATCH(A412,'TRANSAKSI PENJUALAN'!$A$5:$A$504,0))))</f>
        <v/>
      </c>
      <c r="Q412" s="0" t="str">
        <f aca="false">IF(A412="","",IF(COUNTIFS('TRANSAKSI PENJUALAN'!$A$5:$A$504,A412)=0,"BELUM ADA",INDEX('TRANSAKSI PENJUALAN'!$M$5:$M$504,MATCH(A412,'TRANSAKSI PENJUALAN'!$A$5:$A$504,0))))</f>
        <v/>
      </c>
      <c r="R412" s="24" t="str">
        <f aca="false">IF(A412="","",COUNTIF($A$5:A412,A412))</f>
        <v/>
      </c>
      <c r="S412" s="24" t="str">
        <f aca="false">IF(A412="","",A412&amp;"|"&amp;R412)</f>
        <v/>
      </c>
    </row>
    <row r="413" customFormat="false" ht="15" hidden="false" customHeight="false" outlineLevel="0" collapsed="false">
      <c r="C413" s="0" t="str">
        <f aca="false">IF(B413="","",IF(COUNTIFS('MASTER MENU'!$A$5:$A$504,B413)=0,"BELUM ADA",INDEX('MASTER MENU'!$B$5:$B$504,MATCH(B413,'MASTER MENU'!$A$5:$A$504,0))))</f>
        <v/>
      </c>
      <c r="D413" s="0" t="str">
        <f aca="false">IF(B413="","",IF(COUNTIFS('MASTER MENU'!$A$5:$A$504,B413)=0,"BELUM ADA",INDEX('MASTER MENU'!$E$5:$E$504,MATCH(B413,'MASTER MENU'!$A$5:$A$504,0))))</f>
        <v/>
      </c>
      <c r="F413" s="0" t="str">
        <f aca="false">IF(B413="","",IF(COUNTIFS('MASTER MENU'!$A$5:$A$504,B413)=0,"BELUM ADA",INDEX('MASTER MENU'!$F$5:$F$504,MATCH(B413,'MASTER MENU'!$A$5:$A$504,0))))</f>
        <v/>
      </c>
      <c r="G413" s="0" t="str">
        <f aca="false">IF(A413="","",IF(OR(NOT(ISNUMBER(E413)),NOT(ISNUMBER(F413))),"BELUM LENGKAP",ROUND(E413*F413,0)))</f>
        <v/>
      </c>
      <c r="J413" s="0" t="str">
        <f aca="false">IF(A413="","",IF(NOT(ISNUMBER(G413)),"BELUM LENGKAP",G413-H413-I413))</f>
        <v/>
      </c>
      <c r="L413" s="0" t="str">
        <f aca="false">IF(A413="","",IF(NOT(ISNUMBER(K413)),"ISI SNAPSHOT HPP",ROUND(E413*K413,0)))</f>
        <v/>
      </c>
      <c r="M413" s="0" t="str">
        <f aca="false">IF(A413="","",IF(NOT(ISNUMBER(L413)),"BELUM LENGKAP",J413-L413))</f>
        <v/>
      </c>
      <c r="N413" s="0" t="str">
        <f aca="false">IF(B413="","",IF(COUNTIFS('RESEP DAN HPP'!$A$5:$A$504,B413,'RESEP DAN HPP'!$N$5:$N$504,"LENGKAP")=0,"BELUM LENGKAP",INDEX('RESEP DAN HPP'!$J$5:$J$504,MATCH(B413,'RESEP DAN HPP'!$A$5:$A$504,0))))</f>
        <v/>
      </c>
      <c r="P413" s="0" t="str">
        <f aca="false">IF(A413="","",IF(COUNTIFS('TRANSAKSI PENJUALAN'!$A$5:$A$504,A413)=0,"BELUM ADA",INDEX('TRANSAKSI PENJUALAN'!$B$5:$B$504,MATCH(A413,'TRANSAKSI PENJUALAN'!$A$5:$A$504,0))))</f>
        <v/>
      </c>
      <c r="Q413" s="0" t="str">
        <f aca="false">IF(A413="","",IF(COUNTIFS('TRANSAKSI PENJUALAN'!$A$5:$A$504,A413)=0,"BELUM ADA",INDEX('TRANSAKSI PENJUALAN'!$M$5:$M$504,MATCH(A413,'TRANSAKSI PENJUALAN'!$A$5:$A$504,0))))</f>
        <v/>
      </c>
      <c r="R413" s="24" t="str">
        <f aca="false">IF(A413="","",COUNTIF($A$5:A413,A413))</f>
        <v/>
      </c>
      <c r="S413" s="24" t="str">
        <f aca="false">IF(A413="","",A413&amp;"|"&amp;R413)</f>
        <v/>
      </c>
    </row>
    <row r="414" customFormat="false" ht="15" hidden="false" customHeight="false" outlineLevel="0" collapsed="false">
      <c r="C414" s="0" t="str">
        <f aca="false">IF(B414="","",IF(COUNTIFS('MASTER MENU'!$A$5:$A$504,B414)=0,"BELUM ADA",INDEX('MASTER MENU'!$B$5:$B$504,MATCH(B414,'MASTER MENU'!$A$5:$A$504,0))))</f>
        <v/>
      </c>
      <c r="D414" s="0" t="str">
        <f aca="false">IF(B414="","",IF(COUNTIFS('MASTER MENU'!$A$5:$A$504,B414)=0,"BELUM ADA",INDEX('MASTER MENU'!$E$5:$E$504,MATCH(B414,'MASTER MENU'!$A$5:$A$504,0))))</f>
        <v/>
      </c>
      <c r="F414" s="0" t="str">
        <f aca="false">IF(B414="","",IF(COUNTIFS('MASTER MENU'!$A$5:$A$504,B414)=0,"BELUM ADA",INDEX('MASTER MENU'!$F$5:$F$504,MATCH(B414,'MASTER MENU'!$A$5:$A$504,0))))</f>
        <v/>
      </c>
      <c r="G414" s="0" t="str">
        <f aca="false">IF(A414="","",IF(OR(NOT(ISNUMBER(E414)),NOT(ISNUMBER(F414))),"BELUM LENGKAP",ROUND(E414*F414,0)))</f>
        <v/>
      </c>
      <c r="J414" s="0" t="str">
        <f aca="false">IF(A414="","",IF(NOT(ISNUMBER(G414)),"BELUM LENGKAP",G414-H414-I414))</f>
        <v/>
      </c>
      <c r="L414" s="0" t="str">
        <f aca="false">IF(A414="","",IF(NOT(ISNUMBER(K414)),"ISI SNAPSHOT HPP",ROUND(E414*K414,0)))</f>
        <v/>
      </c>
      <c r="M414" s="0" t="str">
        <f aca="false">IF(A414="","",IF(NOT(ISNUMBER(L414)),"BELUM LENGKAP",J414-L414))</f>
        <v/>
      </c>
      <c r="N414" s="0" t="str">
        <f aca="false">IF(B414="","",IF(COUNTIFS('RESEP DAN HPP'!$A$5:$A$504,B414,'RESEP DAN HPP'!$N$5:$N$504,"LENGKAP")=0,"BELUM LENGKAP",INDEX('RESEP DAN HPP'!$J$5:$J$504,MATCH(B414,'RESEP DAN HPP'!$A$5:$A$504,0))))</f>
        <v/>
      </c>
      <c r="P414" s="0" t="str">
        <f aca="false">IF(A414="","",IF(COUNTIFS('TRANSAKSI PENJUALAN'!$A$5:$A$504,A414)=0,"BELUM ADA",INDEX('TRANSAKSI PENJUALAN'!$B$5:$B$504,MATCH(A414,'TRANSAKSI PENJUALAN'!$A$5:$A$504,0))))</f>
        <v/>
      </c>
      <c r="Q414" s="0" t="str">
        <f aca="false">IF(A414="","",IF(COUNTIFS('TRANSAKSI PENJUALAN'!$A$5:$A$504,A414)=0,"BELUM ADA",INDEX('TRANSAKSI PENJUALAN'!$M$5:$M$504,MATCH(A414,'TRANSAKSI PENJUALAN'!$A$5:$A$504,0))))</f>
        <v/>
      </c>
      <c r="R414" s="24" t="str">
        <f aca="false">IF(A414="","",COUNTIF($A$5:A414,A414))</f>
        <v/>
      </c>
      <c r="S414" s="24" t="str">
        <f aca="false">IF(A414="","",A414&amp;"|"&amp;R414)</f>
        <v/>
      </c>
    </row>
    <row r="415" customFormat="false" ht="15" hidden="false" customHeight="false" outlineLevel="0" collapsed="false">
      <c r="C415" s="0" t="str">
        <f aca="false">IF(B415="","",IF(COUNTIFS('MASTER MENU'!$A$5:$A$504,B415)=0,"BELUM ADA",INDEX('MASTER MENU'!$B$5:$B$504,MATCH(B415,'MASTER MENU'!$A$5:$A$504,0))))</f>
        <v/>
      </c>
      <c r="D415" s="0" t="str">
        <f aca="false">IF(B415="","",IF(COUNTIFS('MASTER MENU'!$A$5:$A$504,B415)=0,"BELUM ADA",INDEX('MASTER MENU'!$E$5:$E$504,MATCH(B415,'MASTER MENU'!$A$5:$A$504,0))))</f>
        <v/>
      </c>
      <c r="F415" s="0" t="str">
        <f aca="false">IF(B415="","",IF(COUNTIFS('MASTER MENU'!$A$5:$A$504,B415)=0,"BELUM ADA",INDEX('MASTER MENU'!$F$5:$F$504,MATCH(B415,'MASTER MENU'!$A$5:$A$504,0))))</f>
        <v/>
      </c>
      <c r="G415" s="0" t="str">
        <f aca="false">IF(A415="","",IF(OR(NOT(ISNUMBER(E415)),NOT(ISNUMBER(F415))),"BELUM LENGKAP",ROUND(E415*F415,0)))</f>
        <v/>
      </c>
      <c r="J415" s="0" t="str">
        <f aca="false">IF(A415="","",IF(NOT(ISNUMBER(G415)),"BELUM LENGKAP",G415-H415-I415))</f>
        <v/>
      </c>
      <c r="L415" s="0" t="str">
        <f aca="false">IF(A415="","",IF(NOT(ISNUMBER(K415)),"ISI SNAPSHOT HPP",ROUND(E415*K415,0)))</f>
        <v/>
      </c>
      <c r="M415" s="0" t="str">
        <f aca="false">IF(A415="","",IF(NOT(ISNUMBER(L415)),"BELUM LENGKAP",J415-L415))</f>
        <v/>
      </c>
      <c r="N415" s="0" t="str">
        <f aca="false">IF(B415="","",IF(COUNTIFS('RESEP DAN HPP'!$A$5:$A$504,B415,'RESEP DAN HPP'!$N$5:$N$504,"LENGKAP")=0,"BELUM LENGKAP",INDEX('RESEP DAN HPP'!$J$5:$J$504,MATCH(B415,'RESEP DAN HPP'!$A$5:$A$504,0))))</f>
        <v/>
      </c>
      <c r="P415" s="0" t="str">
        <f aca="false">IF(A415="","",IF(COUNTIFS('TRANSAKSI PENJUALAN'!$A$5:$A$504,A415)=0,"BELUM ADA",INDEX('TRANSAKSI PENJUALAN'!$B$5:$B$504,MATCH(A415,'TRANSAKSI PENJUALAN'!$A$5:$A$504,0))))</f>
        <v/>
      </c>
      <c r="Q415" s="0" t="str">
        <f aca="false">IF(A415="","",IF(COUNTIFS('TRANSAKSI PENJUALAN'!$A$5:$A$504,A415)=0,"BELUM ADA",INDEX('TRANSAKSI PENJUALAN'!$M$5:$M$504,MATCH(A415,'TRANSAKSI PENJUALAN'!$A$5:$A$504,0))))</f>
        <v/>
      </c>
      <c r="R415" s="24" t="str">
        <f aca="false">IF(A415="","",COUNTIF($A$5:A415,A415))</f>
        <v/>
      </c>
      <c r="S415" s="24" t="str">
        <f aca="false">IF(A415="","",A415&amp;"|"&amp;R415)</f>
        <v/>
      </c>
    </row>
    <row r="416" customFormat="false" ht="15" hidden="false" customHeight="false" outlineLevel="0" collapsed="false">
      <c r="C416" s="0" t="str">
        <f aca="false">IF(B416="","",IF(COUNTIFS('MASTER MENU'!$A$5:$A$504,B416)=0,"BELUM ADA",INDEX('MASTER MENU'!$B$5:$B$504,MATCH(B416,'MASTER MENU'!$A$5:$A$504,0))))</f>
        <v/>
      </c>
      <c r="D416" s="0" t="str">
        <f aca="false">IF(B416="","",IF(COUNTIFS('MASTER MENU'!$A$5:$A$504,B416)=0,"BELUM ADA",INDEX('MASTER MENU'!$E$5:$E$504,MATCH(B416,'MASTER MENU'!$A$5:$A$504,0))))</f>
        <v/>
      </c>
      <c r="F416" s="0" t="str">
        <f aca="false">IF(B416="","",IF(COUNTIFS('MASTER MENU'!$A$5:$A$504,B416)=0,"BELUM ADA",INDEX('MASTER MENU'!$F$5:$F$504,MATCH(B416,'MASTER MENU'!$A$5:$A$504,0))))</f>
        <v/>
      </c>
      <c r="G416" s="0" t="str">
        <f aca="false">IF(A416="","",IF(OR(NOT(ISNUMBER(E416)),NOT(ISNUMBER(F416))),"BELUM LENGKAP",ROUND(E416*F416,0)))</f>
        <v/>
      </c>
      <c r="J416" s="0" t="str">
        <f aca="false">IF(A416="","",IF(NOT(ISNUMBER(G416)),"BELUM LENGKAP",G416-H416-I416))</f>
        <v/>
      </c>
      <c r="L416" s="0" t="str">
        <f aca="false">IF(A416="","",IF(NOT(ISNUMBER(K416)),"ISI SNAPSHOT HPP",ROUND(E416*K416,0)))</f>
        <v/>
      </c>
      <c r="M416" s="0" t="str">
        <f aca="false">IF(A416="","",IF(NOT(ISNUMBER(L416)),"BELUM LENGKAP",J416-L416))</f>
        <v/>
      </c>
      <c r="N416" s="0" t="str">
        <f aca="false">IF(B416="","",IF(COUNTIFS('RESEP DAN HPP'!$A$5:$A$504,B416,'RESEP DAN HPP'!$N$5:$N$504,"LENGKAP")=0,"BELUM LENGKAP",INDEX('RESEP DAN HPP'!$J$5:$J$504,MATCH(B416,'RESEP DAN HPP'!$A$5:$A$504,0))))</f>
        <v/>
      </c>
      <c r="P416" s="0" t="str">
        <f aca="false">IF(A416="","",IF(COUNTIFS('TRANSAKSI PENJUALAN'!$A$5:$A$504,A416)=0,"BELUM ADA",INDEX('TRANSAKSI PENJUALAN'!$B$5:$B$504,MATCH(A416,'TRANSAKSI PENJUALAN'!$A$5:$A$504,0))))</f>
        <v/>
      </c>
      <c r="Q416" s="0" t="str">
        <f aca="false">IF(A416="","",IF(COUNTIFS('TRANSAKSI PENJUALAN'!$A$5:$A$504,A416)=0,"BELUM ADA",INDEX('TRANSAKSI PENJUALAN'!$M$5:$M$504,MATCH(A416,'TRANSAKSI PENJUALAN'!$A$5:$A$504,0))))</f>
        <v/>
      </c>
      <c r="R416" s="24" t="str">
        <f aca="false">IF(A416="","",COUNTIF($A$5:A416,A416))</f>
        <v/>
      </c>
      <c r="S416" s="24" t="str">
        <f aca="false">IF(A416="","",A416&amp;"|"&amp;R416)</f>
        <v/>
      </c>
    </row>
    <row r="417" customFormat="false" ht="15" hidden="false" customHeight="false" outlineLevel="0" collapsed="false">
      <c r="C417" s="0" t="str">
        <f aca="false">IF(B417="","",IF(COUNTIFS('MASTER MENU'!$A$5:$A$504,B417)=0,"BELUM ADA",INDEX('MASTER MENU'!$B$5:$B$504,MATCH(B417,'MASTER MENU'!$A$5:$A$504,0))))</f>
        <v/>
      </c>
      <c r="D417" s="0" t="str">
        <f aca="false">IF(B417="","",IF(COUNTIFS('MASTER MENU'!$A$5:$A$504,B417)=0,"BELUM ADA",INDEX('MASTER MENU'!$E$5:$E$504,MATCH(B417,'MASTER MENU'!$A$5:$A$504,0))))</f>
        <v/>
      </c>
      <c r="F417" s="0" t="str">
        <f aca="false">IF(B417="","",IF(COUNTIFS('MASTER MENU'!$A$5:$A$504,B417)=0,"BELUM ADA",INDEX('MASTER MENU'!$F$5:$F$504,MATCH(B417,'MASTER MENU'!$A$5:$A$504,0))))</f>
        <v/>
      </c>
      <c r="G417" s="0" t="str">
        <f aca="false">IF(A417="","",IF(OR(NOT(ISNUMBER(E417)),NOT(ISNUMBER(F417))),"BELUM LENGKAP",ROUND(E417*F417,0)))</f>
        <v/>
      </c>
      <c r="J417" s="0" t="str">
        <f aca="false">IF(A417="","",IF(NOT(ISNUMBER(G417)),"BELUM LENGKAP",G417-H417-I417))</f>
        <v/>
      </c>
      <c r="L417" s="0" t="str">
        <f aca="false">IF(A417="","",IF(NOT(ISNUMBER(K417)),"ISI SNAPSHOT HPP",ROUND(E417*K417,0)))</f>
        <v/>
      </c>
      <c r="M417" s="0" t="str">
        <f aca="false">IF(A417="","",IF(NOT(ISNUMBER(L417)),"BELUM LENGKAP",J417-L417))</f>
        <v/>
      </c>
      <c r="N417" s="0" t="str">
        <f aca="false">IF(B417="","",IF(COUNTIFS('RESEP DAN HPP'!$A$5:$A$504,B417,'RESEP DAN HPP'!$N$5:$N$504,"LENGKAP")=0,"BELUM LENGKAP",INDEX('RESEP DAN HPP'!$J$5:$J$504,MATCH(B417,'RESEP DAN HPP'!$A$5:$A$504,0))))</f>
        <v/>
      </c>
      <c r="P417" s="0" t="str">
        <f aca="false">IF(A417="","",IF(COUNTIFS('TRANSAKSI PENJUALAN'!$A$5:$A$504,A417)=0,"BELUM ADA",INDEX('TRANSAKSI PENJUALAN'!$B$5:$B$504,MATCH(A417,'TRANSAKSI PENJUALAN'!$A$5:$A$504,0))))</f>
        <v/>
      </c>
      <c r="Q417" s="0" t="str">
        <f aca="false">IF(A417="","",IF(COUNTIFS('TRANSAKSI PENJUALAN'!$A$5:$A$504,A417)=0,"BELUM ADA",INDEX('TRANSAKSI PENJUALAN'!$M$5:$M$504,MATCH(A417,'TRANSAKSI PENJUALAN'!$A$5:$A$504,0))))</f>
        <v/>
      </c>
      <c r="R417" s="24" t="str">
        <f aca="false">IF(A417="","",COUNTIF($A$5:A417,A417))</f>
        <v/>
      </c>
      <c r="S417" s="24" t="str">
        <f aca="false">IF(A417="","",A417&amp;"|"&amp;R417)</f>
        <v/>
      </c>
    </row>
    <row r="418" customFormat="false" ht="15" hidden="false" customHeight="false" outlineLevel="0" collapsed="false">
      <c r="C418" s="0" t="str">
        <f aca="false">IF(B418="","",IF(COUNTIFS('MASTER MENU'!$A$5:$A$504,B418)=0,"BELUM ADA",INDEX('MASTER MENU'!$B$5:$B$504,MATCH(B418,'MASTER MENU'!$A$5:$A$504,0))))</f>
        <v/>
      </c>
      <c r="D418" s="0" t="str">
        <f aca="false">IF(B418="","",IF(COUNTIFS('MASTER MENU'!$A$5:$A$504,B418)=0,"BELUM ADA",INDEX('MASTER MENU'!$E$5:$E$504,MATCH(B418,'MASTER MENU'!$A$5:$A$504,0))))</f>
        <v/>
      </c>
      <c r="F418" s="0" t="str">
        <f aca="false">IF(B418="","",IF(COUNTIFS('MASTER MENU'!$A$5:$A$504,B418)=0,"BELUM ADA",INDEX('MASTER MENU'!$F$5:$F$504,MATCH(B418,'MASTER MENU'!$A$5:$A$504,0))))</f>
        <v/>
      </c>
      <c r="G418" s="0" t="str">
        <f aca="false">IF(A418="","",IF(OR(NOT(ISNUMBER(E418)),NOT(ISNUMBER(F418))),"BELUM LENGKAP",ROUND(E418*F418,0)))</f>
        <v/>
      </c>
      <c r="J418" s="0" t="str">
        <f aca="false">IF(A418="","",IF(NOT(ISNUMBER(G418)),"BELUM LENGKAP",G418-H418-I418))</f>
        <v/>
      </c>
      <c r="L418" s="0" t="str">
        <f aca="false">IF(A418="","",IF(NOT(ISNUMBER(K418)),"ISI SNAPSHOT HPP",ROUND(E418*K418,0)))</f>
        <v/>
      </c>
      <c r="M418" s="0" t="str">
        <f aca="false">IF(A418="","",IF(NOT(ISNUMBER(L418)),"BELUM LENGKAP",J418-L418))</f>
        <v/>
      </c>
      <c r="N418" s="0" t="str">
        <f aca="false">IF(B418="","",IF(COUNTIFS('RESEP DAN HPP'!$A$5:$A$504,B418,'RESEP DAN HPP'!$N$5:$N$504,"LENGKAP")=0,"BELUM LENGKAP",INDEX('RESEP DAN HPP'!$J$5:$J$504,MATCH(B418,'RESEP DAN HPP'!$A$5:$A$504,0))))</f>
        <v/>
      </c>
      <c r="P418" s="0" t="str">
        <f aca="false">IF(A418="","",IF(COUNTIFS('TRANSAKSI PENJUALAN'!$A$5:$A$504,A418)=0,"BELUM ADA",INDEX('TRANSAKSI PENJUALAN'!$B$5:$B$504,MATCH(A418,'TRANSAKSI PENJUALAN'!$A$5:$A$504,0))))</f>
        <v/>
      </c>
      <c r="Q418" s="0" t="str">
        <f aca="false">IF(A418="","",IF(COUNTIFS('TRANSAKSI PENJUALAN'!$A$5:$A$504,A418)=0,"BELUM ADA",INDEX('TRANSAKSI PENJUALAN'!$M$5:$M$504,MATCH(A418,'TRANSAKSI PENJUALAN'!$A$5:$A$504,0))))</f>
        <v/>
      </c>
      <c r="R418" s="24" t="str">
        <f aca="false">IF(A418="","",COUNTIF($A$5:A418,A418))</f>
        <v/>
      </c>
      <c r="S418" s="24" t="str">
        <f aca="false">IF(A418="","",A418&amp;"|"&amp;R418)</f>
        <v/>
      </c>
    </row>
    <row r="419" customFormat="false" ht="15" hidden="false" customHeight="false" outlineLevel="0" collapsed="false">
      <c r="C419" s="0" t="str">
        <f aca="false">IF(B419="","",IF(COUNTIFS('MASTER MENU'!$A$5:$A$504,B419)=0,"BELUM ADA",INDEX('MASTER MENU'!$B$5:$B$504,MATCH(B419,'MASTER MENU'!$A$5:$A$504,0))))</f>
        <v/>
      </c>
      <c r="D419" s="0" t="str">
        <f aca="false">IF(B419="","",IF(COUNTIFS('MASTER MENU'!$A$5:$A$504,B419)=0,"BELUM ADA",INDEX('MASTER MENU'!$E$5:$E$504,MATCH(B419,'MASTER MENU'!$A$5:$A$504,0))))</f>
        <v/>
      </c>
      <c r="F419" s="0" t="str">
        <f aca="false">IF(B419="","",IF(COUNTIFS('MASTER MENU'!$A$5:$A$504,B419)=0,"BELUM ADA",INDEX('MASTER MENU'!$F$5:$F$504,MATCH(B419,'MASTER MENU'!$A$5:$A$504,0))))</f>
        <v/>
      </c>
      <c r="G419" s="0" t="str">
        <f aca="false">IF(A419="","",IF(OR(NOT(ISNUMBER(E419)),NOT(ISNUMBER(F419))),"BELUM LENGKAP",ROUND(E419*F419,0)))</f>
        <v/>
      </c>
      <c r="J419" s="0" t="str">
        <f aca="false">IF(A419="","",IF(NOT(ISNUMBER(G419)),"BELUM LENGKAP",G419-H419-I419))</f>
        <v/>
      </c>
      <c r="L419" s="0" t="str">
        <f aca="false">IF(A419="","",IF(NOT(ISNUMBER(K419)),"ISI SNAPSHOT HPP",ROUND(E419*K419,0)))</f>
        <v/>
      </c>
      <c r="M419" s="0" t="str">
        <f aca="false">IF(A419="","",IF(NOT(ISNUMBER(L419)),"BELUM LENGKAP",J419-L419))</f>
        <v/>
      </c>
      <c r="N419" s="0" t="str">
        <f aca="false">IF(B419="","",IF(COUNTIFS('RESEP DAN HPP'!$A$5:$A$504,B419,'RESEP DAN HPP'!$N$5:$N$504,"LENGKAP")=0,"BELUM LENGKAP",INDEX('RESEP DAN HPP'!$J$5:$J$504,MATCH(B419,'RESEP DAN HPP'!$A$5:$A$504,0))))</f>
        <v/>
      </c>
      <c r="P419" s="0" t="str">
        <f aca="false">IF(A419="","",IF(COUNTIFS('TRANSAKSI PENJUALAN'!$A$5:$A$504,A419)=0,"BELUM ADA",INDEX('TRANSAKSI PENJUALAN'!$B$5:$B$504,MATCH(A419,'TRANSAKSI PENJUALAN'!$A$5:$A$504,0))))</f>
        <v/>
      </c>
      <c r="Q419" s="0" t="str">
        <f aca="false">IF(A419="","",IF(COUNTIFS('TRANSAKSI PENJUALAN'!$A$5:$A$504,A419)=0,"BELUM ADA",INDEX('TRANSAKSI PENJUALAN'!$M$5:$M$504,MATCH(A419,'TRANSAKSI PENJUALAN'!$A$5:$A$504,0))))</f>
        <v/>
      </c>
      <c r="R419" s="24" t="str">
        <f aca="false">IF(A419="","",COUNTIF($A$5:A419,A419))</f>
        <v/>
      </c>
      <c r="S419" s="24" t="str">
        <f aca="false">IF(A419="","",A419&amp;"|"&amp;R419)</f>
        <v/>
      </c>
    </row>
    <row r="420" customFormat="false" ht="15" hidden="false" customHeight="false" outlineLevel="0" collapsed="false">
      <c r="C420" s="0" t="str">
        <f aca="false">IF(B420="","",IF(COUNTIFS('MASTER MENU'!$A$5:$A$504,B420)=0,"BELUM ADA",INDEX('MASTER MENU'!$B$5:$B$504,MATCH(B420,'MASTER MENU'!$A$5:$A$504,0))))</f>
        <v/>
      </c>
      <c r="D420" s="0" t="str">
        <f aca="false">IF(B420="","",IF(COUNTIFS('MASTER MENU'!$A$5:$A$504,B420)=0,"BELUM ADA",INDEX('MASTER MENU'!$E$5:$E$504,MATCH(B420,'MASTER MENU'!$A$5:$A$504,0))))</f>
        <v/>
      </c>
      <c r="F420" s="0" t="str">
        <f aca="false">IF(B420="","",IF(COUNTIFS('MASTER MENU'!$A$5:$A$504,B420)=0,"BELUM ADA",INDEX('MASTER MENU'!$F$5:$F$504,MATCH(B420,'MASTER MENU'!$A$5:$A$504,0))))</f>
        <v/>
      </c>
      <c r="G420" s="0" t="str">
        <f aca="false">IF(A420="","",IF(OR(NOT(ISNUMBER(E420)),NOT(ISNUMBER(F420))),"BELUM LENGKAP",ROUND(E420*F420,0)))</f>
        <v/>
      </c>
      <c r="J420" s="0" t="str">
        <f aca="false">IF(A420="","",IF(NOT(ISNUMBER(G420)),"BELUM LENGKAP",G420-H420-I420))</f>
        <v/>
      </c>
      <c r="L420" s="0" t="str">
        <f aca="false">IF(A420="","",IF(NOT(ISNUMBER(K420)),"ISI SNAPSHOT HPP",ROUND(E420*K420,0)))</f>
        <v/>
      </c>
      <c r="M420" s="0" t="str">
        <f aca="false">IF(A420="","",IF(NOT(ISNUMBER(L420)),"BELUM LENGKAP",J420-L420))</f>
        <v/>
      </c>
      <c r="N420" s="0" t="str">
        <f aca="false">IF(B420="","",IF(COUNTIFS('RESEP DAN HPP'!$A$5:$A$504,B420,'RESEP DAN HPP'!$N$5:$N$504,"LENGKAP")=0,"BELUM LENGKAP",INDEX('RESEP DAN HPP'!$J$5:$J$504,MATCH(B420,'RESEP DAN HPP'!$A$5:$A$504,0))))</f>
        <v/>
      </c>
      <c r="P420" s="0" t="str">
        <f aca="false">IF(A420="","",IF(COUNTIFS('TRANSAKSI PENJUALAN'!$A$5:$A$504,A420)=0,"BELUM ADA",INDEX('TRANSAKSI PENJUALAN'!$B$5:$B$504,MATCH(A420,'TRANSAKSI PENJUALAN'!$A$5:$A$504,0))))</f>
        <v/>
      </c>
      <c r="Q420" s="0" t="str">
        <f aca="false">IF(A420="","",IF(COUNTIFS('TRANSAKSI PENJUALAN'!$A$5:$A$504,A420)=0,"BELUM ADA",INDEX('TRANSAKSI PENJUALAN'!$M$5:$M$504,MATCH(A420,'TRANSAKSI PENJUALAN'!$A$5:$A$504,0))))</f>
        <v/>
      </c>
      <c r="R420" s="24" t="str">
        <f aca="false">IF(A420="","",COUNTIF($A$5:A420,A420))</f>
        <v/>
      </c>
      <c r="S420" s="24" t="str">
        <f aca="false">IF(A420="","",A420&amp;"|"&amp;R420)</f>
        <v/>
      </c>
    </row>
    <row r="421" customFormat="false" ht="15" hidden="false" customHeight="false" outlineLevel="0" collapsed="false">
      <c r="C421" s="0" t="str">
        <f aca="false">IF(B421="","",IF(COUNTIFS('MASTER MENU'!$A$5:$A$504,B421)=0,"BELUM ADA",INDEX('MASTER MENU'!$B$5:$B$504,MATCH(B421,'MASTER MENU'!$A$5:$A$504,0))))</f>
        <v/>
      </c>
      <c r="D421" s="0" t="str">
        <f aca="false">IF(B421="","",IF(COUNTIFS('MASTER MENU'!$A$5:$A$504,B421)=0,"BELUM ADA",INDEX('MASTER MENU'!$E$5:$E$504,MATCH(B421,'MASTER MENU'!$A$5:$A$504,0))))</f>
        <v/>
      </c>
      <c r="F421" s="0" t="str">
        <f aca="false">IF(B421="","",IF(COUNTIFS('MASTER MENU'!$A$5:$A$504,B421)=0,"BELUM ADA",INDEX('MASTER MENU'!$F$5:$F$504,MATCH(B421,'MASTER MENU'!$A$5:$A$504,0))))</f>
        <v/>
      </c>
      <c r="G421" s="0" t="str">
        <f aca="false">IF(A421="","",IF(OR(NOT(ISNUMBER(E421)),NOT(ISNUMBER(F421))),"BELUM LENGKAP",ROUND(E421*F421,0)))</f>
        <v/>
      </c>
      <c r="J421" s="0" t="str">
        <f aca="false">IF(A421="","",IF(NOT(ISNUMBER(G421)),"BELUM LENGKAP",G421-H421-I421))</f>
        <v/>
      </c>
      <c r="L421" s="0" t="str">
        <f aca="false">IF(A421="","",IF(NOT(ISNUMBER(K421)),"ISI SNAPSHOT HPP",ROUND(E421*K421,0)))</f>
        <v/>
      </c>
      <c r="M421" s="0" t="str">
        <f aca="false">IF(A421="","",IF(NOT(ISNUMBER(L421)),"BELUM LENGKAP",J421-L421))</f>
        <v/>
      </c>
      <c r="N421" s="0" t="str">
        <f aca="false">IF(B421="","",IF(COUNTIFS('RESEP DAN HPP'!$A$5:$A$504,B421,'RESEP DAN HPP'!$N$5:$N$504,"LENGKAP")=0,"BELUM LENGKAP",INDEX('RESEP DAN HPP'!$J$5:$J$504,MATCH(B421,'RESEP DAN HPP'!$A$5:$A$504,0))))</f>
        <v/>
      </c>
      <c r="P421" s="0" t="str">
        <f aca="false">IF(A421="","",IF(COUNTIFS('TRANSAKSI PENJUALAN'!$A$5:$A$504,A421)=0,"BELUM ADA",INDEX('TRANSAKSI PENJUALAN'!$B$5:$B$504,MATCH(A421,'TRANSAKSI PENJUALAN'!$A$5:$A$504,0))))</f>
        <v/>
      </c>
      <c r="Q421" s="0" t="str">
        <f aca="false">IF(A421="","",IF(COUNTIFS('TRANSAKSI PENJUALAN'!$A$5:$A$504,A421)=0,"BELUM ADA",INDEX('TRANSAKSI PENJUALAN'!$M$5:$M$504,MATCH(A421,'TRANSAKSI PENJUALAN'!$A$5:$A$504,0))))</f>
        <v/>
      </c>
      <c r="R421" s="24" t="str">
        <f aca="false">IF(A421="","",COUNTIF($A$5:A421,A421))</f>
        <v/>
      </c>
      <c r="S421" s="24" t="str">
        <f aca="false">IF(A421="","",A421&amp;"|"&amp;R421)</f>
        <v/>
      </c>
    </row>
    <row r="422" customFormat="false" ht="15" hidden="false" customHeight="false" outlineLevel="0" collapsed="false">
      <c r="C422" s="0" t="str">
        <f aca="false">IF(B422="","",IF(COUNTIFS('MASTER MENU'!$A$5:$A$504,B422)=0,"BELUM ADA",INDEX('MASTER MENU'!$B$5:$B$504,MATCH(B422,'MASTER MENU'!$A$5:$A$504,0))))</f>
        <v/>
      </c>
      <c r="D422" s="0" t="str">
        <f aca="false">IF(B422="","",IF(COUNTIFS('MASTER MENU'!$A$5:$A$504,B422)=0,"BELUM ADA",INDEX('MASTER MENU'!$E$5:$E$504,MATCH(B422,'MASTER MENU'!$A$5:$A$504,0))))</f>
        <v/>
      </c>
      <c r="F422" s="0" t="str">
        <f aca="false">IF(B422="","",IF(COUNTIFS('MASTER MENU'!$A$5:$A$504,B422)=0,"BELUM ADA",INDEX('MASTER MENU'!$F$5:$F$504,MATCH(B422,'MASTER MENU'!$A$5:$A$504,0))))</f>
        <v/>
      </c>
      <c r="G422" s="0" t="str">
        <f aca="false">IF(A422="","",IF(OR(NOT(ISNUMBER(E422)),NOT(ISNUMBER(F422))),"BELUM LENGKAP",ROUND(E422*F422,0)))</f>
        <v/>
      </c>
      <c r="J422" s="0" t="str">
        <f aca="false">IF(A422="","",IF(NOT(ISNUMBER(G422)),"BELUM LENGKAP",G422-H422-I422))</f>
        <v/>
      </c>
      <c r="L422" s="0" t="str">
        <f aca="false">IF(A422="","",IF(NOT(ISNUMBER(K422)),"ISI SNAPSHOT HPP",ROUND(E422*K422,0)))</f>
        <v/>
      </c>
      <c r="M422" s="0" t="str">
        <f aca="false">IF(A422="","",IF(NOT(ISNUMBER(L422)),"BELUM LENGKAP",J422-L422))</f>
        <v/>
      </c>
      <c r="N422" s="0" t="str">
        <f aca="false">IF(B422="","",IF(COUNTIFS('RESEP DAN HPP'!$A$5:$A$504,B422,'RESEP DAN HPP'!$N$5:$N$504,"LENGKAP")=0,"BELUM LENGKAP",INDEX('RESEP DAN HPP'!$J$5:$J$504,MATCH(B422,'RESEP DAN HPP'!$A$5:$A$504,0))))</f>
        <v/>
      </c>
      <c r="P422" s="0" t="str">
        <f aca="false">IF(A422="","",IF(COUNTIFS('TRANSAKSI PENJUALAN'!$A$5:$A$504,A422)=0,"BELUM ADA",INDEX('TRANSAKSI PENJUALAN'!$B$5:$B$504,MATCH(A422,'TRANSAKSI PENJUALAN'!$A$5:$A$504,0))))</f>
        <v/>
      </c>
      <c r="Q422" s="0" t="str">
        <f aca="false">IF(A422="","",IF(COUNTIFS('TRANSAKSI PENJUALAN'!$A$5:$A$504,A422)=0,"BELUM ADA",INDEX('TRANSAKSI PENJUALAN'!$M$5:$M$504,MATCH(A422,'TRANSAKSI PENJUALAN'!$A$5:$A$504,0))))</f>
        <v/>
      </c>
      <c r="R422" s="24" t="str">
        <f aca="false">IF(A422="","",COUNTIF($A$5:A422,A422))</f>
        <v/>
      </c>
      <c r="S422" s="24" t="str">
        <f aca="false">IF(A422="","",A422&amp;"|"&amp;R422)</f>
        <v/>
      </c>
    </row>
    <row r="423" customFormat="false" ht="15" hidden="false" customHeight="false" outlineLevel="0" collapsed="false">
      <c r="C423" s="0" t="str">
        <f aca="false">IF(B423="","",IF(COUNTIFS('MASTER MENU'!$A$5:$A$504,B423)=0,"BELUM ADA",INDEX('MASTER MENU'!$B$5:$B$504,MATCH(B423,'MASTER MENU'!$A$5:$A$504,0))))</f>
        <v/>
      </c>
      <c r="D423" s="0" t="str">
        <f aca="false">IF(B423="","",IF(COUNTIFS('MASTER MENU'!$A$5:$A$504,B423)=0,"BELUM ADA",INDEX('MASTER MENU'!$E$5:$E$504,MATCH(B423,'MASTER MENU'!$A$5:$A$504,0))))</f>
        <v/>
      </c>
      <c r="F423" s="0" t="str">
        <f aca="false">IF(B423="","",IF(COUNTIFS('MASTER MENU'!$A$5:$A$504,B423)=0,"BELUM ADA",INDEX('MASTER MENU'!$F$5:$F$504,MATCH(B423,'MASTER MENU'!$A$5:$A$504,0))))</f>
        <v/>
      </c>
      <c r="G423" s="0" t="str">
        <f aca="false">IF(A423="","",IF(OR(NOT(ISNUMBER(E423)),NOT(ISNUMBER(F423))),"BELUM LENGKAP",ROUND(E423*F423,0)))</f>
        <v/>
      </c>
      <c r="J423" s="0" t="str">
        <f aca="false">IF(A423="","",IF(NOT(ISNUMBER(G423)),"BELUM LENGKAP",G423-H423-I423))</f>
        <v/>
      </c>
      <c r="L423" s="0" t="str">
        <f aca="false">IF(A423="","",IF(NOT(ISNUMBER(K423)),"ISI SNAPSHOT HPP",ROUND(E423*K423,0)))</f>
        <v/>
      </c>
      <c r="M423" s="0" t="str">
        <f aca="false">IF(A423="","",IF(NOT(ISNUMBER(L423)),"BELUM LENGKAP",J423-L423))</f>
        <v/>
      </c>
      <c r="N423" s="0" t="str">
        <f aca="false">IF(B423="","",IF(COUNTIFS('RESEP DAN HPP'!$A$5:$A$504,B423,'RESEP DAN HPP'!$N$5:$N$504,"LENGKAP")=0,"BELUM LENGKAP",INDEX('RESEP DAN HPP'!$J$5:$J$504,MATCH(B423,'RESEP DAN HPP'!$A$5:$A$504,0))))</f>
        <v/>
      </c>
      <c r="P423" s="0" t="str">
        <f aca="false">IF(A423="","",IF(COUNTIFS('TRANSAKSI PENJUALAN'!$A$5:$A$504,A423)=0,"BELUM ADA",INDEX('TRANSAKSI PENJUALAN'!$B$5:$B$504,MATCH(A423,'TRANSAKSI PENJUALAN'!$A$5:$A$504,0))))</f>
        <v/>
      </c>
      <c r="Q423" s="0" t="str">
        <f aca="false">IF(A423="","",IF(COUNTIFS('TRANSAKSI PENJUALAN'!$A$5:$A$504,A423)=0,"BELUM ADA",INDEX('TRANSAKSI PENJUALAN'!$M$5:$M$504,MATCH(A423,'TRANSAKSI PENJUALAN'!$A$5:$A$504,0))))</f>
        <v/>
      </c>
      <c r="R423" s="24" t="str">
        <f aca="false">IF(A423="","",COUNTIF($A$5:A423,A423))</f>
        <v/>
      </c>
      <c r="S423" s="24" t="str">
        <f aca="false">IF(A423="","",A423&amp;"|"&amp;R423)</f>
        <v/>
      </c>
    </row>
    <row r="424" customFormat="false" ht="15" hidden="false" customHeight="false" outlineLevel="0" collapsed="false">
      <c r="C424" s="0" t="str">
        <f aca="false">IF(B424="","",IF(COUNTIFS('MASTER MENU'!$A$5:$A$504,B424)=0,"BELUM ADA",INDEX('MASTER MENU'!$B$5:$B$504,MATCH(B424,'MASTER MENU'!$A$5:$A$504,0))))</f>
        <v/>
      </c>
      <c r="D424" s="0" t="str">
        <f aca="false">IF(B424="","",IF(COUNTIFS('MASTER MENU'!$A$5:$A$504,B424)=0,"BELUM ADA",INDEX('MASTER MENU'!$E$5:$E$504,MATCH(B424,'MASTER MENU'!$A$5:$A$504,0))))</f>
        <v/>
      </c>
      <c r="F424" s="0" t="str">
        <f aca="false">IF(B424="","",IF(COUNTIFS('MASTER MENU'!$A$5:$A$504,B424)=0,"BELUM ADA",INDEX('MASTER MENU'!$F$5:$F$504,MATCH(B424,'MASTER MENU'!$A$5:$A$504,0))))</f>
        <v/>
      </c>
      <c r="G424" s="0" t="str">
        <f aca="false">IF(A424="","",IF(OR(NOT(ISNUMBER(E424)),NOT(ISNUMBER(F424))),"BELUM LENGKAP",ROUND(E424*F424,0)))</f>
        <v/>
      </c>
      <c r="J424" s="0" t="str">
        <f aca="false">IF(A424="","",IF(NOT(ISNUMBER(G424)),"BELUM LENGKAP",G424-H424-I424))</f>
        <v/>
      </c>
      <c r="L424" s="0" t="str">
        <f aca="false">IF(A424="","",IF(NOT(ISNUMBER(K424)),"ISI SNAPSHOT HPP",ROUND(E424*K424,0)))</f>
        <v/>
      </c>
      <c r="M424" s="0" t="str">
        <f aca="false">IF(A424="","",IF(NOT(ISNUMBER(L424)),"BELUM LENGKAP",J424-L424))</f>
        <v/>
      </c>
      <c r="N424" s="0" t="str">
        <f aca="false">IF(B424="","",IF(COUNTIFS('RESEP DAN HPP'!$A$5:$A$504,B424,'RESEP DAN HPP'!$N$5:$N$504,"LENGKAP")=0,"BELUM LENGKAP",INDEX('RESEP DAN HPP'!$J$5:$J$504,MATCH(B424,'RESEP DAN HPP'!$A$5:$A$504,0))))</f>
        <v/>
      </c>
      <c r="P424" s="0" t="str">
        <f aca="false">IF(A424="","",IF(COUNTIFS('TRANSAKSI PENJUALAN'!$A$5:$A$504,A424)=0,"BELUM ADA",INDEX('TRANSAKSI PENJUALAN'!$B$5:$B$504,MATCH(A424,'TRANSAKSI PENJUALAN'!$A$5:$A$504,0))))</f>
        <v/>
      </c>
      <c r="Q424" s="0" t="str">
        <f aca="false">IF(A424="","",IF(COUNTIFS('TRANSAKSI PENJUALAN'!$A$5:$A$504,A424)=0,"BELUM ADA",INDEX('TRANSAKSI PENJUALAN'!$M$5:$M$504,MATCH(A424,'TRANSAKSI PENJUALAN'!$A$5:$A$504,0))))</f>
        <v/>
      </c>
      <c r="R424" s="24" t="str">
        <f aca="false">IF(A424="","",COUNTIF($A$5:A424,A424))</f>
        <v/>
      </c>
      <c r="S424" s="24" t="str">
        <f aca="false">IF(A424="","",A424&amp;"|"&amp;R424)</f>
        <v/>
      </c>
    </row>
    <row r="425" customFormat="false" ht="15" hidden="false" customHeight="false" outlineLevel="0" collapsed="false">
      <c r="C425" s="0" t="str">
        <f aca="false">IF(B425="","",IF(COUNTIFS('MASTER MENU'!$A$5:$A$504,B425)=0,"BELUM ADA",INDEX('MASTER MENU'!$B$5:$B$504,MATCH(B425,'MASTER MENU'!$A$5:$A$504,0))))</f>
        <v/>
      </c>
      <c r="D425" s="0" t="str">
        <f aca="false">IF(B425="","",IF(COUNTIFS('MASTER MENU'!$A$5:$A$504,B425)=0,"BELUM ADA",INDEX('MASTER MENU'!$E$5:$E$504,MATCH(B425,'MASTER MENU'!$A$5:$A$504,0))))</f>
        <v/>
      </c>
      <c r="F425" s="0" t="str">
        <f aca="false">IF(B425="","",IF(COUNTIFS('MASTER MENU'!$A$5:$A$504,B425)=0,"BELUM ADA",INDEX('MASTER MENU'!$F$5:$F$504,MATCH(B425,'MASTER MENU'!$A$5:$A$504,0))))</f>
        <v/>
      </c>
      <c r="G425" s="0" t="str">
        <f aca="false">IF(A425="","",IF(OR(NOT(ISNUMBER(E425)),NOT(ISNUMBER(F425))),"BELUM LENGKAP",ROUND(E425*F425,0)))</f>
        <v/>
      </c>
      <c r="J425" s="0" t="str">
        <f aca="false">IF(A425="","",IF(NOT(ISNUMBER(G425)),"BELUM LENGKAP",G425-H425-I425))</f>
        <v/>
      </c>
      <c r="L425" s="0" t="str">
        <f aca="false">IF(A425="","",IF(NOT(ISNUMBER(K425)),"ISI SNAPSHOT HPP",ROUND(E425*K425,0)))</f>
        <v/>
      </c>
      <c r="M425" s="0" t="str">
        <f aca="false">IF(A425="","",IF(NOT(ISNUMBER(L425)),"BELUM LENGKAP",J425-L425))</f>
        <v/>
      </c>
      <c r="N425" s="0" t="str">
        <f aca="false">IF(B425="","",IF(COUNTIFS('RESEP DAN HPP'!$A$5:$A$504,B425,'RESEP DAN HPP'!$N$5:$N$504,"LENGKAP")=0,"BELUM LENGKAP",INDEX('RESEP DAN HPP'!$J$5:$J$504,MATCH(B425,'RESEP DAN HPP'!$A$5:$A$504,0))))</f>
        <v/>
      </c>
      <c r="P425" s="0" t="str">
        <f aca="false">IF(A425="","",IF(COUNTIFS('TRANSAKSI PENJUALAN'!$A$5:$A$504,A425)=0,"BELUM ADA",INDEX('TRANSAKSI PENJUALAN'!$B$5:$B$504,MATCH(A425,'TRANSAKSI PENJUALAN'!$A$5:$A$504,0))))</f>
        <v/>
      </c>
      <c r="Q425" s="0" t="str">
        <f aca="false">IF(A425="","",IF(COUNTIFS('TRANSAKSI PENJUALAN'!$A$5:$A$504,A425)=0,"BELUM ADA",INDEX('TRANSAKSI PENJUALAN'!$M$5:$M$504,MATCH(A425,'TRANSAKSI PENJUALAN'!$A$5:$A$504,0))))</f>
        <v/>
      </c>
      <c r="R425" s="24" t="str">
        <f aca="false">IF(A425="","",COUNTIF($A$5:A425,A425))</f>
        <v/>
      </c>
      <c r="S425" s="24" t="str">
        <f aca="false">IF(A425="","",A425&amp;"|"&amp;R425)</f>
        <v/>
      </c>
    </row>
    <row r="426" customFormat="false" ht="15" hidden="false" customHeight="false" outlineLevel="0" collapsed="false">
      <c r="C426" s="0" t="str">
        <f aca="false">IF(B426="","",IF(COUNTIFS('MASTER MENU'!$A$5:$A$504,B426)=0,"BELUM ADA",INDEX('MASTER MENU'!$B$5:$B$504,MATCH(B426,'MASTER MENU'!$A$5:$A$504,0))))</f>
        <v/>
      </c>
      <c r="D426" s="0" t="str">
        <f aca="false">IF(B426="","",IF(COUNTIFS('MASTER MENU'!$A$5:$A$504,B426)=0,"BELUM ADA",INDEX('MASTER MENU'!$E$5:$E$504,MATCH(B426,'MASTER MENU'!$A$5:$A$504,0))))</f>
        <v/>
      </c>
      <c r="F426" s="0" t="str">
        <f aca="false">IF(B426="","",IF(COUNTIFS('MASTER MENU'!$A$5:$A$504,B426)=0,"BELUM ADA",INDEX('MASTER MENU'!$F$5:$F$504,MATCH(B426,'MASTER MENU'!$A$5:$A$504,0))))</f>
        <v/>
      </c>
      <c r="G426" s="0" t="str">
        <f aca="false">IF(A426="","",IF(OR(NOT(ISNUMBER(E426)),NOT(ISNUMBER(F426))),"BELUM LENGKAP",ROUND(E426*F426,0)))</f>
        <v/>
      </c>
      <c r="J426" s="0" t="str">
        <f aca="false">IF(A426="","",IF(NOT(ISNUMBER(G426)),"BELUM LENGKAP",G426-H426-I426))</f>
        <v/>
      </c>
      <c r="L426" s="0" t="str">
        <f aca="false">IF(A426="","",IF(NOT(ISNUMBER(K426)),"ISI SNAPSHOT HPP",ROUND(E426*K426,0)))</f>
        <v/>
      </c>
      <c r="M426" s="0" t="str">
        <f aca="false">IF(A426="","",IF(NOT(ISNUMBER(L426)),"BELUM LENGKAP",J426-L426))</f>
        <v/>
      </c>
      <c r="N426" s="0" t="str">
        <f aca="false">IF(B426="","",IF(COUNTIFS('RESEP DAN HPP'!$A$5:$A$504,B426,'RESEP DAN HPP'!$N$5:$N$504,"LENGKAP")=0,"BELUM LENGKAP",INDEX('RESEP DAN HPP'!$J$5:$J$504,MATCH(B426,'RESEP DAN HPP'!$A$5:$A$504,0))))</f>
        <v/>
      </c>
      <c r="P426" s="0" t="str">
        <f aca="false">IF(A426="","",IF(COUNTIFS('TRANSAKSI PENJUALAN'!$A$5:$A$504,A426)=0,"BELUM ADA",INDEX('TRANSAKSI PENJUALAN'!$B$5:$B$504,MATCH(A426,'TRANSAKSI PENJUALAN'!$A$5:$A$504,0))))</f>
        <v/>
      </c>
      <c r="Q426" s="0" t="str">
        <f aca="false">IF(A426="","",IF(COUNTIFS('TRANSAKSI PENJUALAN'!$A$5:$A$504,A426)=0,"BELUM ADA",INDEX('TRANSAKSI PENJUALAN'!$M$5:$M$504,MATCH(A426,'TRANSAKSI PENJUALAN'!$A$5:$A$504,0))))</f>
        <v/>
      </c>
      <c r="R426" s="24" t="str">
        <f aca="false">IF(A426="","",COUNTIF($A$5:A426,A426))</f>
        <v/>
      </c>
      <c r="S426" s="24" t="str">
        <f aca="false">IF(A426="","",A426&amp;"|"&amp;R426)</f>
        <v/>
      </c>
    </row>
    <row r="427" customFormat="false" ht="15" hidden="false" customHeight="false" outlineLevel="0" collapsed="false">
      <c r="C427" s="0" t="str">
        <f aca="false">IF(B427="","",IF(COUNTIFS('MASTER MENU'!$A$5:$A$504,B427)=0,"BELUM ADA",INDEX('MASTER MENU'!$B$5:$B$504,MATCH(B427,'MASTER MENU'!$A$5:$A$504,0))))</f>
        <v/>
      </c>
      <c r="D427" s="0" t="str">
        <f aca="false">IF(B427="","",IF(COUNTIFS('MASTER MENU'!$A$5:$A$504,B427)=0,"BELUM ADA",INDEX('MASTER MENU'!$E$5:$E$504,MATCH(B427,'MASTER MENU'!$A$5:$A$504,0))))</f>
        <v/>
      </c>
      <c r="F427" s="0" t="str">
        <f aca="false">IF(B427="","",IF(COUNTIFS('MASTER MENU'!$A$5:$A$504,B427)=0,"BELUM ADA",INDEX('MASTER MENU'!$F$5:$F$504,MATCH(B427,'MASTER MENU'!$A$5:$A$504,0))))</f>
        <v/>
      </c>
      <c r="G427" s="0" t="str">
        <f aca="false">IF(A427="","",IF(OR(NOT(ISNUMBER(E427)),NOT(ISNUMBER(F427))),"BELUM LENGKAP",ROUND(E427*F427,0)))</f>
        <v/>
      </c>
      <c r="J427" s="0" t="str">
        <f aca="false">IF(A427="","",IF(NOT(ISNUMBER(G427)),"BELUM LENGKAP",G427-H427-I427))</f>
        <v/>
      </c>
      <c r="L427" s="0" t="str">
        <f aca="false">IF(A427="","",IF(NOT(ISNUMBER(K427)),"ISI SNAPSHOT HPP",ROUND(E427*K427,0)))</f>
        <v/>
      </c>
      <c r="M427" s="0" t="str">
        <f aca="false">IF(A427="","",IF(NOT(ISNUMBER(L427)),"BELUM LENGKAP",J427-L427))</f>
        <v/>
      </c>
      <c r="N427" s="0" t="str">
        <f aca="false">IF(B427="","",IF(COUNTIFS('RESEP DAN HPP'!$A$5:$A$504,B427,'RESEP DAN HPP'!$N$5:$N$504,"LENGKAP")=0,"BELUM LENGKAP",INDEX('RESEP DAN HPP'!$J$5:$J$504,MATCH(B427,'RESEP DAN HPP'!$A$5:$A$504,0))))</f>
        <v/>
      </c>
      <c r="P427" s="0" t="str">
        <f aca="false">IF(A427="","",IF(COUNTIFS('TRANSAKSI PENJUALAN'!$A$5:$A$504,A427)=0,"BELUM ADA",INDEX('TRANSAKSI PENJUALAN'!$B$5:$B$504,MATCH(A427,'TRANSAKSI PENJUALAN'!$A$5:$A$504,0))))</f>
        <v/>
      </c>
      <c r="Q427" s="0" t="str">
        <f aca="false">IF(A427="","",IF(COUNTIFS('TRANSAKSI PENJUALAN'!$A$5:$A$504,A427)=0,"BELUM ADA",INDEX('TRANSAKSI PENJUALAN'!$M$5:$M$504,MATCH(A427,'TRANSAKSI PENJUALAN'!$A$5:$A$504,0))))</f>
        <v/>
      </c>
      <c r="R427" s="24" t="str">
        <f aca="false">IF(A427="","",COUNTIF($A$5:A427,A427))</f>
        <v/>
      </c>
      <c r="S427" s="24" t="str">
        <f aca="false">IF(A427="","",A427&amp;"|"&amp;R427)</f>
        <v/>
      </c>
    </row>
    <row r="428" customFormat="false" ht="15" hidden="false" customHeight="false" outlineLevel="0" collapsed="false">
      <c r="C428" s="0" t="str">
        <f aca="false">IF(B428="","",IF(COUNTIFS('MASTER MENU'!$A$5:$A$504,B428)=0,"BELUM ADA",INDEX('MASTER MENU'!$B$5:$B$504,MATCH(B428,'MASTER MENU'!$A$5:$A$504,0))))</f>
        <v/>
      </c>
      <c r="D428" s="0" t="str">
        <f aca="false">IF(B428="","",IF(COUNTIFS('MASTER MENU'!$A$5:$A$504,B428)=0,"BELUM ADA",INDEX('MASTER MENU'!$E$5:$E$504,MATCH(B428,'MASTER MENU'!$A$5:$A$504,0))))</f>
        <v/>
      </c>
      <c r="F428" s="0" t="str">
        <f aca="false">IF(B428="","",IF(COUNTIFS('MASTER MENU'!$A$5:$A$504,B428)=0,"BELUM ADA",INDEX('MASTER MENU'!$F$5:$F$504,MATCH(B428,'MASTER MENU'!$A$5:$A$504,0))))</f>
        <v/>
      </c>
      <c r="G428" s="0" t="str">
        <f aca="false">IF(A428="","",IF(OR(NOT(ISNUMBER(E428)),NOT(ISNUMBER(F428))),"BELUM LENGKAP",ROUND(E428*F428,0)))</f>
        <v/>
      </c>
      <c r="J428" s="0" t="str">
        <f aca="false">IF(A428="","",IF(NOT(ISNUMBER(G428)),"BELUM LENGKAP",G428-H428-I428))</f>
        <v/>
      </c>
      <c r="L428" s="0" t="str">
        <f aca="false">IF(A428="","",IF(NOT(ISNUMBER(K428)),"ISI SNAPSHOT HPP",ROUND(E428*K428,0)))</f>
        <v/>
      </c>
      <c r="M428" s="0" t="str">
        <f aca="false">IF(A428="","",IF(NOT(ISNUMBER(L428)),"BELUM LENGKAP",J428-L428))</f>
        <v/>
      </c>
      <c r="N428" s="0" t="str">
        <f aca="false">IF(B428="","",IF(COUNTIFS('RESEP DAN HPP'!$A$5:$A$504,B428,'RESEP DAN HPP'!$N$5:$N$504,"LENGKAP")=0,"BELUM LENGKAP",INDEX('RESEP DAN HPP'!$J$5:$J$504,MATCH(B428,'RESEP DAN HPP'!$A$5:$A$504,0))))</f>
        <v/>
      </c>
      <c r="P428" s="0" t="str">
        <f aca="false">IF(A428="","",IF(COUNTIFS('TRANSAKSI PENJUALAN'!$A$5:$A$504,A428)=0,"BELUM ADA",INDEX('TRANSAKSI PENJUALAN'!$B$5:$B$504,MATCH(A428,'TRANSAKSI PENJUALAN'!$A$5:$A$504,0))))</f>
        <v/>
      </c>
      <c r="Q428" s="0" t="str">
        <f aca="false">IF(A428="","",IF(COUNTIFS('TRANSAKSI PENJUALAN'!$A$5:$A$504,A428)=0,"BELUM ADA",INDEX('TRANSAKSI PENJUALAN'!$M$5:$M$504,MATCH(A428,'TRANSAKSI PENJUALAN'!$A$5:$A$504,0))))</f>
        <v/>
      </c>
      <c r="R428" s="24" t="str">
        <f aca="false">IF(A428="","",COUNTIF($A$5:A428,A428))</f>
        <v/>
      </c>
      <c r="S428" s="24" t="str">
        <f aca="false">IF(A428="","",A428&amp;"|"&amp;R428)</f>
        <v/>
      </c>
    </row>
    <row r="429" customFormat="false" ht="15" hidden="false" customHeight="false" outlineLevel="0" collapsed="false">
      <c r="C429" s="0" t="str">
        <f aca="false">IF(B429="","",IF(COUNTIFS('MASTER MENU'!$A$5:$A$504,B429)=0,"BELUM ADA",INDEX('MASTER MENU'!$B$5:$B$504,MATCH(B429,'MASTER MENU'!$A$5:$A$504,0))))</f>
        <v/>
      </c>
      <c r="D429" s="0" t="str">
        <f aca="false">IF(B429="","",IF(COUNTIFS('MASTER MENU'!$A$5:$A$504,B429)=0,"BELUM ADA",INDEX('MASTER MENU'!$E$5:$E$504,MATCH(B429,'MASTER MENU'!$A$5:$A$504,0))))</f>
        <v/>
      </c>
      <c r="F429" s="0" t="str">
        <f aca="false">IF(B429="","",IF(COUNTIFS('MASTER MENU'!$A$5:$A$504,B429)=0,"BELUM ADA",INDEX('MASTER MENU'!$F$5:$F$504,MATCH(B429,'MASTER MENU'!$A$5:$A$504,0))))</f>
        <v/>
      </c>
      <c r="G429" s="0" t="str">
        <f aca="false">IF(A429="","",IF(OR(NOT(ISNUMBER(E429)),NOT(ISNUMBER(F429))),"BELUM LENGKAP",ROUND(E429*F429,0)))</f>
        <v/>
      </c>
      <c r="J429" s="0" t="str">
        <f aca="false">IF(A429="","",IF(NOT(ISNUMBER(G429)),"BELUM LENGKAP",G429-H429-I429))</f>
        <v/>
      </c>
      <c r="L429" s="0" t="str">
        <f aca="false">IF(A429="","",IF(NOT(ISNUMBER(K429)),"ISI SNAPSHOT HPP",ROUND(E429*K429,0)))</f>
        <v/>
      </c>
      <c r="M429" s="0" t="str">
        <f aca="false">IF(A429="","",IF(NOT(ISNUMBER(L429)),"BELUM LENGKAP",J429-L429))</f>
        <v/>
      </c>
      <c r="N429" s="0" t="str">
        <f aca="false">IF(B429="","",IF(COUNTIFS('RESEP DAN HPP'!$A$5:$A$504,B429,'RESEP DAN HPP'!$N$5:$N$504,"LENGKAP")=0,"BELUM LENGKAP",INDEX('RESEP DAN HPP'!$J$5:$J$504,MATCH(B429,'RESEP DAN HPP'!$A$5:$A$504,0))))</f>
        <v/>
      </c>
      <c r="P429" s="0" t="str">
        <f aca="false">IF(A429="","",IF(COUNTIFS('TRANSAKSI PENJUALAN'!$A$5:$A$504,A429)=0,"BELUM ADA",INDEX('TRANSAKSI PENJUALAN'!$B$5:$B$504,MATCH(A429,'TRANSAKSI PENJUALAN'!$A$5:$A$504,0))))</f>
        <v/>
      </c>
      <c r="Q429" s="0" t="str">
        <f aca="false">IF(A429="","",IF(COUNTIFS('TRANSAKSI PENJUALAN'!$A$5:$A$504,A429)=0,"BELUM ADA",INDEX('TRANSAKSI PENJUALAN'!$M$5:$M$504,MATCH(A429,'TRANSAKSI PENJUALAN'!$A$5:$A$504,0))))</f>
        <v/>
      </c>
      <c r="R429" s="24" t="str">
        <f aca="false">IF(A429="","",COUNTIF($A$5:A429,A429))</f>
        <v/>
      </c>
      <c r="S429" s="24" t="str">
        <f aca="false">IF(A429="","",A429&amp;"|"&amp;R429)</f>
        <v/>
      </c>
    </row>
    <row r="430" customFormat="false" ht="15" hidden="false" customHeight="false" outlineLevel="0" collapsed="false">
      <c r="C430" s="0" t="str">
        <f aca="false">IF(B430="","",IF(COUNTIFS('MASTER MENU'!$A$5:$A$504,B430)=0,"BELUM ADA",INDEX('MASTER MENU'!$B$5:$B$504,MATCH(B430,'MASTER MENU'!$A$5:$A$504,0))))</f>
        <v/>
      </c>
      <c r="D430" s="0" t="str">
        <f aca="false">IF(B430="","",IF(COUNTIFS('MASTER MENU'!$A$5:$A$504,B430)=0,"BELUM ADA",INDEX('MASTER MENU'!$E$5:$E$504,MATCH(B430,'MASTER MENU'!$A$5:$A$504,0))))</f>
        <v/>
      </c>
      <c r="F430" s="0" t="str">
        <f aca="false">IF(B430="","",IF(COUNTIFS('MASTER MENU'!$A$5:$A$504,B430)=0,"BELUM ADA",INDEX('MASTER MENU'!$F$5:$F$504,MATCH(B430,'MASTER MENU'!$A$5:$A$504,0))))</f>
        <v/>
      </c>
      <c r="G430" s="0" t="str">
        <f aca="false">IF(A430="","",IF(OR(NOT(ISNUMBER(E430)),NOT(ISNUMBER(F430))),"BELUM LENGKAP",ROUND(E430*F430,0)))</f>
        <v/>
      </c>
      <c r="J430" s="0" t="str">
        <f aca="false">IF(A430="","",IF(NOT(ISNUMBER(G430)),"BELUM LENGKAP",G430-H430-I430))</f>
        <v/>
      </c>
      <c r="L430" s="0" t="str">
        <f aca="false">IF(A430="","",IF(NOT(ISNUMBER(K430)),"ISI SNAPSHOT HPP",ROUND(E430*K430,0)))</f>
        <v/>
      </c>
      <c r="M430" s="0" t="str">
        <f aca="false">IF(A430="","",IF(NOT(ISNUMBER(L430)),"BELUM LENGKAP",J430-L430))</f>
        <v/>
      </c>
      <c r="N430" s="0" t="str">
        <f aca="false">IF(B430="","",IF(COUNTIFS('RESEP DAN HPP'!$A$5:$A$504,B430,'RESEP DAN HPP'!$N$5:$N$504,"LENGKAP")=0,"BELUM LENGKAP",INDEX('RESEP DAN HPP'!$J$5:$J$504,MATCH(B430,'RESEP DAN HPP'!$A$5:$A$504,0))))</f>
        <v/>
      </c>
      <c r="P430" s="0" t="str">
        <f aca="false">IF(A430="","",IF(COUNTIFS('TRANSAKSI PENJUALAN'!$A$5:$A$504,A430)=0,"BELUM ADA",INDEX('TRANSAKSI PENJUALAN'!$B$5:$B$504,MATCH(A430,'TRANSAKSI PENJUALAN'!$A$5:$A$504,0))))</f>
        <v/>
      </c>
      <c r="Q430" s="0" t="str">
        <f aca="false">IF(A430="","",IF(COUNTIFS('TRANSAKSI PENJUALAN'!$A$5:$A$504,A430)=0,"BELUM ADA",INDEX('TRANSAKSI PENJUALAN'!$M$5:$M$504,MATCH(A430,'TRANSAKSI PENJUALAN'!$A$5:$A$504,0))))</f>
        <v/>
      </c>
      <c r="R430" s="24" t="str">
        <f aca="false">IF(A430="","",COUNTIF($A$5:A430,A430))</f>
        <v/>
      </c>
      <c r="S430" s="24" t="str">
        <f aca="false">IF(A430="","",A430&amp;"|"&amp;R430)</f>
        <v/>
      </c>
    </row>
    <row r="431" customFormat="false" ht="15" hidden="false" customHeight="false" outlineLevel="0" collapsed="false">
      <c r="C431" s="0" t="str">
        <f aca="false">IF(B431="","",IF(COUNTIFS('MASTER MENU'!$A$5:$A$504,B431)=0,"BELUM ADA",INDEX('MASTER MENU'!$B$5:$B$504,MATCH(B431,'MASTER MENU'!$A$5:$A$504,0))))</f>
        <v/>
      </c>
      <c r="D431" s="0" t="str">
        <f aca="false">IF(B431="","",IF(COUNTIFS('MASTER MENU'!$A$5:$A$504,B431)=0,"BELUM ADA",INDEX('MASTER MENU'!$E$5:$E$504,MATCH(B431,'MASTER MENU'!$A$5:$A$504,0))))</f>
        <v/>
      </c>
      <c r="F431" s="0" t="str">
        <f aca="false">IF(B431="","",IF(COUNTIFS('MASTER MENU'!$A$5:$A$504,B431)=0,"BELUM ADA",INDEX('MASTER MENU'!$F$5:$F$504,MATCH(B431,'MASTER MENU'!$A$5:$A$504,0))))</f>
        <v/>
      </c>
      <c r="G431" s="0" t="str">
        <f aca="false">IF(A431="","",IF(OR(NOT(ISNUMBER(E431)),NOT(ISNUMBER(F431))),"BELUM LENGKAP",ROUND(E431*F431,0)))</f>
        <v/>
      </c>
      <c r="J431" s="0" t="str">
        <f aca="false">IF(A431="","",IF(NOT(ISNUMBER(G431)),"BELUM LENGKAP",G431-H431-I431))</f>
        <v/>
      </c>
      <c r="L431" s="0" t="str">
        <f aca="false">IF(A431="","",IF(NOT(ISNUMBER(K431)),"ISI SNAPSHOT HPP",ROUND(E431*K431,0)))</f>
        <v/>
      </c>
      <c r="M431" s="0" t="str">
        <f aca="false">IF(A431="","",IF(NOT(ISNUMBER(L431)),"BELUM LENGKAP",J431-L431))</f>
        <v/>
      </c>
      <c r="N431" s="0" t="str">
        <f aca="false">IF(B431="","",IF(COUNTIFS('RESEP DAN HPP'!$A$5:$A$504,B431,'RESEP DAN HPP'!$N$5:$N$504,"LENGKAP")=0,"BELUM LENGKAP",INDEX('RESEP DAN HPP'!$J$5:$J$504,MATCH(B431,'RESEP DAN HPP'!$A$5:$A$504,0))))</f>
        <v/>
      </c>
      <c r="P431" s="0" t="str">
        <f aca="false">IF(A431="","",IF(COUNTIFS('TRANSAKSI PENJUALAN'!$A$5:$A$504,A431)=0,"BELUM ADA",INDEX('TRANSAKSI PENJUALAN'!$B$5:$B$504,MATCH(A431,'TRANSAKSI PENJUALAN'!$A$5:$A$504,0))))</f>
        <v/>
      </c>
      <c r="Q431" s="0" t="str">
        <f aca="false">IF(A431="","",IF(COUNTIFS('TRANSAKSI PENJUALAN'!$A$5:$A$504,A431)=0,"BELUM ADA",INDEX('TRANSAKSI PENJUALAN'!$M$5:$M$504,MATCH(A431,'TRANSAKSI PENJUALAN'!$A$5:$A$504,0))))</f>
        <v/>
      </c>
      <c r="R431" s="24" t="str">
        <f aca="false">IF(A431="","",COUNTIF($A$5:A431,A431))</f>
        <v/>
      </c>
      <c r="S431" s="24" t="str">
        <f aca="false">IF(A431="","",A431&amp;"|"&amp;R431)</f>
        <v/>
      </c>
    </row>
    <row r="432" customFormat="false" ht="15" hidden="false" customHeight="false" outlineLevel="0" collapsed="false">
      <c r="C432" s="0" t="str">
        <f aca="false">IF(B432="","",IF(COUNTIFS('MASTER MENU'!$A$5:$A$504,B432)=0,"BELUM ADA",INDEX('MASTER MENU'!$B$5:$B$504,MATCH(B432,'MASTER MENU'!$A$5:$A$504,0))))</f>
        <v/>
      </c>
      <c r="D432" s="0" t="str">
        <f aca="false">IF(B432="","",IF(COUNTIFS('MASTER MENU'!$A$5:$A$504,B432)=0,"BELUM ADA",INDEX('MASTER MENU'!$E$5:$E$504,MATCH(B432,'MASTER MENU'!$A$5:$A$504,0))))</f>
        <v/>
      </c>
      <c r="F432" s="0" t="str">
        <f aca="false">IF(B432="","",IF(COUNTIFS('MASTER MENU'!$A$5:$A$504,B432)=0,"BELUM ADA",INDEX('MASTER MENU'!$F$5:$F$504,MATCH(B432,'MASTER MENU'!$A$5:$A$504,0))))</f>
        <v/>
      </c>
      <c r="G432" s="0" t="str">
        <f aca="false">IF(A432="","",IF(OR(NOT(ISNUMBER(E432)),NOT(ISNUMBER(F432))),"BELUM LENGKAP",ROUND(E432*F432,0)))</f>
        <v/>
      </c>
      <c r="J432" s="0" t="str">
        <f aca="false">IF(A432="","",IF(NOT(ISNUMBER(G432)),"BELUM LENGKAP",G432-H432-I432))</f>
        <v/>
      </c>
      <c r="L432" s="0" t="str">
        <f aca="false">IF(A432="","",IF(NOT(ISNUMBER(K432)),"ISI SNAPSHOT HPP",ROUND(E432*K432,0)))</f>
        <v/>
      </c>
      <c r="M432" s="0" t="str">
        <f aca="false">IF(A432="","",IF(NOT(ISNUMBER(L432)),"BELUM LENGKAP",J432-L432))</f>
        <v/>
      </c>
      <c r="N432" s="0" t="str">
        <f aca="false">IF(B432="","",IF(COUNTIFS('RESEP DAN HPP'!$A$5:$A$504,B432,'RESEP DAN HPP'!$N$5:$N$504,"LENGKAP")=0,"BELUM LENGKAP",INDEX('RESEP DAN HPP'!$J$5:$J$504,MATCH(B432,'RESEP DAN HPP'!$A$5:$A$504,0))))</f>
        <v/>
      </c>
      <c r="P432" s="0" t="str">
        <f aca="false">IF(A432="","",IF(COUNTIFS('TRANSAKSI PENJUALAN'!$A$5:$A$504,A432)=0,"BELUM ADA",INDEX('TRANSAKSI PENJUALAN'!$B$5:$B$504,MATCH(A432,'TRANSAKSI PENJUALAN'!$A$5:$A$504,0))))</f>
        <v/>
      </c>
      <c r="Q432" s="0" t="str">
        <f aca="false">IF(A432="","",IF(COUNTIFS('TRANSAKSI PENJUALAN'!$A$5:$A$504,A432)=0,"BELUM ADA",INDEX('TRANSAKSI PENJUALAN'!$M$5:$M$504,MATCH(A432,'TRANSAKSI PENJUALAN'!$A$5:$A$504,0))))</f>
        <v/>
      </c>
      <c r="R432" s="24" t="str">
        <f aca="false">IF(A432="","",COUNTIF($A$5:A432,A432))</f>
        <v/>
      </c>
      <c r="S432" s="24" t="str">
        <f aca="false">IF(A432="","",A432&amp;"|"&amp;R432)</f>
        <v/>
      </c>
    </row>
    <row r="433" customFormat="false" ht="15" hidden="false" customHeight="false" outlineLevel="0" collapsed="false">
      <c r="C433" s="0" t="str">
        <f aca="false">IF(B433="","",IF(COUNTIFS('MASTER MENU'!$A$5:$A$504,B433)=0,"BELUM ADA",INDEX('MASTER MENU'!$B$5:$B$504,MATCH(B433,'MASTER MENU'!$A$5:$A$504,0))))</f>
        <v/>
      </c>
      <c r="D433" s="0" t="str">
        <f aca="false">IF(B433="","",IF(COUNTIFS('MASTER MENU'!$A$5:$A$504,B433)=0,"BELUM ADA",INDEX('MASTER MENU'!$E$5:$E$504,MATCH(B433,'MASTER MENU'!$A$5:$A$504,0))))</f>
        <v/>
      </c>
      <c r="F433" s="0" t="str">
        <f aca="false">IF(B433="","",IF(COUNTIFS('MASTER MENU'!$A$5:$A$504,B433)=0,"BELUM ADA",INDEX('MASTER MENU'!$F$5:$F$504,MATCH(B433,'MASTER MENU'!$A$5:$A$504,0))))</f>
        <v/>
      </c>
      <c r="G433" s="0" t="str">
        <f aca="false">IF(A433="","",IF(OR(NOT(ISNUMBER(E433)),NOT(ISNUMBER(F433))),"BELUM LENGKAP",ROUND(E433*F433,0)))</f>
        <v/>
      </c>
      <c r="J433" s="0" t="str">
        <f aca="false">IF(A433="","",IF(NOT(ISNUMBER(G433)),"BELUM LENGKAP",G433-H433-I433))</f>
        <v/>
      </c>
      <c r="L433" s="0" t="str">
        <f aca="false">IF(A433="","",IF(NOT(ISNUMBER(K433)),"ISI SNAPSHOT HPP",ROUND(E433*K433,0)))</f>
        <v/>
      </c>
      <c r="M433" s="0" t="str">
        <f aca="false">IF(A433="","",IF(NOT(ISNUMBER(L433)),"BELUM LENGKAP",J433-L433))</f>
        <v/>
      </c>
      <c r="N433" s="0" t="str">
        <f aca="false">IF(B433="","",IF(COUNTIFS('RESEP DAN HPP'!$A$5:$A$504,B433,'RESEP DAN HPP'!$N$5:$N$504,"LENGKAP")=0,"BELUM LENGKAP",INDEX('RESEP DAN HPP'!$J$5:$J$504,MATCH(B433,'RESEP DAN HPP'!$A$5:$A$504,0))))</f>
        <v/>
      </c>
      <c r="P433" s="0" t="str">
        <f aca="false">IF(A433="","",IF(COUNTIFS('TRANSAKSI PENJUALAN'!$A$5:$A$504,A433)=0,"BELUM ADA",INDEX('TRANSAKSI PENJUALAN'!$B$5:$B$504,MATCH(A433,'TRANSAKSI PENJUALAN'!$A$5:$A$504,0))))</f>
        <v/>
      </c>
      <c r="Q433" s="0" t="str">
        <f aca="false">IF(A433="","",IF(COUNTIFS('TRANSAKSI PENJUALAN'!$A$5:$A$504,A433)=0,"BELUM ADA",INDEX('TRANSAKSI PENJUALAN'!$M$5:$M$504,MATCH(A433,'TRANSAKSI PENJUALAN'!$A$5:$A$504,0))))</f>
        <v/>
      </c>
      <c r="R433" s="24" t="str">
        <f aca="false">IF(A433="","",COUNTIF($A$5:A433,A433))</f>
        <v/>
      </c>
      <c r="S433" s="24" t="str">
        <f aca="false">IF(A433="","",A433&amp;"|"&amp;R433)</f>
        <v/>
      </c>
    </row>
    <row r="434" customFormat="false" ht="15" hidden="false" customHeight="false" outlineLevel="0" collapsed="false">
      <c r="C434" s="0" t="str">
        <f aca="false">IF(B434="","",IF(COUNTIFS('MASTER MENU'!$A$5:$A$504,B434)=0,"BELUM ADA",INDEX('MASTER MENU'!$B$5:$B$504,MATCH(B434,'MASTER MENU'!$A$5:$A$504,0))))</f>
        <v/>
      </c>
      <c r="D434" s="0" t="str">
        <f aca="false">IF(B434="","",IF(COUNTIFS('MASTER MENU'!$A$5:$A$504,B434)=0,"BELUM ADA",INDEX('MASTER MENU'!$E$5:$E$504,MATCH(B434,'MASTER MENU'!$A$5:$A$504,0))))</f>
        <v/>
      </c>
      <c r="F434" s="0" t="str">
        <f aca="false">IF(B434="","",IF(COUNTIFS('MASTER MENU'!$A$5:$A$504,B434)=0,"BELUM ADA",INDEX('MASTER MENU'!$F$5:$F$504,MATCH(B434,'MASTER MENU'!$A$5:$A$504,0))))</f>
        <v/>
      </c>
      <c r="G434" s="0" t="str">
        <f aca="false">IF(A434="","",IF(OR(NOT(ISNUMBER(E434)),NOT(ISNUMBER(F434))),"BELUM LENGKAP",ROUND(E434*F434,0)))</f>
        <v/>
      </c>
      <c r="J434" s="0" t="str">
        <f aca="false">IF(A434="","",IF(NOT(ISNUMBER(G434)),"BELUM LENGKAP",G434-H434-I434))</f>
        <v/>
      </c>
      <c r="L434" s="0" t="str">
        <f aca="false">IF(A434="","",IF(NOT(ISNUMBER(K434)),"ISI SNAPSHOT HPP",ROUND(E434*K434,0)))</f>
        <v/>
      </c>
      <c r="M434" s="0" t="str">
        <f aca="false">IF(A434="","",IF(NOT(ISNUMBER(L434)),"BELUM LENGKAP",J434-L434))</f>
        <v/>
      </c>
      <c r="N434" s="0" t="str">
        <f aca="false">IF(B434="","",IF(COUNTIFS('RESEP DAN HPP'!$A$5:$A$504,B434,'RESEP DAN HPP'!$N$5:$N$504,"LENGKAP")=0,"BELUM LENGKAP",INDEX('RESEP DAN HPP'!$J$5:$J$504,MATCH(B434,'RESEP DAN HPP'!$A$5:$A$504,0))))</f>
        <v/>
      </c>
      <c r="P434" s="0" t="str">
        <f aca="false">IF(A434="","",IF(COUNTIFS('TRANSAKSI PENJUALAN'!$A$5:$A$504,A434)=0,"BELUM ADA",INDEX('TRANSAKSI PENJUALAN'!$B$5:$B$504,MATCH(A434,'TRANSAKSI PENJUALAN'!$A$5:$A$504,0))))</f>
        <v/>
      </c>
      <c r="Q434" s="0" t="str">
        <f aca="false">IF(A434="","",IF(COUNTIFS('TRANSAKSI PENJUALAN'!$A$5:$A$504,A434)=0,"BELUM ADA",INDEX('TRANSAKSI PENJUALAN'!$M$5:$M$504,MATCH(A434,'TRANSAKSI PENJUALAN'!$A$5:$A$504,0))))</f>
        <v/>
      </c>
      <c r="R434" s="24" t="str">
        <f aca="false">IF(A434="","",COUNTIF($A$5:A434,A434))</f>
        <v/>
      </c>
      <c r="S434" s="24" t="str">
        <f aca="false">IF(A434="","",A434&amp;"|"&amp;R434)</f>
        <v/>
      </c>
    </row>
    <row r="435" customFormat="false" ht="15" hidden="false" customHeight="false" outlineLevel="0" collapsed="false">
      <c r="C435" s="0" t="str">
        <f aca="false">IF(B435="","",IF(COUNTIFS('MASTER MENU'!$A$5:$A$504,B435)=0,"BELUM ADA",INDEX('MASTER MENU'!$B$5:$B$504,MATCH(B435,'MASTER MENU'!$A$5:$A$504,0))))</f>
        <v/>
      </c>
      <c r="D435" s="0" t="str">
        <f aca="false">IF(B435="","",IF(COUNTIFS('MASTER MENU'!$A$5:$A$504,B435)=0,"BELUM ADA",INDEX('MASTER MENU'!$E$5:$E$504,MATCH(B435,'MASTER MENU'!$A$5:$A$504,0))))</f>
        <v/>
      </c>
      <c r="F435" s="0" t="str">
        <f aca="false">IF(B435="","",IF(COUNTIFS('MASTER MENU'!$A$5:$A$504,B435)=0,"BELUM ADA",INDEX('MASTER MENU'!$F$5:$F$504,MATCH(B435,'MASTER MENU'!$A$5:$A$504,0))))</f>
        <v/>
      </c>
      <c r="G435" s="0" t="str">
        <f aca="false">IF(A435="","",IF(OR(NOT(ISNUMBER(E435)),NOT(ISNUMBER(F435))),"BELUM LENGKAP",ROUND(E435*F435,0)))</f>
        <v/>
      </c>
      <c r="J435" s="0" t="str">
        <f aca="false">IF(A435="","",IF(NOT(ISNUMBER(G435)),"BELUM LENGKAP",G435-H435-I435))</f>
        <v/>
      </c>
      <c r="L435" s="0" t="str">
        <f aca="false">IF(A435="","",IF(NOT(ISNUMBER(K435)),"ISI SNAPSHOT HPP",ROUND(E435*K435,0)))</f>
        <v/>
      </c>
      <c r="M435" s="0" t="str">
        <f aca="false">IF(A435="","",IF(NOT(ISNUMBER(L435)),"BELUM LENGKAP",J435-L435))</f>
        <v/>
      </c>
      <c r="N435" s="0" t="str">
        <f aca="false">IF(B435="","",IF(COUNTIFS('RESEP DAN HPP'!$A$5:$A$504,B435,'RESEP DAN HPP'!$N$5:$N$504,"LENGKAP")=0,"BELUM LENGKAP",INDEX('RESEP DAN HPP'!$J$5:$J$504,MATCH(B435,'RESEP DAN HPP'!$A$5:$A$504,0))))</f>
        <v/>
      </c>
      <c r="P435" s="0" t="str">
        <f aca="false">IF(A435="","",IF(COUNTIFS('TRANSAKSI PENJUALAN'!$A$5:$A$504,A435)=0,"BELUM ADA",INDEX('TRANSAKSI PENJUALAN'!$B$5:$B$504,MATCH(A435,'TRANSAKSI PENJUALAN'!$A$5:$A$504,0))))</f>
        <v/>
      </c>
      <c r="Q435" s="0" t="str">
        <f aca="false">IF(A435="","",IF(COUNTIFS('TRANSAKSI PENJUALAN'!$A$5:$A$504,A435)=0,"BELUM ADA",INDEX('TRANSAKSI PENJUALAN'!$M$5:$M$504,MATCH(A435,'TRANSAKSI PENJUALAN'!$A$5:$A$504,0))))</f>
        <v/>
      </c>
      <c r="R435" s="24" t="str">
        <f aca="false">IF(A435="","",COUNTIF($A$5:A435,A435))</f>
        <v/>
      </c>
      <c r="S435" s="24" t="str">
        <f aca="false">IF(A435="","",A435&amp;"|"&amp;R435)</f>
        <v/>
      </c>
    </row>
    <row r="436" customFormat="false" ht="15" hidden="false" customHeight="false" outlineLevel="0" collapsed="false">
      <c r="C436" s="0" t="str">
        <f aca="false">IF(B436="","",IF(COUNTIFS('MASTER MENU'!$A$5:$A$504,B436)=0,"BELUM ADA",INDEX('MASTER MENU'!$B$5:$B$504,MATCH(B436,'MASTER MENU'!$A$5:$A$504,0))))</f>
        <v/>
      </c>
      <c r="D436" s="0" t="str">
        <f aca="false">IF(B436="","",IF(COUNTIFS('MASTER MENU'!$A$5:$A$504,B436)=0,"BELUM ADA",INDEX('MASTER MENU'!$E$5:$E$504,MATCH(B436,'MASTER MENU'!$A$5:$A$504,0))))</f>
        <v/>
      </c>
      <c r="F436" s="0" t="str">
        <f aca="false">IF(B436="","",IF(COUNTIFS('MASTER MENU'!$A$5:$A$504,B436)=0,"BELUM ADA",INDEX('MASTER MENU'!$F$5:$F$504,MATCH(B436,'MASTER MENU'!$A$5:$A$504,0))))</f>
        <v/>
      </c>
      <c r="G436" s="0" t="str">
        <f aca="false">IF(A436="","",IF(OR(NOT(ISNUMBER(E436)),NOT(ISNUMBER(F436))),"BELUM LENGKAP",ROUND(E436*F436,0)))</f>
        <v/>
      </c>
      <c r="J436" s="0" t="str">
        <f aca="false">IF(A436="","",IF(NOT(ISNUMBER(G436)),"BELUM LENGKAP",G436-H436-I436))</f>
        <v/>
      </c>
      <c r="L436" s="0" t="str">
        <f aca="false">IF(A436="","",IF(NOT(ISNUMBER(K436)),"ISI SNAPSHOT HPP",ROUND(E436*K436,0)))</f>
        <v/>
      </c>
      <c r="M436" s="0" t="str">
        <f aca="false">IF(A436="","",IF(NOT(ISNUMBER(L436)),"BELUM LENGKAP",J436-L436))</f>
        <v/>
      </c>
      <c r="N436" s="0" t="str">
        <f aca="false">IF(B436="","",IF(COUNTIFS('RESEP DAN HPP'!$A$5:$A$504,B436,'RESEP DAN HPP'!$N$5:$N$504,"LENGKAP")=0,"BELUM LENGKAP",INDEX('RESEP DAN HPP'!$J$5:$J$504,MATCH(B436,'RESEP DAN HPP'!$A$5:$A$504,0))))</f>
        <v/>
      </c>
      <c r="P436" s="0" t="str">
        <f aca="false">IF(A436="","",IF(COUNTIFS('TRANSAKSI PENJUALAN'!$A$5:$A$504,A436)=0,"BELUM ADA",INDEX('TRANSAKSI PENJUALAN'!$B$5:$B$504,MATCH(A436,'TRANSAKSI PENJUALAN'!$A$5:$A$504,0))))</f>
        <v/>
      </c>
      <c r="Q436" s="0" t="str">
        <f aca="false">IF(A436="","",IF(COUNTIFS('TRANSAKSI PENJUALAN'!$A$5:$A$504,A436)=0,"BELUM ADA",INDEX('TRANSAKSI PENJUALAN'!$M$5:$M$504,MATCH(A436,'TRANSAKSI PENJUALAN'!$A$5:$A$504,0))))</f>
        <v/>
      </c>
      <c r="R436" s="24" t="str">
        <f aca="false">IF(A436="","",COUNTIF($A$5:A436,A436))</f>
        <v/>
      </c>
      <c r="S436" s="24" t="str">
        <f aca="false">IF(A436="","",A436&amp;"|"&amp;R436)</f>
        <v/>
      </c>
    </row>
    <row r="437" customFormat="false" ht="15" hidden="false" customHeight="false" outlineLevel="0" collapsed="false">
      <c r="C437" s="0" t="str">
        <f aca="false">IF(B437="","",IF(COUNTIFS('MASTER MENU'!$A$5:$A$504,B437)=0,"BELUM ADA",INDEX('MASTER MENU'!$B$5:$B$504,MATCH(B437,'MASTER MENU'!$A$5:$A$504,0))))</f>
        <v/>
      </c>
      <c r="D437" s="0" t="str">
        <f aca="false">IF(B437="","",IF(COUNTIFS('MASTER MENU'!$A$5:$A$504,B437)=0,"BELUM ADA",INDEX('MASTER MENU'!$E$5:$E$504,MATCH(B437,'MASTER MENU'!$A$5:$A$504,0))))</f>
        <v/>
      </c>
      <c r="F437" s="0" t="str">
        <f aca="false">IF(B437="","",IF(COUNTIFS('MASTER MENU'!$A$5:$A$504,B437)=0,"BELUM ADA",INDEX('MASTER MENU'!$F$5:$F$504,MATCH(B437,'MASTER MENU'!$A$5:$A$504,0))))</f>
        <v/>
      </c>
      <c r="G437" s="0" t="str">
        <f aca="false">IF(A437="","",IF(OR(NOT(ISNUMBER(E437)),NOT(ISNUMBER(F437))),"BELUM LENGKAP",ROUND(E437*F437,0)))</f>
        <v/>
      </c>
      <c r="J437" s="0" t="str">
        <f aca="false">IF(A437="","",IF(NOT(ISNUMBER(G437)),"BELUM LENGKAP",G437-H437-I437))</f>
        <v/>
      </c>
      <c r="L437" s="0" t="str">
        <f aca="false">IF(A437="","",IF(NOT(ISNUMBER(K437)),"ISI SNAPSHOT HPP",ROUND(E437*K437,0)))</f>
        <v/>
      </c>
      <c r="M437" s="0" t="str">
        <f aca="false">IF(A437="","",IF(NOT(ISNUMBER(L437)),"BELUM LENGKAP",J437-L437))</f>
        <v/>
      </c>
      <c r="N437" s="0" t="str">
        <f aca="false">IF(B437="","",IF(COUNTIFS('RESEP DAN HPP'!$A$5:$A$504,B437,'RESEP DAN HPP'!$N$5:$N$504,"LENGKAP")=0,"BELUM LENGKAP",INDEX('RESEP DAN HPP'!$J$5:$J$504,MATCH(B437,'RESEP DAN HPP'!$A$5:$A$504,0))))</f>
        <v/>
      </c>
      <c r="P437" s="0" t="str">
        <f aca="false">IF(A437="","",IF(COUNTIFS('TRANSAKSI PENJUALAN'!$A$5:$A$504,A437)=0,"BELUM ADA",INDEX('TRANSAKSI PENJUALAN'!$B$5:$B$504,MATCH(A437,'TRANSAKSI PENJUALAN'!$A$5:$A$504,0))))</f>
        <v/>
      </c>
      <c r="Q437" s="0" t="str">
        <f aca="false">IF(A437="","",IF(COUNTIFS('TRANSAKSI PENJUALAN'!$A$5:$A$504,A437)=0,"BELUM ADA",INDEX('TRANSAKSI PENJUALAN'!$M$5:$M$504,MATCH(A437,'TRANSAKSI PENJUALAN'!$A$5:$A$504,0))))</f>
        <v/>
      </c>
      <c r="R437" s="24" t="str">
        <f aca="false">IF(A437="","",COUNTIF($A$5:A437,A437))</f>
        <v/>
      </c>
      <c r="S437" s="24" t="str">
        <f aca="false">IF(A437="","",A437&amp;"|"&amp;R437)</f>
        <v/>
      </c>
    </row>
    <row r="438" customFormat="false" ht="15" hidden="false" customHeight="false" outlineLevel="0" collapsed="false">
      <c r="C438" s="0" t="str">
        <f aca="false">IF(B438="","",IF(COUNTIFS('MASTER MENU'!$A$5:$A$504,B438)=0,"BELUM ADA",INDEX('MASTER MENU'!$B$5:$B$504,MATCH(B438,'MASTER MENU'!$A$5:$A$504,0))))</f>
        <v/>
      </c>
      <c r="D438" s="0" t="str">
        <f aca="false">IF(B438="","",IF(COUNTIFS('MASTER MENU'!$A$5:$A$504,B438)=0,"BELUM ADA",INDEX('MASTER MENU'!$E$5:$E$504,MATCH(B438,'MASTER MENU'!$A$5:$A$504,0))))</f>
        <v/>
      </c>
      <c r="F438" s="0" t="str">
        <f aca="false">IF(B438="","",IF(COUNTIFS('MASTER MENU'!$A$5:$A$504,B438)=0,"BELUM ADA",INDEX('MASTER MENU'!$F$5:$F$504,MATCH(B438,'MASTER MENU'!$A$5:$A$504,0))))</f>
        <v/>
      </c>
      <c r="G438" s="0" t="str">
        <f aca="false">IF(A438="","",IF(OR(NOT(ISNUMBER(E438)),NOT(ISNUMBER(F438))),"BELUM LENGKAP",ROUND(E438*F438,0)))</f>
        <v/>
      </c>
      <c r="J438" s="0" t="str">
        <f aca="false">IF(A438="","",IF(NOT(ISNUMBER(G438)),"BELUM LENGKAP",G438-H438-I438))</f>
        <v/>
      </c>
      <c r="L438" s="0" t="str">
        <f aca="false">IF(A438="","",IF(NOT(ISNUMBER(K438)),"ISI SNAPSHOT HPP",ROUND(E438*K438,0)))</f>
        <v/>
      </c>
      <c r="M438" s="0" t="str">
        <f aca="false">IF(A438="","",IF(NOT(ISNUMBER(L438)),"BELUM LENGKAP",J438-L438))</f>
        <v/>
      </c>
      <c r="N438" s="0" t="str">
        <f aca="false">IF(B438="","",IF(COUNTIFS('RESEP DAN HPP'!$A$5:$A$504,B438,'RESEP DAN HPP'!$N$5:$N$504,"LENGKAP")=0,"BELUM LENGKAP",INDEX('RESEP DAN HPP'!$J$5:$J$504,MATCH(B438,'RESEP DAN HPP'!$A$5:$A$504,0))))</f>
        <v/>
      </c>
      <c r="P438" s="0" t="str">
        <f aca="false">IF(A438="","",IF(COUNTIFS('TRANSAKSI PENJUALAN'!$A$5:$A$504,A438)=0,"BELUM ADA",INDEX('TRANSAKSI PENJUALAN'!$B$5:$B$504,MATCH(A438,'TRANSAKSI PENJUALAN'!$A$5:$A$504,0))))</f>
        <v/>
      </c>
      <c r="Q438" s="0" t="str">
        <f aca="false">IF(A438="","",IF(COUNTIFS('TRANSAKSI PENJUALAN'!$A$5:$A$504,A438)=0,"BELUM ADA",INDEX('TRANSAKSI PENJUALAN'!$M$5:$M$504,MATCH(A438,'TRANSAKSI PENJUALAN'!$A$5:$A$504,0))))</f>
        <v/>
      </c>
      <c r="R438" s="24" t="str">
        <f aca="false">IF(A438="","",COUNTIF($A$5:A438,A438))</f>
        <v/>
      </c>
      <c r="S438" s="24" t="str">
        <f aca="false">IF(A438="","",A438&amp;"|"&amp;R438)</f>
        <v/>
      </c>
    </row>
    <row r="439" customFormat="false" ht="15" hidden="false" customHeight="false" outlineLevel="0" collapsed="false">
      <c r="C439" s="0" t="str">
        <f aca="false">IF(B439="","",IF(COUNTIFS('MASTER MENU'!$A$5:$A$504,B439)=0,"BELUM ADA",INDEX('MASTER MENU'!$B$5:$B$504,MATCH(B439,'MASTER MENU'!$A$5:$A$504,0))))</f>
        <v/>
      </c>
      <c r="D439" s="0" t="str">
        <f aca="false">IF(B439="","",IF(COUNTIFS('MASTER MENU'!$A$5:$A$504,B439)=0,"BELUM ADA",INDEX('MASTER MENU'!$E$5:$E$504,MATCH(B439,'MASTER MENU'!$A$5:$A$504,0))))</f>
        <v/>
      </c>
      <c r="F439" s="0" t="str">
        <f aca="false">IF(B439="","",IF(COUNTIFS('MASTER MENU'!$A$5:$A$504,B439)=0,"BELUM ADA",INDEX('MASTER MENU'!$F$5:$F$504,MATCH(B439,'MASTER MENU'!$A$5:$A$504,0))))</f>
        <v/>
      </c>
      <c r="G439" s="0" t="str">
        <f aca="false">IF(A439="","",IF(OR(NOT(ISNUMBER(E439)),NOT(ISNUMBER(F439))),"BELUM LENGKAP",ROUND(E439*F439,0)))</f>
        <v/>
      </c>
      <c r="J439" s="0" t="str">
        <f aca="false">IF(A439="","",IF(NOT(ISNUMBER(G439)),"BELUM LENGKAP",G439-H439-I439))</f>
        <v/>
      </c>
      <c r="L439" s="0" t="str">
        <f aca="false">IF(A439="","",IF(NOT(ISNUMBER(K439)),"ISI SNAPSHOT HPP",ROUND(E439*K439,0)))</f>
        <v/>
      </c>
      <c r="M439" s="0" t="str">
        <f aca="false">IF(A439="","",IF(NOT(ISNUMBER(L439)),"BELUM LENGKAP",J439-L439))</f>
        <v/>
      </c>
      <c r="N439" s="0" t="str">
        <f aca="false">IF(B439="","",IF(COUNTIFS('RESEP DAN HPP'!$A$5:$A$504,B439,'RESEP DAN HPP'!$N$5:$N$504,"LENGKAP")=0,"BELUM LENGKAP",INDEX('RESEP DAN HPP'!$J$5:$J$504,MATCH(B439,'RESEP DAN HPP'!$A$5:$A$504,0))))</f>
        <v/>
      </c>
      <c r="P439" s="0" t="str">
        <f aca="false">IF(A439="","",IF(COUNTIFS('TRANSAKSI PENJUALAN'!$A$5:$A$504,A439)=0,"BELUM ADA",INDEX('TRANSAKSI PENJUALAN'!$B$5:$B$504,MATCH(A439,'TRANSAKSI PENJUALAN'!$A$5:$A$504,0))))</f>
        <v/>
      </c>
      <c r="Q439" s="0" t="str">
        <f aca="false">IF(A439="","",IF(COUNTIFS('TRANSAKSI PENJUALAN'!$A$5:$A$504,A439)=0,"BELUM ADA",INDEX('TRANSAKSI PENJUALAN'!$M$5:$M$504,MATCH(A439,'TRANSAKSI PENJUALAN'!$A$5:$A$504,0))))</f>
        <v/>
      </c>
      <c r="R439" s="24" t="str">
        <f aca="false">IF(A439="","",COUNTIF($A$5:A439,A439))</f>
        <v/>
      </c>
      <c r="S439" s="24" t="str">
        <f aca="false">IF(A439="","",A439&amp;"|"&amp;R439)</f>
        <v/>
      </c>
    </row>
    <row r="440" customFormat="false" ht="15" hidden="false" customHeight="false" outlineLevel="0" collapsed="false">
      <c r="C440" s="0" t="str">
        <f aca="false">IF(B440="","",IF(COUNTIFS('MASTER MENU'!$A$5:$A$504,B440)=0,"BELUM ADA",INDEX('MASTER MENU'!$B$5:$B$504,MATCH(B440,'MASTER MENU'!$A$5:$A$504,0))))</f>
        <v/>
      </c>
      <c r="D440" s="0" t="str">
        <f aca="false">IF(B440="","",IF(COUNTIFS('MASTER MENU'!$A$5:$A$504,B440)=0,"BELUM ADA",INDEX('MASTER MENU'!$E$5:$E$504,MATCH(B440,'MASTER MENU'!$A$5:$A$504,0))))</f>
        <v/>
      </c>
      <c r="F440" s="0" t="str">
        <f aca="false">IF(B440="","",IF(COUNTIFS('MASTER MENU'!$A$5:$A$504,B440)=0,"BELUM ADA",INDEX('MASTER MENU'!$F$5:$F$504,MATCH(B440,'MASTER MENU'!$A$5:$A$504,0))))</f>
        <v/>
      </c>
      <c r="G440" s="0" t="str">
        <f aca="false">IF(A440="","",IF(OR(NOT(ISNUMBER(E440)),NOT(ISNUMBER(F440))),"BELUM LENGKAP",ROUND(E440*F440,0)))</f>
        <v/>
      </c>
      <c r="J440" s="0" t="str">
        <f aca="false">IF(A440="","",IF(NOT(ISNUMBER(G440)),"BELUM LENGKAP",G440-H440-I440))</f>
        <v/>
      </c>
      <c r="L440" s="0" t="str">
        <f aca="false">IF(A440="","",IF(NOT(ISNUMBER(K440)),"ISI SNAPSHOT HPP",ROUND(E440*K440,0)))</f>
        <v/>
      </c>
      <c r="M440" s="0" t="str">
        <f aca="false">IF(A440="","",IF(NOT(ISNUMBER(L440)),"BELUM LENGKAP",J440-L440))</f>
        <v/>
      </c>
      <c r="N440" s="0" t="str">
        <f aca="false">IF(B440="","",IF(COUNTIFS('RESEP DAN HPP'!$A$5:$A$504,B440,'RESEP DAN HPP'!$N$5:$N$504,"LENGKAP")=0,"BELUM LENGKAP",INDEX('RESEP DAN HPP'!$J$5:$J$504,MATCH(B440,'RESEP DAN HPP'!$A$5:$A$504,0))))</f>
        <v/>
      </c>
      <c r="P440" s="0" t="str">
        <f aca="false">IF(A440="","",IF(COUNTIFS('TRANSAKSI PENJUALAN'!$A$5:$A$504,A440)=0,"BELUM ADA",INDEX('TRANSAKSI PENJUALAN'!$B$5:$B$504,MATCH(A440,'TRANSAKSI PENJUALAN'!$A$5:$A$504,0))))</f>
        <v/>
      </c>
      <c r="Q440" s="0" t="str">
        <f aca="false">IF(A440="","",IF(COUNTIFS('TRANSAKSI PENJUALAN'!$A$5:$A$504,A440)=0,"BELUM ADA",INDEX('TRANSAKSI PENJUALAN'!$M$5:$M$504,MATCH(A440,'TRANSAKSI PENJUALAN'!$A$5:$A$504,0))))</f>
        <v/>
      </c>
      <c r="R440" s="24" t="str">
        <f aca="false">IF(A440="","",COUNTIF($A$5:A440,A440))</f>
        <v/>
      </c>
      <c r="S440" s="24" t="str">
        <f aca="false">IF(A440="","",A440&amp;"|"&amp;R440)</f>
        <v/>
      </c>
    </row>
    <row r="441" customFormat="false" ht="15" hidden="false" customHeight="false" outlineLevel="0" collapsed="false">
      <c r="C441" s="0" t="str">
        <f aca="false">IF(B441="","",IF(COUNTIFS('MASTER MENU'!$A$5:$A$504,B441)=0,"BELUM ADA",INDEX('MASTER MENU'!$B$5:$B$504,MATCH(B441,'MASTER MENU'!$A$5:$A$504,0))))</f>
        <v/>
      </c>
      <c r="D441" s="0" t="str">
        <f aca="false">IF(B441="","",IF(COUNTIFS('MASTER MENU'!$A$5:$A$504,B441)=0,"BELUM ADA",INDEX('MASTER MENU'!$E$5:$E$504,MATCH(B441,'MASTER MENU'!$A$5:$A$504,0))))</f>
        <v/>
      </c>
      <c r="F441" s="0" t="str">
        <f aca="false">IF(B441="","",IF(COUNTIFS('MASTER MENU'!$A$5:$A$504,B441)=0,"BELUM ADA",INDEX('MASTER MENU'!$F$5:$F$504,MATCH(B441,'MASTER MENU'!$A$5:$A$504,0))))</f>
        <v/>
      </c>
      <c r="G441" s="0" t="str">
        <f aca="false">IF(A441="","",IF(OR(NOT(ISNUMBER(E441)),NOT(ISNUMBER(F441))),"BELUM LENGKAP",ROUND(E441*F441,0)))</f>
        <v/>
      </c>
      <c r="J441" s="0" t="str">
        <f aca="false">IF(A441="","",IF(NOT(ISNUMBER(G441)),"BELUM LENGKAP",G441-H441-I441))</f>
        <v/>
      </c>
      <c r="L441" s="0" t="str">
        <f aca="false">IF(A441="","",IF(NOT(ISNUMBER(K441)),"ISI SNAPSHOT HPP",ROUND(E441*K441,0)))</f>
        <v/>
      </c>
      <c r="M441" s="0" t="str">
        <f aca="false">IF(A441="","",IF(NOT(ISNUMBER(L441)),"BELUM LENGKAP",J441-L441))</f>
        <v/>
      </c>
      <c r="N441" s="0" t="str">
        <f aca="false">IF(B441="","",IF(COUNTIFS('RESEP DAN HPP'!$A$5:$A$504,B441,'RESEP DAN HPP'!$N$5:$N$504,"LENGKAP")=0,"BELUM LENGKAP",INDEX('RESEP DAN HPP'!$J$5:$J$504,MATCH(B441,'RESEP DAN HPP'!$A$5:$A$504,0))))</f>
        <v/>
      </c>
      <c r="P441" s="0" t="str">
        <f aca="false">IF(A441="","",IF(COUNTIFS('TRANSAKSI PENJUALAN'!$A$5:$A$504,A441)=0,"BELUM ADA",INDEX('TRANSAKSI PENJUALAN'!$B$5:$B$504,MATCH(A441,'TRANSAKSI PENJUALAN'!$A$5:$A$504,0))))</f>
        <v/>
      </c>
      <c r="Q441" s="0" t="str">
        <f aca="false">IF(A441="","",IF(COUNTIFS('TRANSAKSI PENJUALAN'!$A$5:$A$504,A441)=0,"BELUM ADA",INDEX('TRANSAKSI PENJUALAN'!$M$5:$M$504,MATCH(A441,'TRANSAKSI PENJUALAN'!$A$5:$A$504,0))))</f>
        <v/>
      </c>
      <c r="R441" s="24" t="str">
        <f aca="false">IF(A441="","",COUNTIF($A$5:A441,A441))</f>
        <v/>
      </c>
      <c r="S441" s="24" t="str">
        <f aca="false">IF(A441="","",A441&amp;"|"&amp;R441)</f>
        <v/>
      </c>
    </row>
    <row r="442" customFormat="false" ht="15" hidden="false" customHeight="false" outlineLevel="0" collapsed="false">
      <c r="C442" s="0" t="str">
        <f aca="false">IF(B442="","",IF(COUNTIFS('MASTER MENU'!$A$5:$A$504,B442)=0,"BELUM ADA",INDEX('MASTER MENU'!$B$5:$B$504,MATCH(B442,'MASTER MENU'!$A$5:$A$504,0))))</f>
        <v/>
      </c>
      <c r="D442" s="0" t="str">
        <f aca="false">IF(B442="","",IF(COUNTIFS('MASTER MENU'!$A$5:$A$504,B442)=0,"BELUM ADA",INDEX('MASTER MENU'!$E$5:$E$504,MATCH(B442,'MASTER MENU'!$A$5:$A$504,0))))</f>
        <v/>
      </c>
      <c r="F442" s="0" t="str">
        <f aca="false">IF(B442="","",IF(COUNTIFS('MASTER MENU'!$A$5:$A$504,B442)=0,"BELUM ADA",INDEX('MASTER MENU'!$F$5:$F$504,MATCH(B442,'MASTER MENU'!$A$5:$A$504,0))))</f>
        <v/>
      </c>
      <c r="G442" s="0" t="str">
        <f aca="false">IF(A442="","",IF(OR(NOT(ISNUMBER(E442)),NOT(ISNUMBER(F442))),"BELUM LENGKAP",ROUND(E442*F442,0)))</f>
        <v/>
      </c>
      <c r="J442" s="0" t="str">
        <f aca="false">IF(A442="","",IF(NOT(ISNUMBER(G442)),"BELUM LENGKAP",G442-H442-I442))</f>
        <v/>
      </c>
      <c r="L442" s="0" t="str">
        <f aca="false">IF(A442="","",IF(NOT(ISNUMBER(K442)),"ISI SNAPSHOT HPP",ROUND(E442*K442,0)))</f>
        <v/>
      </c>
      <c r="M442" s="0" t="str">
        <f aca="false">IF(A442="","",IF(NOT(ISNUMBER(L442)),"BELUM LENGKAP",J442-L442))</f>
        <v/>
      </c>
      <c r="N442" s="0" t="str">
        <f aca="false">IF(B442="","",IF(COUNTIFS('RESEP DAN HPP'!$A$5:$A$504,B442,'RESEP DAN HPP'!$N$5:$N$504,"LENGKAP")=0,"BELUM LENGKAP",INDEX('RESEP DAN HPP'!$J$5:$J$504,MATCH(B442,'RESEP DAN HPP'!$A$5:$A$504,0))))</f>
        <v/>
      </c>
      <c r="P442" s="0" t="str">
        <f aca="false">IF(A442="","",IF(COUNTIFS('TRANSAKSI PENJUALAN'!$A$5:$A$504,A442)=0,"BELUM ADA",INDEX('TRANSAKSI PENJUALAN'!$B$5:$B$504,MATCH(A442,'TRANSAKSI PENJUALAN'!$A$5:$A$504,0))))</f>
        <v/>
      </c>
      <c r="Q442" s="0" t="str">
        <f aca="false">IF(A442="","",IF(COUNTIFS('TRANSAKSI PENJUALAN'!$A$5:$A$504,A442)=0,"BELUM ADA",INDEX('TRANSAKSI PENJUALAN'!$M$5:$M$504,MATCH(A442,'TRANSAKSI PENJUALAN'!$A$5:$A$504,0))))</f>
        <v/>
      </c>
      <c r="R442" s="24" t="str">
        <f aca="false">IF(A442="","",COUNTIF($A$5:A442,A442))</f>
        <v/>
      </c>
      <c r="S442" s="24" t="str">
        <f aca="false">IF(A442="","",A442&amp;"|"&amp;R442)</f>
        <v/>
      </c>
    </row>
    <row r="443" customFormat="false" ht="15" hidden="false" customHeight="false" outlineLevel="0" collapsed="false">
      <c r="C443" s="0" t="str">
        <f aca="false">IF(B443="","",IF(COUNTIFS('MASTER MENU'!$A$5:$A$504,B443)=0,"BELUM ADA",INDEX('MASTER MENU'!$B$5:$B$504,MATCH(B443,'MASTER MENU'!$A$5:$A$504,0))))</f>
        <v/>
      </c>
      <c r="D443" s="0" t="str">
        <f aca="false">IF(B443="","",IF(COUNTIFS('MASTER MENU'!$A$5:$A$504,B443)=0,"BELUM ADA",INDEX('MASTER MENU'!$E$5:$E$504,MATCH(B443,'MASTER MENU'!$A$5:$A$504,0))))</f>
        <v/>
      </c>
      <c r="F443" s="0" t="str">
        <f aca="false">IF(B443="","",IF(COUNTIFS('MASTER MENU'!$A$5:$A$504,B443)=0,"BELUM ADA",INDEX('MASTER MENU'!$F$5:$F$504,MATCH(B443,'MASTER MENU'!$A$5:$A$504,0))))</f>
        <v/>
      </c>
      <c r="G443" s="0" t="str">
        <f aca="false">IF(A443="","",IF(OR(NOT(ISNUMBER(E443)),NOT(ISNUMBER(F443))),"BELUM LENGKAP",ROUND(E443*F443,0)))</f>
        <v/>
      </c>
      <c r="J443" s="0" t="str">
        <f aca="false">IF(A443="","",IF(NOT(ISNUMBER(G443)),"BELUM LENGKAP",G443-H443-I443))</f>
        <v/>
      </c>
      <c r="L443" s="0" t="str">
        <f aca="false">IF(A443="","",IF(NOT(ISNUMBER(K443)),"ISI SNAPSHOT HPP",ROUND(E443*K443,0)))</f>
        <v/>
      </c>
      <c r="M443" s="0" t="str">
        <f aca="false">IF(A443="","",IF(NOT(ISNUMBER(L443)),"BELUM LENGKAP",J443-L443))</f>
        <v/>
      </c>
      <c r="N443" s="0" t="str">
        <f aca="false">IF(B443="","",IF(COUNTIFS('RESEP DAN HPP'!$A$5:$A$504,B443,'RESEP DAN HPP'!$N$5:$N$504,"LENGKAP")=0,"BELUM LENGKAP",INDEX('RESEP DAN HPP'!$J$5:$J$504,MATCH(B443,'RESEP DAN HPP'!$A$5:$A$504,0))))</f>
        <v/>
      </c>
      <c r="P443" s="0" t="str">
        <f aca="false">IF(A443="","",IF(COUNTIFS('TRANSAKSI PENJUALAN'!$A$5:$A$504,A443)=0,"BELUM ADA",INDEX('TRANSAKSI PENJUALAN'!$B$5:$B$504,MATCH(A443,'TRANSAKSI PENJUALAN'!$A$5:$A$504,0))))</f>
        <v/>
      </c>
      <c r="Q443" s="0" t="str">
        <f aca="false">IF(A443="","",IF(COUNTIFS('TRANSAKSI PENJUALAN'!$A$5:$A$504,A443)=0,"BELUM ADA",INDEX('TRANSAKSI PENJUALAN'!$M$5:$M$504,MATCH(A443,'TRANSAKSI PENJUALAN'!$A$5:$A$504,0))))</f>
        <v/>
      </c>
      <c r="R443" s="24" t="str">
        <f aca="false">IF(A443="","",COUNTIF($A$5:A443,A443))</f>
        <v/>
      </c>
      <c r="S443" s="24" t="str">
        <f aca="false">IF(A443="","",A443&amp;"|"&amp;R443)</f>
        <v/>
      </c>
    </row>
    <row r="444" customFormat="false" ht="15" hidden="false" customHeight="false" outlineLevel="0" collapsed="false">
      <c r="C444" s="0" t="str">
        <f aca="false">IF(B444="","",IF(COUNTIFS('MASTER MENU'!$A$5:$A$504,B444)=0,"BELUM ADA",INDEX('MASTER MENU'!$B$5:$B$504,MATCH(B444,'MASTER MENU'!$A$5:$A$504,0))))</f>
        <v/>
      </c>
      <c r="D444" s="0" t="str">
        <f aca="false">IF(B444="","",IF(COUNTIFS('MASTER MENU'!$A$5:$A$504,B444)=0,"BELUM ADA",INDEX('MASTER MENU'!$E$5:$E$504,MATCH(B444,'MASTER MENU'!$A$5:$A$504,0))))</f>
        <v/>
      </c>
      <c r="F444" s="0" t="str">
        <f aca="false">IF(B444="","",IF(COUNTIFS('MASTER MENU'!$A$5:$A$504,B444)=0,"BELUM ADA",INDEX('MASTER MENU'!$F$5:$F$504,MATCH(B444,'MASTER MENU'!$A$5:$A$504,0))))</f>
        <v/>
      </c>
      <c r="G444" s="0" t="str">
        <f aca="false">IF(A444="","",IF(OR(NOT(ISNUMBER(E444)),NOT(ISNUMBER(F444))),"BELUM LENGKAP",ROUND(E444*F444,0)))</f>
        <v/>
      </c>
      <c r="J444" s="0" t="str">
        <f aca="false">IF(A444="","",IF(NOT(ISNUMBER(G444)),"BELUM LENGKAP",G444-H444-I444))</f>
        <v/>
      </c>
      <c r="L444" s="0" t="str">
        <f aca="false">IF(A444="","",IF(NOT(ISNUMBER(K444)),"ISI SNAPSHOT HPP",ROUND(E444*K444,0)))</f>
        <v/>
      </c>
      <c r="M444" s="0" t="str">
        <f aca="false">IF(A444="","",IF(NOT(ISNUMBER(L444)),"BELUM LENGKAP",J444-L444))</f>
        <v/>
      </c>
      <c r="N444" s="0" t="str">
        <f aca="false">IF(B444="","",IF(COUNTIFS('RESEP DAN HPP'!$A$5:$A$504,B444,'RESEP DAN HPP'!$N$5:$N$504,"LENGKAP")=0,"BELUM LENGKAP",INDEX('RESEP DAN HPP'!$J$5:$J$504,MATCH(B444,'RESEP DAN HPP'!$A$5:$A$504,0))))</f>
        <v/>
      </c>
      <c r="P444" s="0" t="str">
        <f aca="false">IF(A444="","",IF(COUNTIFS('TRANSAKSI PENJUALAN'!$A$5:$A$504,A444)=0,"BELUM ADA",INDEX('TRANSAKSI PENJUALAN'!$B$5:$B$504,MATCH(A444,'TRANSAKSI PENJUALAN'!$A$5:$A$504,0))))</f>
        <v/>
      </c>
      <c r="Q444" s="0" t="str">
        <f aca="false">IF(A444="","",IF(COUNTIFS('TRANSAKSI PENJUALAN'!$A$5:$A$504,A444)=0,"BELUM ADA",INDEX('TRANSAKSI PENJUALAN'!$M$5:$M$504,MATCH(A444,'TRANSAKSI PENJUALAN'!$A$5:$A$504,0))))</f>
        <v/>
      </c>
      <c r="R444" s="24" t="str">
        <f aca="false">IF(A444="","",COUNTIF($A$5:A444,A444))</f>
        <v/>
      </c>
      <c r="S444" s="24" t="str">
        <f aca="false">IF(A444="","",A444&amp;"|"&amp;R444)</f>
        <v/>
      </c>
    </row>
    <row r="445" customFormat="false" ht="15" hidden="false" customHeight="false" outlineLevel="0" collapsed="false">
      <c r="C445" s="0" t="str">
        <f aca="false">IF(B445="","",IF(COUNTIFS('MASTER MENU'!$A$5:$A$504,B445)=0,"BELUM ADA",INDEX('MASTER MENU'!$B$5:$B$504,MATCH(B445,'MASTER MENU'!$A$5:$A$504,0))))</f>
        <v/>
      </c>
      <c r="D445" s="0" t="str">
        <f aca="false">IF(B445="","",IF(COUNTIFS('MASTER MENU'!$A$5:$A$504,B445)=0,"BELUM ADA",INDEX('MASTER MENU'!$E$5:$E$504,MATCH(B445,'MASTER MENU'!$A$5:$A$504,0))))</f>
        <v/>
      </c>
      <c r="F445" s="0" t="str">
        <f aca="false">IF(B445="","",IF(COUNTIFS('MASTER MENU'!$A$5:$A$504,B445)=0,"BELUM ADA",INDEX('MASTER MENU'!$F$5:$F$504,MATCH(B445,'MASTER MENU'!$A$5:$A$504,0))))</f>
        <v/>
      </c>
      <c r="G445" s="0" t="str">
        <f aca="false">IF(A445="","",IF(OR(NOT(ISNUMBER(E445)),NOT(ISNUMBER(F445))),"BELUM LENGKAP",ROUND(E445*F445,0)))</f>
        <v/>
      </c>
      <c r="J445" s="0" t="str">
        <f aca="false">IF(A445="","",IF(NOT(ISNUMBER(G445)),"BELUM LENGKAP",G445-H445-I445))</f>
        <v/>
      </c>
      <c r="L445" s="0" t="str">
        <f aca="false">IF(A445="","",IF(NOT(ISNUMBER(K445)),"ISI SNAPSHOT HPP",ROUND(E445*K445,0)))</f>
        <v/>
      </c>
      <c r="M445" s="0" t="str">
        <f aca="false">IF(A445="","",IF(NOT(ISNUMBER(L445)),"BELUM LENGKAP",J445-L445))</f>
        <v/>
      </c>
      <c r="N445" s="0" t="str">
        <f aca="false">IF(B445="","",IF(COUNTIFS('RESEP DAN HPP'!$A$5:$A$504,B445,'RESEP DAN HPP'!$N$5:$N$504,"LENGKAP")=0,"BELUM LENGKAP",INDEX('RESEP DAN HPP'!$J$5:$J$504,MATCH(B445,'RESEP DAN HPP'!$A$5:$A$504,0))))</f>
        <v/>
      </c>
      <c r="P445" s="0" t="str">
        <f aca="false">IF(A445="","",IF(COUNTIFS('TRANSAKSI PENJUALAN'!$A$5:$A$504,A445)=0,"BELUM ADA",INDEX('TRANSAKSI PENJUALAN'!$B$5:$B$504,MATCH(A445,'TRANSAKSI PENJUALAN'!$A$5:$A$504,0))))</f>
        <v/>
      </c>
      <c r="Q445" s="0" t="str">
        <f aca="false">IF(A445="","",IF(COUNTIFS('TRANSAKSI PENJUALAN'!$A$5:$A$504,A445)=0,"BELUM ADA",INDEX('TRANSAKSI PENJUALAN'!$M$5:$M$504,MATCH(A445,'TRANSAKSI PENJUALAN'!$A$5:$A$504,0))))</f>
        <v/>
      </c>
      <c r="R445" s="24" t="str">
        <f aca="false">IF(A445="","",COUNTIF($A$5:A445,A445))</f>
        <v/>
      </c>
      <c r="S445" s="24" t="str">
        <f aca="false">IF(A445="","",A445&amp;"|"&amp;R445)</f>
        <v/>
      </c>
    </row>
    <row r="446" customFormat="false" ht="15" hidden="false" customHeight="false" outlineLevel="0" collapsed="false">
      <c r="C446" s="0" t="str">
        <f aca="false">IF(B446="","",IF(COUNTIFS('MASTER MENU'!$A$5:$A$504,B446)=0,"BELUM ADA",INDEX('MASTER MENU'!$B$5:$B$504,MATCH(B446,'MASTER MENU'!$A$5:$A$504,0))))</f>
        <v/>
      </c>
      <c r="D446" s="0" t="str">
        <f aca="false">IF(B446="","",IF(COUNTIFS('MASTER MENU'!$A$5:$A$504,B446)=0,"BELUM ADA",INDEX('MASTER MENU'!$E$5:$E$504,MATCH(B446,'MASTER MENU'!$A$5:$A$504,0))))</f>
        <v/>
      </c>
      <c r="F446" s="0" t="str">
        <f aca="false">IF(B446="","",IF(COUNTIFS('MASTER MENU'!$A$5:$A$504,B446)=0,"BELUM ADA",INDEX('MASTER MENU'!$F$5:$F$504,MATCH(B446,'MASTER MENU'!$A$5:$A$504,0))))</f>
        <v/>
      </c>
      <c r="G446" s="0" t="str">
        <f aca="false">IF(A446="","",IF(OR(NOT(ISNUMBER(E446)),NOT(ISNUMBER(F446))),"BELUM LENGKAP",ROUND(E446*F446,0)))</f>
        <v/>
      </c>
      <c r="J446" s="0" t="str">
        <f aca="false">IF(A446="","",IF(NOT(ISNUMBER(G446)),"BELUM LENGKAP",G446-H446-I446))</f>
        <v/>
      </c>
      <c r="L446" s="0" t="str">
        <f aca="false">IF(A446="","",IF(NOT(ISNUMBER(K446)),"ISI SNAPSHOT HPP",ROUND(E446*K446,0)))</f>
        <v/>
      </c>
      <c r="M446" s="0" t="str">
        <f aca="false">IF(A446="","",IF(NOT(ISNUMBER(L446)),"BELUM LENGKAP",J446-L446))</f>
        <v/>
      </c>
      <c r="N446" s="0" t="str">
        <f aca="false">IF(B446="","",IF(COUNTIFS('RESEP DAN HPP'!$A$5:$A$504,B446,'RESEP DAN HPP'!$N$5:$N$504,"LENGKAP")=0,"BELUM LENGKAP",INDEX('RESEP DAN HPP'!$J$5:$J$504,MATCH(B446,'RESEP DAN HPP'!$A$5:$A$504,0))))</f>
        <v/>
      </c>
      <c r="P446" s="0" t="str">
        <f aca="false">IF(A446="","",IF(COUNTIFS('TRANSAKSI PENJUALAN'!$A$5:$A$504,A446)=0,"BELUM ADA",INDEX('TRANSAKSI PENJUALAN'!$B$5:$B$504,MATCH(A446,'TRANSAKSI PENJUALAN'!$A$5:$A$504,0))))</f>
        <v/>
      </c>
      <c r="Q446" s="0" t="str">
        <f aca="false">IF(A446="","",IF(COUNTIFS('TRANSAKSI PENJUALAN'!$A$5:$A$504,A446)=0,"BELUM ADA",INDEX('TRANSAKSI PENJUALAN'!$M$5:$M$504,MATCH(A446,'TRANSAKSI PENJUALAN'!$A$5:$A$504,0))))</f>
        <v/>
      </c>
      <c r="R446" s="24" t="str">
        <f aca="false">IF(A446="","",COUNTIF($A$5:A446,A446))</f>
        <v/>
      </c>
      <c r="S446" s="24" t="str">
        <f aca="false">IF(A446="","",A446&amp;"|"&amp;R446)</f>
        <v/>
      </c>
    </row>
    <row r="447" customFormat="false" ht="15" hidden="false" customHeight="false" outlineLevel="0" collapsed="false">
      <c r="C447" s="0" t="str">
        <f aca="false">IF(B447="","",IF(COUNTIFS('MASTER MENU'!$A$5:$A$504,B447)=0,"BELUM ADA",INDEX('MASTER MENU'!$B$5:$B$504,MATCH(B447,'MASTER MENU'!$A$5:$A$504,0))))</f>
        <v/>
      </c>
      <c r="D447" s="0" t="str">
        <f aca="false">IF(B447="","",IF(COUNTIFS('MASTER MENU'!$A$5:$A$504,B447)=0,"BELUM ADA",INDEX('MASTER MENU'!$E$5:$E$504,MATCH(B447,'MASTER MENU'!$A$5:$A$504,0))))</f>
        <v/>
      </c>
      <c r="F447" s="0" t="str">
        <f aca="false">IF(B447="","",IF(COUNTIFS('MASTER MENU'!$A$5:$A$504,B447)=0,"BELUM ADA",INDEX('MASTER MENU'!$F$5:$F$504,MATCH(B447,'MASTER MENU'!$A$5:$A$504,0))))</f>
        <v/>
      </c>
      <c r="G447" s="0" t="str">
        <f aca="false">IF(A447="","",IF(OR(NOT(ISNUMBER(E447)),NOT(ISNUMBER(F447))),"BELUM LENGKAP",ROUND(E447*F447,0)))</f>
        <v/>
      </c>
      <c r="J447" s="0" t="str">
        <f aca="false">IF(A447="","",IF(NOT(ISNUMBER(G447)),"BELUM LENGKAP",G447-H447-I447))</f>
        <v/>
      </c>
      <c r="L447" s="0" t="str">
        <f aca="false">IF(A447="","",IF(NOT(ISNUMBER(K447)),"ISI SNAPSHOT HPP",ROUND(E447*K447,0)))</f>
        <v/>
      </c>
      <c r="M447" s="0" t="str">
        <f aca="false">IF(A447="","",IF(NOT(ISNUMBER(L447)),"BELUM LENGKAP",J447-L447))</f>
        <v/>
      </c>
      <c r="N447" s="0" t="str">
        <f aca="false">IF(B447="","",IF(COUNTIFS('RESEP DAN HPP'!$A$5:$A$504,B447,'RESEP DAN HPP'!$N$5:$N$504,"LENGKAP")=0,"BELUM LENGKAP",INDEX('RESEP DAN HPP'!$J$5:$J$504,MATCH(B447,'RESEP DAN HPP'!$A$5:$A$504,0))))</f>
        <v/>
      </c>
      <c r="P447" s="0" t="str">
        <f aca="false">IF(A447="","",IF(COUNTIFS('TRANSAKSI PENJUALAN'!$A$5:$A$504,A447)=0,"BELUM ADA",INDEX('TRANSAKSI PENJUALAN'!$B$5:$B$504,MATCH(A447,'TRANSAKSI PENJUALAN'!$A$5:$A$504,0))))</f>
        <v/>
      </c>
      <c r="Q447" s="0" t="str">
        <f aca="false">IF(A447="","",IF(COUNTIFS('TRANSAKSI PENJUALAN'!$A$5:$A$504,A447)=0,"BELUM ADA",INDEX('TRANSAKSI PENJUALAN'!$M$5:$M$504,MATCH(A447,'TRANSAKSI PENJUALAN'!$A$5:$A$504,0))))</f>
        <v/>
      </c>
      <c r="R447" s="24" t="str">
        <f aca="false">IF(A447="","",COUNTIF($A$5:A447,A447))</f>
        <v/>
      </c>
      <c r="S447" s="24" t="str">
        <f aca="false">IF(A447="","",A447&amp;"|"&amp;R447)</f>
        <v/>
      </c>
    </row>
    <row r="448" customFormat="false" ht="15" hidden="false" customHeight="false" outlineLevel="0" collapsed="false">
      <c r="C448" s="0" t="str">
        <f aca="false">IF(B448="","",IF(COUNTIFS('MASTER MENU'!$A$5:$A$504,B448)=0,"BELUM ADA",INDEX('MASTER MENU'!$B$5:$B$504,MATCH(B448,'MASTER MENU'!$A$5:$A$504,0))))</f>
        <v/>
      </c>
      <c r="D448" s="0" t="str">
        <f aca="false">IF(B448="","",IF(COUNTIFS('MASTER MENU'!$A$5:$A$504,B448)=0,"BELUM ADA",INDEX('MASTER MENU'!$E$5:$E$504,MATCH(B448,'MASTER MENU'!$A$5:$A$504,0))))</f>
        <v/>
      </c>
      <c r="F448" s="0" t="str">
        <f aca="false">IF(B448="","",IF(COUNTIFS('MASTER MENU'!$A$5:$A$504,B448)=0,"BELUM ADA",INDEX('MASTER MENU'!$F$5:$F$504,MATCH(B448,'MASTER MENU'!$A$5:$A$504,0))))</f>
        <v/>
      </c>
      <c r="G448" s="0" t="str">
        <f aca="false">IF(A448="","",IF(OR(NOT(ISNUMBER(E448)),NOT(ISNUMBER(F448))),"BELUM LENGKAP",ROUND(E448*F448,0)))</f>
        <v/>
      </c>
      <c r="J448" s="0" t="str">
        <f aca="false">IF(A448="","",IF(NOT(ISNUMBER(G448)),"BELUM LENGKAP",G448-H448-I448))</f>
        <v/>
      </c>
      <c r="L448" s="0" t="str">
        <f aca="false">IF(A448="","",IF(NOT(ISNUMBER(K448)),"ISI SNAPSHOT HPP",ROUND(E448*K448,0)))</f>
        <v/>
      </c>
      <c r="M448" s="0" t="str">
        <f aca="false">IF(A448="","",IF(NOT(ISNUMBER(L448)),"BELUM LENGKAP",J448-L448))</f>
        <v/>
      </c>
      <c r="N448" s="0" t="str">
        <f aca="false">IF(B448="","",IF(COUNTIFS('RESEP DAN HPP'!$A$5:$A$504,B448,'RESEP DAN HPP'!$N$5:$N$504,"LENGKAP")=0,"BELUM LENGKAP",INDEX('RESEP DAN HPP'!$J$5:$J$504,MATCH(B448,'RESEP DAN HPP'!$A$5:$A$504,0))))</f>
        <v/>
      </c>
      <c r="P448" s="0" t="str">
        <f aca="false">IF(A448="","",IF(COUNTIFS('TRANSAKSI PENJUALAN'!$A$5:$A$504,A448)=0,"BELUM ADA",INDEX('TRANSAKSI PENJUALAN'!$B$5:$B$504,MATCH(A448,'TRANSAKSI PENJUALAN'!$A$5:$A$504,0))))</f>
        <v/>
      </c>
      <c r="Q448" s="0" t="str">
        <f aca="false">IF(A448="","",IF(COUNTIFS('TRANSAKSI PENJUALAN'!$A$5:$A$504,A448)=0,"BELUM ADA",INDEX('TRANSAKSI PENJUALAN'!$M$5:$M$504,MATCH(A448,'TRANSAKSI PENJUALAN'!$A$5:$A$504,0))))</f>
        <v/>
      </c>
      <c r="R448" s="24" t="str">
        <f aca="false">IF(A448="","",COUNTIF($A$5:A448,A448))</f>
        <v/>
      </c>
      <c r="S448" s="24" t="str">
        <f aca="false">IF(A448="","",A448&amp;"|"&amp;R448)</f>
        <v/>
      </c>
    </row>
    <row r="449" customFormat="false" ht="15" hidden="false" customHeight="false" outlineLevel="0" collapsed="false">
      <c r="C449" s="0" t="str">
        <f aca="false">IF(B449="","",IF(COUNTIFS('MASTER MENU'!$A$5:$A$504,B449)=0,"BELUM ADA",INDEX('MASTER MENU'!$B$5:$B$504,MATCH(B449,'MASTER MENU'!$A$5:$A$504,0))))</f>
        <v/>
      </c>
      <c r="D449" s="0" t="str">
        <f aca="false">IF(B449="","",IF(COUNTIFS('MASTER MENU'!$A$5:$A$504,B449)=0,"BELUM ADA",INDEX('MASTER MENU'!$E$5:$E$504,MATCH(B449,'MASTER MENU'!$A$5:$A$504,0))))</f>
        <v/>
      </c>
      <c r="F449" s="0" t="str">
        <f aca="false">IF(B449="","",IF(COUNTIFS('MASTER MENU'!$A$5:$A$504,B449)=0,"BELUM ADA",INDEX('MASTER MENU'!$F$5:$F$504,MATCH(B449,'MASTER MENU'!$A$5:$A$504,0))))</f>
        <v/>
      </c>
      <c r="G449" s="0" t="str">
        <f aca="false">IF(A449="","",IF(OR(NOT(ISNUMBER(E449)),NOT(ISNUMBER(F449))),"BELUM LENGKAP",ROUND(E449*F449,0)))</f>
        <v/>
      </c>
      <c r="J449" s="0" t="str">
        <f aca="false">IF(A449="","",IF(NOT(ISNUMBER(G449)),"BELUM LENGKAP",G449-H449-I449))</f>
        <v/>
      </c>
      <c r="L449" s="0" t="str">
        <f aca="false">IF(A449="","",IF(NOT(ISNUMBER(K449)),"ISI SNAPSHOT HPP",ROUND(E449*K449,0)))</f>
        <v/>
      </c>
      <c r="M449" s="0" t="str">
        <f aca="false">IF(A449="","",IF(NOT(ISNUMBER(L449)),"BELUM LENGKAP",J449-L449))</f>
        <v/>
      </c>
      <c r="N449" s="0" t="str">
        <f aca="false">IF(B449="","",IF(COUNTIFS('RESEP DAN HPP'!$A$5:$A$504,B449,'RESEP DAN HPP'!$N$5:$N$504,"LENGKAP")=0,"BELUM LENGKAP",INDEX('RESEP DAN HPP'!$J$5:$J$504,MATCH(B449,'RESEP DAN HPP'!$A$5:$A$504,0))))</f>
        <v/>
      </c>
      <c r="P449" s="0" t="str">
        <f aca="false">IF(A449="","",IF(COUNTIFS('TRANSAKSI PENJUALAN'!$A$5:$A$504,A449)=0,"BELUM ADA",INDEX('TRANSAKSI PENJUALAN'!$B$5:$B$504,MATCH(A449,'TRANSAKSI PENJUALAN'!$A$5:$A$504,0))))</f>
        <v/>
      </c>
      <c r="Q449" s="0" t="str">
        <f aca="false">IF(A449="","",IF(COUNTIFS('TRANSAKSI PENJUALAN'!$A$5:$A$504,A449)=0,"BELUM ADA",INDEX('TRANSAKSI PENJUALAN'!$M$5:$M$504,MATCH(A449,'TRANSAKSI PENJUALAN'!$A$5:$A$504,0))))</f>
        <v/>
      </c>
      <c r="R449" s="24" t="str">
        <f aca="false">IF(A449="","",COUNTIF($A$5:A449,A449))</f>
        <v/>
      </c>
      <c r="S449" s="24" t="str">
        <f aca="false">IF(A449="","",A449&amp;"|"&amp;R449)</f>
        <v/>
      </c>
    </row>
    <row r="450" customFormat="false" ht="15" hidden="false" customHeight="false" outlineLevel="0" collapsed="false">
      <c r="C450" s="0" t="str">
        <f aca="false">IF(B450="","",IF(COUNTIFS('MASTER MENU'!$A$5:$A$504,B450)=0,"BELUM ADA",INDEX('MASTER MENU'!$B$5:$B$504,MATCH(B450,'MASTER MENU'!$A$5:$A$504,0))))</f>
        <v/>
      </c>
      <c r="D450" s="0" t="str">
        <f aca="false">IF(B450="","",IF(COUNTIFS('MASTER MENU'!$A$5:$A$504,B450)=0,"BELUM ADA",INDEX('MASTER MENU'!$E$5:$E$504,MATCH(B450,'MASTER MENU'!$A$5:$A$504,0))))</f>
        <v/>
      </c>
      <c r="F450" s="0" t="str">
        <f aca="false">IF(B450="","",IF(COUNTIFS('MASTER MENU'!$A$5:$A$504,B450)=0,"BELUM ADA",INDEX('MASTER MENU'!$F$5:$F$504,MATCH(B450,'MASTER MENU'!$A$5:$A$504,0))))</f>
        <v/>
      </c>
      <c r="G450" s="0" t="str">
        <f aca="false">IF(A450="","",IF(OR(NOT(ISNUMBER(E450)),NOT(ISNUMBER(F450))),"BELUM LENGKAP",ROUND(E450*F450,0)))</f>
        <v/>
      </c>
      <c r="J450" s="0" t="str">
        <f aca="false">IF(A450="","",IF(NOT(ISNUMBER(G450)),"BELUM LENGKAP",G450-H450-I450))</f>
        <v/>
      </c>
      <c r="L450" s="0" t="str">
        <f aca="false">IF(A450="","",IF(NOT(ISNUMBER(K450)),"ISI SNAPSHOT HPP",ROUND(E450*K450,0)))</f>
        <v/>
      </c>
      <c r="M450" s="0" t="str">
        <f aca="false">IF(A450="","",IF(NOT(ISNUMBER(L450)),"BELUM LENGKAP",J450-L450))</f>
        <v/>
      </c>
      <c r="N450" s="0" t="str">
        <f aca="false">IF(B450="","",IF(COUNTIFS('RESEP DAN HPP'!$A$5:$A$504,B450,'RESEP DAN HPP'!$N$5:$N$504,"LENGKAP")=0,"BELUM LENGKAP",INDEX('RESEP DAN HPP'!$J$5:$J$504,MATCH(B450,'RESEP DAN HPP'!$A$5:$A$504,0))))</f>
        <v/>
      </c>
      <c r="P450" s="0" t="str">
        <f aca="false">IF(A450="","",IF(COUNTIFS('TRANSAKSI PENJUALAN'!$A$5:$A$504,A450)=0,"BELUM ADA",INDEX('TRANSAKSI PENJUALAN'!$B$5:$B$504,MATCH(A450,'TRANSAKSI PENJUALAN'!$A$5:$A$504,0))))</f>
        <v/>
      </c>
      <c r="Q450" s="0" t="str">
        <f aca="false">IF(A450="","",IF(COUNTIFS('TRANSAKSI PENJUALAN'!$A$5:$A$504,A450)=0,"BELUM ADA",INDEX('TRANSAKSI PENJUALAN'!$M$5:$M$504,MATCH(A450,'TRANSAKSI PENJUALAN'!$A$5:$A$504,0))))</f>
        <v/>
      </c>
      <c r="R450" s="24" t="str">
        <f aca="false">IF(A450="","",COUNTIF($A$5:A450,A450))</f>
        <v/>
      </c>
      <c r="S450" s="24" t="str">
        <f aca="false">IF(A450="","",A450&amp;"|"&amp;R450)</f>
        <v/>
      </c>
    </row>
    <row r="451" customFormat="false" ht="15" hidden="false" customHeight="false" outlineLevel="0" collapsed="false">
      <c r="C451" s="0" t="str">
        <f aca="false">IF(B451="","",IF(COUNTIFS('MASTER MENU'!$A$5:$A$504,B451)=0,"BELUM ADA",INDEX('MASTER MENU'!$B$5:$B$504,MATCH(B451,'MASTER MENU'!$A$5:$A$504,0))))</f>
        <v/>
      </c>
      <c r="D451" s="0" t="str">
        <f aca="false">IF(B451="","",IF(COUNTIFS('MASTER MENU'!$A$5:$A$504,B451)=0,"BELUM ADA",INDEX('MASTER MENU'!$E$5:$E$504,MATCH(B451,'MASTER MENU'!$A$5:$A$504,0))))</f>
        <v/>
      </c>
      <c r="F451" s="0" t="str">
        <f aca="false">IF(B451="","",IF(COUNTIFS('MASTER MENU'!$A$5:$A$504,B451)=0,"BELUM ADA",INDEX('MASTER MENU'!$F$5:$F$504,MATCH(B451,'MASTER MENU'!$A$5:$A$504,0))))</f>
        <v/>
      </c>
      <c r="G451" s="0" t="str">
        <f aca="false">IF(A451="","",IF(OR(NOT(ISNUMBER(E451)),NOT(ISNUMBER(F451))),"BELUM LENGKAP",ROUND(E451*F451,0)))</f>
        <v/>
      </c>
      <c r="J451" s="0" t="str">
        <f aca="false">IF(A451="","",IF(NOT(ISNUMBER(G451)),"BELUM LENGKAP",G451-H451-I451))</f>
        <v/>
      </c>
      <c r="L451" s="0" t="str">
        <f aca="false">IF(A451="","",IF(NOT(ISNUMBER(K451)),"ISI SNAPSHOT HPP",ROUND(E451*K451,0)))</f>
        <v/>
      </c>
      <c r="M451" s="0" t="str">
        <f aca="false">IF(A451="","",IF(NOT(ISNUMBER(L451)),"BELUM LENGKAP",J451-L451))</f>
        <v/>
      </c>
      <c r="N451" s="0" t="str">
        <f aca="false">IF(B451="","",IF(COUNTIFS('RESEP DAN HPP'!$A$5:$A$504,B451,'RESEP DAN HPP'!$N$5:$N$504,"LENGKAP")=0,"BELUM LENGKAP",INDEX('RESEP DAN HPP'!$J$5:$J$504,MATCH(B451,'RESEP DAN HPP'!$A$5:$A$504,0))))</f>
        <v/>
      </c>
      <c r="P451" s="0" t="str">
        <f aca="false">IF(A451="","",IF(COUNTIFS('TRANSAKSI PENJUALAN'!$A$5:$A$504,A451)=0,"BELUM ADA",INDEX('TRANSAKSI PENJUALAN'!$B$5:$B$504,MATCH(A451,'TRANSAKSI PENJUALAN'!$A$5:$A$504,0))))</f>
        <v/>
      </c>
      <c r="Q451" s="0" t="str">
        <f aca="false">IF(A451="","",IF(COUNTIFS('TRANSAKSI PENJUALAN'!$A$5:$A$504,A451)=0,"BELUM ADA",INDEX('TRANSAKSI PENJUALAN'!$M$5:$M$504,MATCH(A451,'TRANSAKSI PENJUALAN'!$A$5:$A$504,0))))</f>
        <v/>
      </c>
      <c r="R451" s="24" t="str">
        <f aca="false">IF(A451="","",COUNTIF($A$5:A451,A451))</f>
        <v/>
      </c>
      <c r="S451" s="24" t="str">
        <f aca="false">IF(A451="","",A451&amp;"|"&amp;R451)</f>
        <v/>
      </c>
    </row>
    <row r="452" customFormat="false" ht="15" hidden="false" customHeight="false" outlineLevel="0" collapsed="false">
      <c r="C452" s="0" t="str">
        <f aca="false">IF(B452="","",IF(COUNTIFS('MASTER MENU'!$A$5:$A$504,B452)=0,"BELUM ADA",INDEX('MASTER MENU'!$B$5:$B$504,MATCH(B452,'MASTER MENU'!$A$5:$A$504,0))))</f>
        <v/>
      </c>
      <c r="D452" s="0" t="str">
        <f aca="false">IF(B452="","",IF(COUNTIFS('MASTER MENU'!$A$5:$A$504,B452)=0,"BELUM ADA",INDEX('MASTER MENU'!$E$5:$E$504,MATCH(B452,'MASTER MENU'!$A$5:$A$504,0))))</f>
        <v/>
      </c>
      <c r="F452" s="0" t="str">
        <f aca="false">IF(B452="","",IF(COUNTIFS('MASTER MENU'!$A$5:$A$504,B452)=0,"BELUM ADA",INDEX('MASTER MENU'!$F$5:$F$504,MATCH(B452,'MASTER MENU'!$A$5:$A$504,0))))</f>
        <v/>
      </c>
      <c r="G452" s="0" t="str">
        <f aca="false">IF(A452="","",IF(OR(NOT(ISNUMBER(E452)),NOT(ISNUMBER(F452))),"BELUM LENGKAP",ROUND(E452*F452,0)))</f>
        <v/>
      </c>
      <c r="J452" s="0" t="str">
        <f aca="false">IF(A452="","",IF(NOT(ISNUMBER(G452)),"BELUM LENGKAP",G452-H452-I452))</f>
        <v/>
      </c>
      <c r="L452" s="0" t="str">
        <f aca="false">IF(A452="","",IF(NOT(ISNUMBER(K452)),"ISI SNAPSHOT HPP",ROUND(E452*K452,0)))</f>
        <v/>
      </c>
      <c r="M452" s="0" t="str">
        <f aca="false">IF(A452="","",IF(NOT(ISNUMBER(L452)),"BELUM LENGKAP",J452-L452))</f>
        <v/>
      </c>
      <c r="N452" s="0" t="str">
        <f aca="false">IF(B452="","",IF(COUNTIFS('RESEP DAN HPP'!$A$5:$A$504,B452,'RESEP DAN HPP'!$N$5:$N$504,"LENGKAP")=0,"BELUM LENGKAP",INDEX('RESEP DAN HPP'!$J$5:$J$504,MATCH(B452,'RESEP DAN HPP'!$A$5:$A$504,0))))</f>
        <v/>
      </c>
      <c r="P452" s="0" t="str">
        <f aca="false">IF(A452="","",IF(COUNTIFS('TRANSAKSI PENJUALAN'!$A$5:$A$504,A452)=0,"BELUM ADA",INDEX('TRANSAKSI PENJUALAN'!$B$5:$B$504,MATCH(A452,'TRANSAKSI PENJUALAN'!$A$5:$A$504,0))))</f>
        <v/>
      </c>
      <c r="Q452" s="0" t="str">
        <f aca="false">IF(A452="","",IF(COUNTIFS('TRANSAKSI PENJUALAN'!$A$5:$A$504,A452)=0,"BELUM ADA",INDEX('TRANSAKSI PENJUALAN'!$M$5:$M$504,MATCH(A452,'TRANSAKSI PENJUALAN'!$A$5:$A$504,0))))</f>
        <v/>
      </c>
      <c r="R452" s="24" t="str">
        <f aca="false">IF(A452="","",COUNTIF($A$5:A452,A452))</f>
        <v/>
      </c>
      <c r="S452" s="24" t="str">
        <f aca="false">IF(A452="","",A452&amp;"|"&amp;R452)</f>
        <v/>
      </c>
    </row>
    <row r="453" customFormat="false" ht="15" hidden="false" customHeight="false" outlineLevel="0" collapsed="false">
      <c r="C453" s="0" t="str">
        <f aca="false">IF(B453="","",IF(COUNTIFS('MASTER MENU'!$A$5:$A$504,B453)=0,"BELUM ADA",INDEX('MASTER MENU'!$B$5:$B$504,MATCH(B453,'MASTER MENU'!$A$5:$A$504,0))))</f>
        <v/>
      </c>
      <c r="D453" s="0" t="str">
        <f aca="false">IF(B453="","",IF(COUNTIFS('MASTER MENU'!$A$5:$A$504,B453)=0,"BELUM ADA",INDEX('MASTER MENU'!$E$5:$E$504,MATCH(B453,'MASTER MENU'!$A$5:$A$504,0))))</f>
        <v/>
      </c>
      <c r="F453" s="0" t="str">
        <f aca="false">IF(B453="","",IF(COUNTIFS('MASTER MENU'!$A$5:$A$504,B453)=0,"BELUM ADA",INDEX('MASTER MENU'!$F$5:$F$504,MATCH(B453,'MASTER MENU'!$A$5:$A$504,0))))</f>
        <v/>
      </c>
      <c r="G453" s="0" t="str">
        <f aca="false">IF(A453="","",IF(OR(NOT(ISNUMBER(E453)),NOT(ISNUMBER(F453))),"BELUM LENGKAP",ROUND(E453*F453,0)))</f>
        <v/>
      </c>
      <c r="J453" s="0" t="str">
        <f aca="false">IF(A453="","",IF(NOT(ISNUMBER(G453)),"BELUM LENGKAP",G453-H453-I453))</f>
        <v/>
      </c>
      <c r="L453" s="0" t="str">
        <f aca="false">IF(A453="","",IF(NOT(ISNUMBER(K453)),"ISI SNAPSHOT HPP",ROUND(E453*K453,0)))</f>
        <v/>
      </c>
      <c r="M453" s="0" t="str">
        <f aca="false">IF(A453="","",IF(NOT(ISNUMBER(L453)),"BELUM LENGKAP",J453-L453))</f>
        <v/>
      </c>
      <c r="N453" s="0" t="str">
        <f aca="false">IF(B453="","",IF(COUNTIFS('RESEP DAN HPP'!$A$5:$A$504,B453,'RESEP DAN HPP'!$N$5:$N$504,"LENGKAP")=0,"BELUM LENGKAP",INDEX('RESEP DAN HPP'!$J$5:$J$504,MATCH(B453,'RESEP DAN HPP'!$A$5:$A$504,0))))</f>
        <v/>
      </c>
      <c r="P453" s="0" t="str">
        <f aca="false">IF(A453="","",IF(COUNTIFS('TRANSAKSI PENJUALAN'!$A$5:$A$504,A453)=0,"BELUM ADA",INDEX('TRANSAKSI PENJUALAN'!$B$5:$B$504,MATCH(A453,'TRANSAKSI PENJUALAN'!$A$5:$A$504,0))))</f>
        <v/>
      </c>
      <c r="Q453" s="0" t="str">
        <f aca="false">IF(A453="","",IF(COUNTIFS('TRANSAKSI PENJUALAN'!$A$5:$A$504,A453)=0,"BELUM ADA",INDEX('TRANSAKSI PENJUALAN'!$M$5:$M$504,MATCH(A453,'TRANSAKSI PENJUALAN'!$A$5:$A$504,0))))</f>
        <v/>
      </c>
      <c r="R453" s="24" t="str">
        <f aca="false">IF(A453="","",COUNTIF($A$5:A453,A453))</f>
        <v/>
      </c>
      <c r="S453" s="24" t="str">
        <f aca="false">IF(A453="","",A453&amp;"|"&amp;R453)</f>
        <v/>
      </c>
    </row>
    <row r="454" customFormat="false" ht="15" hidden="false" customHeight="false" outlineLevel="0" collapsed="false">
      <c r="C454" s="0" t="str">
        <f aca="false">IF(B454="","",IF(COUNTIFS('MASTER MENU'!$A$5:$A$504,B454)=0,"BELUM ADA",INDEX('MASTER MENU'!$B$5:$B$504,MATCH(B454,'MASTER MENU'!$A$5:$A$504,0))))</f>
        <v/>
      </c>
      <c r="D454" s="0" t="str">
        <f aca="false">IF(B454="","",IF(COUNTIFS('MASTER MENU'!$A$5:$A$504,B454)=0,"BELUM ADA",INDEX('MASTER MENU'!$E$5:$E$504,MATCH(B454,'MASTER MENU'!$A$5:$A$504,0))))</f>
        <v/>
      </c>
      <c r="F454" s="0" t="str">
        <f aca="false">IF(B454="","",IF(COUNTIFS('MASTER MENU'!$A$5:$A$504,B454)=0,"BELUM ADA",INDEX('MASTER MENU'!$F$5:$F$504,MATCH(B454,'MASTER MENU'!$A$5:$A$504,0))))</f>
        <v/>
      </c>
      <c r="G454" s="0" t="str">
        <f aca="false">IF(A454="","",IF(OR(NOT(ISNUMBER(E454)),NOT(ISNUMBER(F454))),"BELUM LENGKAP",ROUND(E454*F454,0)))</f>
        <v/>
      </c>
      <c r="J454" s="0" t="str">
        <f aca="false">IF(A454="","",IF(NOT(ISNUMBER(G454)),"BELUM LENGKAP",G454-H454-I454))</f>
        <v/>
      </c>
      <c r="L454" s="0" t="str">
        <f aca="false">IF(A454="","",IF(NOT(ISNUMBER(K454)),"ISI SNAPSHOT HPP",ROUND(E454*K454,0)))</f>
        <v/>
      </c>
      <c r="M454" s="0" t="str">
        <f aca="false">IF(A454="","",IF(NOT(ISNUMBER(L454)),"BELUM LENGKAP",J454-L454))</f>
        <v/>
      </c>
      <c r="N454" s="0" t="str">
        <f aca="false">IF(B454="","",IF(COUNTIFS('RESEP DAN HPP'!$A$5:$A$504,B454,'RESEP DAN HPP'!$N$5:$N$504,"LENGKAP")=0,"BELUM LENGKAP",INDEX('RESEP DAN HPP'!$J$5:$J$504,MATCH(B454,'RESEP DAN HPP'!$A$5:$A$504,0))))</f>
        <v/>
      </c>
      <c r="P454" s="0" t="str">
        <f aca="false">IF(A454="","",IF(COUNTIFS('TRANSAKSI PENJUALAN'!$A$5:$A$504,A454)=0,"BELUM ADA",INDEX('TRANSAKSI PENJUALAN'!$B$5:$B$504,MATCH(A454,'TRANSAKSI PENJUALAN'!$A$5:$A$504,0))))</f>
        <v/>
      </c>
      <c r="Q454" s="0" t="str">
        <f aca="false">IF(A454="","",IF(COUNTIFS('TRANSAKSI PENJUALAN'!$A$5:$A$504,A454)=0,"BELUM ADA",INDEX('TRANSAKSI PENJUALAN'!$M$5:$M$504,MATCH(A454,'TRANSAKSI PENJUALAN'!$A$5:$A$504,0))))</f>
        <v/>
      </c>
      <c r="R454" s="24" t="str">
        <f aca="false">IF(A454="","",COUNTIF($A$5:A454,A454))</f>
        <v/>
      </c>
      <c r="S454" s="24" t="str">
        <f aca="false">IF(A454="","",A454&amp;"|"&amp;R454)</f>
        <v/>
      </c>
    </row>
    <row r="455" customFormat="false" ht="15" hidden="false" customHeight="false" outlineLevel="0" collapsed="false">
      <c r="C455" s="0" t="str">
        <f aca="false">IF(B455="","",IF(COUNTIFS('MASTER MENU'!$A$5:$A$504,B455)=0,"BELUM ADA",INDEX('MASTER MENU'!$B$5:$B$504,MATCH(B455,'MASTER MENU'!$A$5:$A$504,0))))</f>
        <v/>
      </c>
      <c r="D455" s="0" t="str">
        <f aca="false">IF(B455="","",IF(COUNTIFS('MASTER MENU'!$A$5:$A$504,B455)=0,"BELUM ADA",INDEX('MASTER MENU'!$E$5:$E$504,MATCH(B455,'MASTER MENU'!$A$5:$A$504,0))))</f>
        <v/>
      </c>
      <c r="F455" s="0" t="str">
        <f aca="false">IF(B455="","",IF(COUNTIFS('MASTER MENU'!$A$5:$A$504,B455)=0,"BELUM ADA",INDEX('MASTER MENU'!$F$5:$F$504,MATCH(B455,'MASTER MENU'!$A$5:$A$504,0))))</f>
        <v/>
      </c>
      <c r="G455" s="0" t="str">
        <f aca="false">IF(A455="","",IF(OR(NOT(ISNUMBER(E455)),NOT(ISNUMBER(F455))),"BELUM LENGKAP",ROUND(E455*F455,0)))</f>
        <v/>
      </c>
      <c r="J455" s="0" t="str">
        <f aca="false">IF(A455="","",IF(NOT(ISNUMBER(G455)),"BELUM LENGKAP",G455-H455-I455))</f>
        <v/>
      </c>
      <c r="L455" s="0" t="str">
        <f aca="false">IF(A455="","",IF(NOT(ISNUMBER(K455)),"ISI SNAPSHOT HPP",ROUND(E455*K455,0)))</f>
        <v/>
      </c>
      <c r="M455" s="0" t="str">
        <f aca="false">IF(A455="","",IF(NOT(ISNUMBER(L455)),"BELUM LENGKAP",J455-L455))</f>
        <v/>
      </c>
      <c r="N455" s="0" t="str">
        <f aca="false">IF(B455="","",IF(COUNTIFS('RESEP DAN HPP'!$A$5:$A$504,B455,'RESEP DAN HPP'!$N$5:$N$504,"LENGKAP")=0,"BELUM LENGKAP",INDEX('RESEP DAN HPP'!$J$5:$J$504,MATCH(B455,'RESEP DAN HPP'!$A$5:$A$504,0))))</f>
        <v/>
      </c>
      <c r="P455" s="0" t="str">
        <f aca="false">IF(A455="","",IF(COUNTIFS('TRANSAKSI PENJUALAN'!$A$5:$A$504,A455)=0,"BELUM ADA",INDEX('TRANSAKSI PENJUALAN'!$B$5:$B$504,MATCH(A455,'TRANSAKSI PENJUALAN'!$A$5:$A$504,0))))</f>
        <v/>
      </c>
      <c r="Q455" s="0" t="str">
        <f aca="false">IF(A455="","",IF(COUNTIFS('TRANSAKSI PENJUALAN'!$A$5:$A$504,A455)=0,"BELUM ADA",INDEX('TRANSAKSI PENJUALAN'!$M$5:$M$504,MATCH(A455,'TRANSAKSI PENJUALAN'!$A$5:$A$504,0))))</f>
        <v/>
      </c>
      <c r="R455" s="24" t="str">
        <f aca="false">IF(A455="","",COUNTIF($A$5:A455,A455))</f>
        <v/>
      </c>
      <c r="S455" s="24" t="str">
        <f aca="false">IF(A455="","",A455&amp;"|"&amp;R455)</f>
        <v/>
      </c>
    </row>
    <row r="456" customFormat="false" ht="15" hidden="false" customHeight="false" outlineLevel="0" collapsed="false">
      <c r="C456" s="0" t="str">
        <f aca="false">IF(B456="","",IF(COUNTIFS('MASTER MENU'!$A$5:$A$504,B456)=0,"BELUM ADA",INDEX('MASTER MENU'!$B$5:$B$504,MATCH(B456,'MASTER MENU'!$A$5:$A$504,0))))</f>
        <v/>
      </c>
      <c r="D456" s="0" t="str">
        <f aca="false">IF(B456="","",IF(COUNTIFS('MASTER MENU'!$A$5:$A$504,B456)=0,"BELUM ADA",INDEX('MASTER MENU'!$E$5:$E$504,MATCH(B456,'MASTER MENU'!$A$5:$A$504,0))))</f>
        <v/>
      </c>
      <c r="F456" s="0" t="str">
        <f aca="false">IF(B456="","",IF(COUNTIFS('MASTER MENU'!$A$5:$A$504,B456)=0,"BELUM ADA",INDEX('MASTER MENU'!$F$5:$F$504,MATCH(B456,'MASTER MENU'!$A$5:$A$504,0))))</f>
        <v/>
      </c>
      <c r="G456" s="0" t="str">
        <f aca="false">IF(A456="","",IF(OR(NOT(ISNUMBER(E456)),NOT(ISNUMBER(F456))),"BELUM LENGKAP",ROUND(E456*F456,0)))</f>
        <v/>
      </c>
      <c r="J456" s="0" t="str">
        <f aca="false">IF(A456="","",IF(NOT(ISNUMBER(G456)),"BELUM LENGKAP",G456-H456-I456))</f>
        <v/>
      </c>
      <c r="L456" s="0" t="str">
        <f aca="false">IF(A456="","",IF(NOT(ISNUMBER(K456)),"ISI SNAPSHOT HPP",ROUND(E456*K456,0)))</f>
        <v/>
      </c>
      <c r="M456" s="0" t="str">
        <f aca="false">IF(A456="","",IF(NOT(ISNUMBER(L456)),"BELUM LENGKAP",J456-L456))</f>
        <v/>
      </c>
      <c r="N456" s="0" t="str">
        <f aca="false">IF(B456="","",IF(COUNTIFS('RESEP DAN HPP'!$A$5:$A$504,B456,'RESEP DAN HPP'!$N$5:$N$504,"LENGKAP")=0,"BELUM LENGKAP",INDEX('RESEP DAN HPP'!$J$5:$J$504,MATCH(B456,'RESEP DAN HPP'!$A$5:$A$504,0))))</f>
        <v/>
      </c>
      <c r="P456" s="0" t="str">
        <f aca="false">IF(A456="","",IF(COUNTIFS('TRANSAKSI PENJUALAN'!$A$5:$A$504,A456)=0,"BELUM ADA",INDEX('TRANSAKSI PENJUALAN'!$B$5:$B$504,MATCH(A456,'TRANSAKSI PENJUALAN'!$A$5:$A$504,0))))</f>
        <v/>
      </c>
      <c r="Q456" s="0" t="str">
        <f aca="false">IF(A456="","",IF(COUNTIFS('TRANSAKSI PENJUALAN'!$A$5:$A$504,A456)=0,"BELUM ADA",INDEX('TRANSAKSI PENJUALAN'!$M$5:$M$504,MATCH(A456,'TRANSAKSI PENJUALAN'!$A$5:$A$504,0))))</f>
        <v/>
      </c>
      <c r="R456" s="24" t="str">
        <f aca="false">IF(A456="","",COUNTIF($A$5:A456,A456))</f>
        <v/>
      </c>
      <c r="S456" s="24" t="str">
        <f aca="false">IF(A456="","",A456&amp;"|"&amp;R456)</f>
        <v/>
      </c>
    </row>
    <row r="457" customFormat="false" ht="15" hidden="false" customHeight="false" outlineLevel="0" collapsed="false">
      <c r="C457" s="0" t="str">
        <f aca="false">IF(B457="","",IF(COUNTIFS('MASTER MENU'!$A$5:$A$504,B457)=0,"BELUM ADA",INDEX('MASTER MENU'!$B$5:$B$504,MATCH(B457,'MASTER MENU'!$A$5:$A$504,0))))</f>
        <v/>
      </c>
      <c r="D457" s="0" t="str">
        <f aca="false">IF(B457="","",IF(COUNTIFS('MASTER MENU'!$A$5:$A$504,B457)=0,"BELUM ADA",INDEX('MASTER MENU'!$E$5:$E$504,MATCH(B457,'MASTER MENU'!$A$5:$A$504,0))))</f>
        <v/>
      </c>
      <c r="F457" s="0" t="str">
        <f aca="false">IF(B457="","",IF(COUNTIFS('MASTER MENU'!$A$5:$A$504,B457)=0,"BELUM ADA",INDEX('MASTER MENU'!$F$5:$F$504,MATCH(B457,'MASTER MENU'!$A$5:$A$504,0))))</f>
        <v/>
      </c>
      <c r="G457" s="0" t="str">
        <f aca="false">IF(A457="","",IF(OR(NOT(ISNUMBER(E457)),NOT(ISNUMBER(F457))),"BELUM LENGKAP",ROUND(E457*F457,0)))</f>
        <v/>
      </c>
      <c r="J457" s="0" t="str">
        <f aca="false">IF(A457="","",IF(NOT(ISNUMBER(G457)),"BELUM LENGKAP",G457-H457-I457))</f>
        <v/>
      </c>
      <c r="L457" s="0" t="str">
        <f aca="false">IF(A457="","",IF(NOT(ISNUMBER(K457)),"ISI SNAPSHOT HPP",ROUND(E457*K457,0)))</f>
        <v/>
      </c>
      <c r="M457" s="0" t="str">
        <f aca="false">IF(A457="","",IF(NOT(ISNUMBER(L457)),"BELUM LENGKAP",J457-L457))</f>
        <v/>
      </c>
      <c r="N457" s="0" t="str">
        <f aca="false">IF(B457="","",IF(COUNTIFS('RESEP DAN HPP'!$A$5:$A$504,B457,'RESEP DAN HPP'!$N$5:$N$504,"LENGKAP")=0,"BELUM LENGKAP",INDEX('RESEP DAN HPP'!$J$5:$J$504,MATCH(B457,'RESEP DAN HPP'!$A$5:$A$504,0))))</f>
        <v/>
      </c>
      <c r="P457" s="0" t="str">
        <f aca="false">IF(A457="","",IF(COUNTIFS('TRANSAKSI PENJUALAN'!$A$5:$A$504,A457)=0,"BELUM ADA",INDEX('TRANSAKSI PENJUALAN'!$B$5:$B$504,MATCH(A457,'TRANSAKSI PENJUALAN'!$A$5:$A$504,0))))</f>
        <v/>
      </c>
      <c r="Q457" s="0" t="str">
        <f aca="false">IF(A457="","",IF(COUNTIFS('TRANSAKSI PENJUALAN'!$A$5:$A$504,A457)=0,"BELUM ADA",INDEX('TRANSAKSI PENJUALAN'!$M$5:$M$504,MATCH(A457,'TRANSAKSI PENJUALAN'!$A$5:$A$504,0))))</f>
        <v/>
      </c>
      <c r="R457" s="24" t="str">
        <f aca="false">IF(A457="","",COUNTIF($A$5:A457,A457))</f>
        <v/>
      </c>
      <c r="S457" s="24" t="str">
        <f aca="false">IF(A457="","",A457&amp;"|"&amp;R457)</f>
        <v/>
      </c>
    </row>
    <row r="458" customFormat="false" ht="15" hidden="false" customHeight="false" outlineLevel="0" collapsed="false">
      <c r="C458" s="0" t="str">
        <f aca="false">IF(B458="","",IF(COUNTIFS('MASTER MENU'!$A$5:$A$504,B458)=0,"BELUM ADA",INDEX('MASTER MENU'!$B$5:$B$504,MATCH(B458,'MASTER MENU'!$A$5:$A$504,0))))</f>
        <v/>
      </c>
      <c r="D458" s="0" t="str">
        <f aca="false">IF(B458="","",IF(COUNTIFS('MASTER MENU'!$A$5:$A$504,B458)=0,"BELUM ADA",INDEX('MASTER MENU'!$E$5:$E$504,MATCH(B458,'MASTER MENU'!$A$5:$A$504,0))))</f>
        <v/>
      </c>
      <c r="F458" s="0" t="str">
        <f aca="false">IF(B458="","",IF(COUNTIFS('MASTER MENU'!$A$5:$A$504,B458)=0,"BELUM ADA",INDEX('MASTER MENU'!$F$5:$F$504,MATCH(B458,'MASTER MENU'!$A$5:$A$504,0))))</f>
        <v/>
      </c>
      <c r="G458" s="0" t="str">
        <f aca="false">IF(A458="","",IF(OR(NOT(ISNUMBER(E458)),NOT(ISNUMBER(F458))),"BELUM LENGKAP",ROUND(E458*F458,0)))</f>
        <v/>
      </c>
      <c r="J458" s="0" t="str">
        <f aca="false">IF(A458="","",IF(NOT(ISNUMBER(G458)),"BELUM LENGKAP",G458-H458-I458))</f>
        <v/>
      </c>
      <c r="L458" s="0" t="str">
        <f aca="false">IF(A458="","",IF(NOT(ISNUMBER(K458)),"ISI SNAPSHOT HPP",ROUND(E458*K458,0)))</f>
        <v/>
      </c>
      <c r="M458" s="0" t="str">
        <f aca="false">IF(A458="","",IF(NOT(ISNUMBER(L458)),"BELUM LENGKAP",J458-L458))</f>
        <v/>
      </c>
      <c r="N458" s="0" t="str">
        <f aca="false">IF(B458="","",IF(COUNTIFS('RESEP DAN HPP'!$A$5:$A$504,B458,'RESEP DAN HPP'!$N$5:$N$504,"LENGKAP")=0,"BELUM LENGKAP",INDEX('RESEP DAN HPP'!$J$5:$J$504,MATCH(B458,'RESEP DAN HPP'!$A$5:$A$504,0))))</f>
        <v/>
      </c>
      <c r="P458" s="0" t="str">
        <f aca="false">IF(A458="","",IF(COUNTIFS('TRANSAKSI PENJUALAN'!$A$5:$A$504,A458)=0,"BELUM ADA",INDEX('TRANSAKSI PENJUALAN'!$B$5:$B$504,MATCH(A458,'TRANSAKSI PENJUALAN'!$A$5:$A$504,0))))</f>
        <v/>
      </c>
      <c r="Q458" s="0" t="str">
        <f aca="false">IF(A458="","",IF(COUNTIFS('TRANSAKSI PENJUALAN'!$A$5:$A$504,A458)=0,"BELUM ADA",INDEX('TRANSAKSI PENJUALAN'!$M$5:$M$504,MATCH(A458,'TRANSAKSI PENJUALAN'!$A$5:$A$504,0))))</f>
        <v/>
      </c>
      <c r="R458" s="24" t="str">
        <f aca="false">IF(A458="","",COUNTIF($A$5:A458,A458))</f>
        <v/>
      </c>
      <c r="S458" s="24" t="str">
        <f aca="false">IF(A458="","",A458&amp;"|"&amp;R458)</f>
        <v/>
      </c>
    </row>
    <row r="459" customFormat="false" ht="15" hidden="false" customHeight="false" outlineLevel="0" collapsed="false">
      <c r="C459" s="0" t="str">
        <f aca="false">IF(B459="","",IF(COUNTIFS('MASTER MENU'!$A$5:$A$504,B459)=0,"BELUM ADA",INDEX('MASTER MENU'!$B$5:$B$504,MATCH(B459,'MASTER MENU'!$A$5:$A$504,0))))</f>
        <v/>
      </c>
      <c r="D459" s="0" t="str">
        <f aca="false">IF(B459="","",IF(COUNTIFS('MASTER MENU'!$A$5:$A$504,B459)=0,"BELUM ADA",INDEX('MASTER MENU'!$E$5:$E$504,MATCH(B459,'MASTER MENU'!$A$5:$A$504,0))))</f>
        <v/>
      </c>
      <c r="F459" s="0" t="str">
        <f aca="false">IF(B459="","",IF(COUNTIFS('MASTER MENU'!$A$5:$A$504,B459)=0,"BELUM ADA",INDEX('MASTER MENU'!$F$5:$F$504,MATCH(B459,'MASTER MENU'!$A$5:$A$504,0))))</f>
        <v/>
      </c>
      <c r="G459" s="0" t="str">
        <f aca="false">IF(A459="","",IF(OR(NOT(ISNUMBER(E459)),NOT(ISNUMBER(F459))),"BELUM LENGKAP",ROUND(E459*F459,0)))</f>
        <v/>
      </c>
      <c r="J459" s="0" t="str">
        <f aca="false">IF(A459="","",IF(NOT(ISNUMBER(G459)),"BELUM LENGKAP",G459-H459-I459))</f>
        <v/>
      </c>
      <c r="L459" s="0" t="str">
        <f aca="false">IF(A459="","",IF(NOT(ISNUMBER(K459)),"ISI SNAPSHOT HPP",ROUND(E459*K459,0)))</f>
        <v/>
      </c>
      <c r="M459" s="0" t="str">
        <f aca="false">IF(A459="","",IF(NOT(ISNUMBER(L459)),"BELUM LENGKAP",J459-L459))</f>
        <v/>
      </c>
      <c r="N459" s="0" t="str">
        <f aca="false">IF(B459="","",IF(COUNTIFS('RESEP DAN HPP'!$A$5:$A$504,B459,'RESEP DAN HPP'!$N$5:$N$504,"LENGKAP")=0,"BELUM LENGKAP",INDEX('RESEP DAN HPP'!$J$5:$J$504,MATCH(B459,'RESEP DAN HPP'!$A$5:$A$504,0))))</f>
        <v/>
      </c>
      <c r="P459" s="0" t="str">
        <f aca="false">IF(A459="","",IF(COUNTIFS('TRANSAKSI PENJUALAN'!$A$5:$A$504,A459)=0,"BELUM ADA",INDEX('TRANSAKSI PENJUALAN'!$B$5:$B$504,MATCH(A459,'TRANSAKSI PENJUALAN'!$A$5:$A$504,0))))</f>
        <v/>
      </c>
      <c r="Q459" s="0" t="str">
        <f aca="false">IF(A459="","",IF(COUNTIFS('TRANSAKSI PENJUALAN'!$A$5:$A$504,A459)=0,"BELUM ADA",INDEX('TRANSAKSI PENJUALAN'!$M$5:$M$504,MATCH(A459,'TRANSAKSI PENJUALAN'!$A$5:$A$504,0))))</f>
        <v/>
      </c>
      <c r="R459" s="24" t="str">
        <f aca="false">IF(A459="","",COUNTIF($A$5:A459,A459))</f>
        <v/>
      </c>
      <c r="S459" s="24" t="str">
        <f aca="false">IF(A459="","",A459&amp;"|"&amp;R459)</f>
        <v/>
      </c>
    </row>
    <row r="460" customFormat="false" ht="15" hidden="false" customHeight="false" outlineLevel="0" collapsed="false">
      <c r="C460" s="0" t="str">
        <f aca="false">IF(B460="","",IF(COUNTIFS('MASTER MENU'!$A$5:$A$504,B460)=0,"BELUM ADA",INDEX('MASTER MENU'!$B$5:$B$504,MATCH(B460,'MASTER MENU'!$A$5:$A$504,0))))</f>
        <v/>
      </c>
      <c r="D460" s="0" t="str">
        <f aca="false">IF(B460="","",IF(COUNTIFS('MASTER MENU'!$A$5:$A$504,B460)=0,"BELUM ADA",INDEX('MASTER MENU'!$E$5:$E$504,MATCH(B460,'MASTER MENU'!$A$5:$A$504,0))))</f>
        <v/>
      </c>
      <c r="F460" s="0" t="str">
        <f aca="false">IF(B460="","",IF(COUNTIFS('MASTER MENU'!$A$5:$A$504,B460)=0,"BELUM ADA",INDEX('MASTER MENU'!$F$5:$F$504,MATCH(B460,'MASTER MENU'!$A$5:$A$504,0))))</f>
        <v/>
      </c>
      <c r="G460" s="0" t="str">
        <f aca="false">IF(A460="","",IF(OR(NOT(ISNUMBER(E460)),NOT(ISNUMBER(F460))),"BELUM LENGKAP",ROUND(E460*F460,0)))</f>
        <v/>
      </c>
      <c r="J460" s="0" t="str">
        <f aca="false">IF(A460="","",IF(NOT(ISNUMBER(G460)),"BELUM LENGKAP",G460-H460-I460))</f>
        <v/>
      </c>
      <c r="L460" s="0" t="str">
        <f aca="false">IF(A460="","",IF(NOT(ISNUMBER(K460)),"ISI SNAPSHOT HPP",ROUND(E460*K460,0)))</f>
        <v/>
      </c>
      <c r="M460" s="0" t="str">
        <f aca="false">IF(A460="","",IF(NOT(ISNUMBER(L460)),"BELUM LENGKAP",J460-L460))</f>
        <v/>
      </c>
      <c r="N460" s="0" t="str">
        <f aca="false">IF(B460="","",IF(COUNTIFS('RESEP DAN HPP'!$A$5:$A$504,B460,'RESEP DAN HPP'!$N$5:$N$504,"LENGKAP")=0,"BELUM LENGKAP",INDEX('RESEP DAN HPP'!$J$5:$J$504,MATCH(B460,'RESEP DAN HPP'!$A$5:$A$504,0))))</f>
        <v/>
      </c>
      <c r="P460" s="0" t="str">
        <f aca="false">IF(A460="","",IF(COUNTIFS('TRANSAKSI PENJUALAN'!$A$5:$A$504,A460)=0,"BELUM ADA",INDEX('TRANSAKSI PENJUALAN'!$B$5:$B$504,MATCH(A460,'TRANSAKSI PENJUALAN'!$A$5:$A$504,0))))</f>
        <v/>
      </c>
      <c r="Q460" s="0" t="str">
        <f aca="false">IF(A460="","",IF(COUNTIFS('TRANSAKSI PENJUALAN'!$A$5:$A$504,A460)=0,"BELUM ADA",INDEX('TRANSAKSI PENJUALAN'!$M$5:$M$504,MATCH(A460,'TRANSAKSI PENJUALAN'!$A$5:$A$504,0))))</f>
        <v/>
      </c>
      <c r="R460" s="24" t="str">
        <f aca="false">IF(A460="","",COUNTIF($A$5:A460,A460))</f>
        <v/>
      </c>
      <c r="S460" s="24" t="str">
        <f aca="false">IF(A460="","",A460&amp;"|"&amp;R460)</f>
        <v/>
      </c>
    </row>
    <row r="461" customFormat="false" ht="15" hidden="false" customHeight="false" outlineLevel="0" collapsed="false">
      <c r="C461" s="0" t="str">
        <f aca="false">IF(B461="","",IF(COUNTIFS('MASTER MENU'!$A$5:$A$504,B461)=0,"BELUM ADA",INDEX('MASTER MENU'!$B$5:$B$504,MATCH(B461,'MASTER MENU'!$A$5:$A$504,0))))</f>
        <v/>
      </c>
      <c r="D461" s="0" t="str">
        <f aca="false">IF(B461="","",IF(COUNTIFS('MASTER MENU'!$A$5:$A$504,B461)=0,"BELUM ADA",INDEX('MASTER MENU'!$E$5:$E$504,MATCH(B461,'MASTER MENU'!$A$5:$A$504,0))))</f>
        <v/>
      </c>
      <c r="F461" s="0" t="str">
        <f aca="false">IF(B461="","",IF(COUNTIFS('MASTER MENU'!$A$5:$A$504,B461)=0,"BELUM ADA",INDEX('MASTER MENU'!$F$5:$F$504,MATCH(B461,'MASTER MENU'!$A$5:$A$504,0))))</f>
        <v/>
      </c>
      <c r="G461" s="0" t="str">
        <f aca="false">IF(A461="","",IF(OR(NOT(ISNUMBER(E461)),NOT(ISNUMBER(F461))),"BELUM LENGKAP",ROUND(E461*F461,0)))</f>
        <v/>
      </c>
      <c r="J461" s="0" t="str">
        <f aca="false">IF(A461="","",IF(NOT(ISNUMBER(G461)),"BELUM LENGKAP",G461-H461-I461))</f>
        <v/>
      </c>
      <c r="L461" s="0" t="str">
        <f aca="false">IF(A461="","",IF(NOT(ISNUMBER(K461)),"ISI SNAPSHOT HPP",ROUND(E461*K461,0)))</f>
        <v/>
      </c>
      <c r="M461" s="0" t="str">
        <f aca="false">IF(A461="","",IF(NOT(ISNUMBER(L461)),"BELUM LENGKAP",J461-L461))</f>
        <v/>
      </c>
      <c r="N461" s="0" t="str">
        <f aca="false">IF(B461="","",IF(COUNTIFS('RESEP DAN HPP'!$A$5:$A$504,B461,'RESEP DAN HPP'!$N$5:$N$504,"LENGKAP")=0,"BELUM LENGKAP",INDEX('RESEP DAN HPP'!$J$5:$J$504,MATCH(B461,'RESEP DAN HPP'!$A$5:$A$504,0))))</f>
        <v/>
      </c>
      <c r="P461" s="0" t="str">
        <f aca="false">IF(A461="","",IF(COUNTIFS('TRANSAKSI PENJUALAN'!$A$5:$A$504,A461)=0,"BELUM ADA",INDEX('TRANSAKSI PENJUALAN'!$B$5:$B$504,MATCH(A461,'TRANSAKSI PENJUALAN'!$A$5:$A$504,0))))</f>
        <v/>
      </c>
      <c r="Q461" s="0" t="str">
        <f aca="false">IF(A461="","",IF(COUNTIFS('TRANSAKSI PENJUALAN'!$A$5:$A$504,A461)=0,"BELUM ADA",INDEX('TRANSAKSI PENJUALAN'!$M$5:$M$504,MATCH(A461,'TRANSAKSI PENJUALAN'!$A$5:$A$504,0))))</f>
        <v/>
      </c>
      <c r="R461" s="24" t="str">
        <f aca="false">IF(A461="","",COUNTIF($A$5:A461,A461))</f>
        <v/>
      </c>
      <c r="S461" s="24" t="str">
        <f aca="false">IF(A461="","",A461&amp;"|"&amp;R461)</f>
        <v/>
      </c>
    </row>
    <row r="462" customFormat="false" ht="15" hidden="false" customHeight="false" outlineLevel="0" collapsed="false">
      <c r="C462" s="0" t="str">
        <f aca="false">IF(B462="","",IF(COUNTIFS('MASTER MENU'!$A$5:$A$504,B462)=0,"BELUM ADA",INDEX('MASTER MENU'!$B$5:$B$504,MATCH(B462,'MASTER MENU'!$A$5:$A$504,0))))</f>
        <v/>
      </c>
      <c r="D462" s="0" t="str">
        <f aca="false">IF(B462="","",IF(COUNTIFS('MASTER MENU'!$A$5:$A$504,B462)=0,"BELUM ADA",INDEX('MASTER MENU'!$E$5:$E$504,MATCH(B462,'MASTER MENU'!$A$5:$A$504,0))))</f>
        <v/>
      </c>
      <c r="F462" s="0" t="str">
        <f aca="false">IF(B462="","",IF(COUNTIFS('MASTER MENU'!$A$5:$A$504,B462)=0,"BELUM ADA",INDEX('MASTER MENU'!$F$5:$F$504,MATCH(B462,'MASTER MENU'!$A$5:$A$504,0))))</f>
        <v/>
      </c>
      <c r="G462" s="0" t="str">
        <f aca="false">IF(A462="","",IF(OR(NOT(ISNUMBER(E462)),NOT(ISNUMBER(F462))),"BELUM LENGKAP",ROUND(E462*F462,0)))</f>
        <v/>
      </c>
      <c r="J462" s="0" t="str">
        <f aca="false">IF(A462="","",IF(NOT(ISNUMBER(G462)),"BELUM LENGKAP",G462-H462-I462))</f>
        <v/>
      </c>
      <c r="L462" s="0" t="str">
        <f aca="false">IF(A462="","",IF(NOT(ISNUMBER(K462)),"ISI SNAPSHOT HPP",ROUND(E462*K462,0)))</f>
        <v/>
      </c>
      <c r="M462" s="0" t="str">
        <f aca="false">IF(A462="","",IF(NOT(ISNUMBER(L462)),"BELUM LENGKAP",J462-L462))</f>
        <v/>
      </c>
      <c r="N462" s="0" t="str">
        <f aca="false">IF(B462="","",IF(COUNTIFS('RESEP DAN HPP'!$A$5:$A$504,B462,'RESEP DAN HPP'!$N$5:$N$504,"LENGKAP")=0,"BELUM LENGKAP",INDEX('RESEP DAN HPP'!$J$5:$J$504,MATCH(B462,'RESEP DAN HPP'!$A$5:$A$504,0))))</f>
        <v/>
      </c>
      <c r="P462" s="0" t="str">
        <f aca="false">IF(A462="","",IF(COUNTIFS('TRANSAKSI PENJUALAN'!$A$5:$A$504,A462)=0,"BELUM ADA",INDEX('TRANSAKSI PENJUALAN'!$B$5:$B$504,MATCH(A462,'TRANSAKSI PENJUALAN'!$A$5:$A$504,0))))</f>
        <v/>
      </c>
      <c r="Q462" s="0" t="str">
        <f aca="false">IF(A462="","",IF(COUNTIFS('TRANSAKSI PENJUALAN'!$A$5:$A$504,A462)=0,"BELUM ADA",INDEX('TRANSAKSI PENJUALAN'!$M$5:$M$504,MATCH(A462,'TRANSAKSI PENJUALAN'!$A$5:$A$504,0))))</f>
        <v/>
      </c>
      <c r="R462" s="24" t="str">
        <f aca="false">IF(A462="","",COUNTIF($A$5:A462,A462))</f>
        <v/>
      </c>
      <c r="S462" s="24" t="str">
        <f aca="false">IF(A462="","",A462&amp;"|"&amp;R462)</f>
        <v/>
      </c>
    </row>
    <row r="463" customFormat="false" ht="15" hidden="false" customHeight="false" outlineLevel="0" collapsed="false">
      <c r="C463" s="0" t="str">
        <f aca="false">IF(B463="","",IF(COUNTIFS('MASTER MENU'!$A$5:$A$504,B463)=0,"BELUM ADA",INDEX('MASTER MENU'!$B$5:$B$504,MATCH(B463,'MASTER MENU'!$A$5:$A$504,0))))</f>
        <v/>
      </c>
      <c r="D463" s="0" t="str">
        <f aca="false">IF(B463="","",IF(COUNTIFS('MASTER MENU'!$A$5:$A$504,B463)=0,"BELUM ADA",INDEX('MASTER MENU'!$E$5:$E$504,MATCH(B463,'MASTER MENU'!$A$5:$A$504,0))))</f>
        <v/>
      </c>
      <c r="F463" s="0" t="str">
        <f aca="false">IF(B463="","",IF(COUNTIFS('MASTER MENU'!$A$5:$A$504,B463)=0,"BELUM ADA",INDEX('MASTER MENU'!$F$5:$F$504,MATCH(B463,'MASTER MENU'!$A$5:$A$504,0))))</f>
        <v/>
      </c>
      <c r="G463" s="0" t="str">
        <f aca="false">IF(A463="","",IF(OR(NOT(ISNUMBER(E463)),NOT(ISNUMBER(F463))),"BELUM LENGKAP",ROUND(E463*F463,0)))</f>
        <v/>
      </c>
      <c r="J463" s="0" t="str">
        <f aca="false">IF(A463="","",IF(NOT(ISNUMBER(G463)),"BELUM LENGKAP",G463-H463-I463))</f>
        <v/>
      </c>
      <c r="L463" s="0" t="str">
        <f aca="false">IF(A463="","",IF(NOT(ISNUMBER(K463)),"ISI SNAPSHOT HPP",ROUND(E463*K463,0)))</f>
        <v/>
      </c>
      <c r="M463" s="0" t="str">
        <f aca="false">IF(A463="","",IF(NOT(ISNUMBER(L463)),"BELUM LENGKAP",J463-L463))</f>
        <v/>
      </c>
      <c r="N463" s="0" t="str">
        <f aca="false">IF(B463="","",IF(COUNTIFS('RESEP DAN HPP'!$A$5:$A$504,B463,'RESEP DAN HPP'!$N$5:$N$504,"LENGKAP")=0,"BELUM LENGKAP",INDEX('RESEP DAN HPP'!$J$5:$J$504,MATCH(B463,'RESEP DAN HPP'!$A$5:$A$504,0))))</f>
        <v/>
      </c>
      <c r="P463" s="0" t="str">
        <f aca="false">IF(A463="","",IF(COUNTIFS('TRANSAKSI PENJUALAN'!$A$5:$A$504,A463)=0,"BELUM ADA",INDEX('TRANSAKSI PENJUALAN'!$B$5:$B$504,MATCH(A463,'TRANSAKSI PENJUALAN'!$A$5:$A$504,0))))</f>
        <v/>
      </c>
      <c r="Q463" s="0" t="str">
        <f aca="false">IF(A463="","",IF(COUNTIFS('TRANSAKSI PENJUALAN'!$A$5:$A$504,A463)=0,"BELUM ADA",INDEX('TRANSAKSI PENJUALAN'!$M$5:$M$504,MATCH(A463,'TRANSAKSI PENJUALAN'!$A$5:$A$504,0))))</f>
        <v/>
      </c>
      <c r="R463" s="24" t="str">
        <f aca="false">IF(A463="","",COUNTIF($A$5:A463,A463))</f>
        <v/>
      </c>
      <c r="S463" s="24" t="str">
        <f aca="false">IF(A463="","",A463&amp;"|"&amp;R463)</f>
        <v/>
      </c>
    </row>
    <row r="464" customFormat="false" ht="15" hidden="false" customHeight="false" outlineLevel="0" collapsed="false">
      <c r="C464" s="0" t="str">
        <f aca="false">IF(B464="","",IF(COUNTIFS('MASTER MENU'!$A$5:$A$504,B464)=0,"BELUM ADA",INDEX('MASTER MENU'!$B$5:$B$504,MATCH(B464,'MASTER MENU'!$A$5:$A$504,0))))</f>
        <v/>
      </c>
      <c r="D464" s="0" t="str">
        <f aca="false">IF(B464="","",IF(COUNTIFS('MASTER MENU'!$A$5:$A$504,B464)=0,"BELUM ADA",INDEX('MASTER MENU'!$E$5:$E$504,MATCH(B464,'MASTER MENU'!$A$5:$A$504,0))))</f>
        <v/>
      </c>
      <c r="F464" s="0" t="str">
        <f aca="false">IF(B464="","",IF(COUNTIFS('MASTER MENU'!$A$5:$A$504,B464)=0,"BELUM ADA",INDEX('MASTER MENU'!$F$5:$F$504,MATCH(B464,'MASTER MENU'!$A$5:$A$504,0))))</f>
        <v/>
      </c>
      <c r="G464" s="0" t="str">
        <f aca="false">IF(A464="","",IF(OR(NOT(ISNUMBER(E464)),NOT(ISNUMBER(F464))),"BELUM LENGKAP",ROUND(E464*F464,0)))</f>
        <v/>
      </c>
      <c r="J464" s="0" t="str">
        <f aca="false">IF(A464="","",IF(NOT(ISNUMBER(G464)),"BELUM LENGKAP",G464-H464-I464))</f>
        <v/>
      </c>
      <c r="L464" s="0" t="str">
        <f aca="false">IF(A464="","",IF(NOT(ISNUMBER(K464)),"ISI SNAPSHOT HPP",ROUND(E464*K464,0)))</f>
        <v/>
      </c>
      <c r="M464" s="0" t="str">
        <f aca="false">IF(A464="","",IF(NOT(ISNUMBER(L464)),"BELUM LENGKAP",J464-L464))</f>
        <v/>
      </c>
      <c r="N464" s="0" t="str">
        <f aca="false">IF(B464="","",IF(COUNTIFS('RESEP DAN HPP'!$A$5:$A$504,B464,'RESEP DAN HPP'!$N$5:$N$504,"LENGKAP")=0,"BELUM LENGKAP",INDEX('RESEP DAN HPP'!$J$5:$J$504,MATCH(B464,'RESEP DAN HPP'!$A$5:$A$504,0))))</f>
        <v/>
      </c>
      <c r="P464" s="0" t="str">
        <f aca="false">IF(A464="","",IF(COUNTIFS('TRANSAKSI PENJUALAN'!$A$5:$A$504,A464)=0,"BELUM ADA",INDEX('TRANSAKSI PENJUALAN'!$B$5:$B$504,MATCH(A464,'TRANSAKSI PENJUALAN'!$A$5:$A$504,0))))</f>
        <v/>
      </c>
      <c r="Q464" s="0" t="str">
        <f aca="false">IF(A464="","",IF(COUNTIFS('TRANSAKSI PENJUALAN'!$A$5:$A$504,A464)=0,"BELUM ADA",INDEX('TRANSAKSI PENJUALAN'!$M$5:$M$504,MATCH(A464,'TRANSAKSI PENJUALAN'!$A$5:$A$504,0))))</f>
        <v/>
      </c>
      <c r="R464" s="24" t="str">
        <f aca="false">IF(A464="","",COUNTIF($A$5:A464,A464))</f>
        <v/>
      </c>
      <c r="S464" s="24" t="str">
        <f aca="false">IF(A464="","",A464&amp;"|"&amp;R464)</f>
        <v/>
      </c>
    </row>
    <row r="465" customFormat="false" ht="15" hidden="false" customHeight="false" outlineLevel="0" collapsed="false">
      <c r="C465" s="0" t="str">
        <f aca="false">IF(B465="","",IF(COUNTIFS('MASTER MENU'!$A$5:$A$504,B465)=0,"BELUM ADA",INDEX('MASTER MENU'!$B$5:$B$504,MATCH(B465,'MASTER MENU'!$A$5:$A$504,0))))</f>
        <v/>
      </c>
      <c r="D465" s="0" t="str">
        <f aca="false">IF(B465="","",IF(COUNTIFS('MASTER MENU'!$A$5:$A$504,B465)=0,"BELUM ADA",INDEX('MASTER MENU'!$E$5:$E$504,MATCH(B465,'MASTER MENU'!$A$5:$A$504,0))))</f>
        <v/>
      </c>
      <c r="F465" s="0" t="str">
        <f aca="false">IF(B465="","",IF(COUNTIFS('MASTER MENU'!$A$5:$A$504,B465)=0,"BELUM ADA",INDEX('MASTER MENU'!$F$5:$F$504,MATCH(B465,'MASTER MENU'!$A$5:$A$504,0))))</f>
        <v/>
      </c>
      <c r="G465" s="0" t="str">
        <f aca="false">IF(A465="","",IF(OR(NOT(ISNUMBER(E465)),NOT(ISNUMBER(F465))),"BELUM LENGKAP",ROUND(E465*F465,0)))</f>
        <v/>
      </c>
      <c r="J465" s="0" t="str">
        <f aca="false">IF(A465="","",IF(NOT(ISNUMBER(G465)),"BELUM LENGKAP",G465-H465-I465))</f>
        <v/>
      </c>
      <c r="L465" s="0" t="str">
        <f aca="false">IF(A465="","",IF(NOT(ISNUMBER(K465)),"ISI SNAPSHOT HPP",ROUND(E465*K465,0)))</f>
        <v/>
      </c>
      <c r="M465" s="0" t="str">
        <f aca="false">IF(A465="","",IF(NOT(ISNUMBER(L465)),"BELUM LENGKAP",J465-L465))</f>
        <v/>
      </c>
      <c r="N465" s="0" t="str">
        <f aca="false">IF(B465="","",IF(COUNTIFS('RESEP DAN HPP'!$A$5:$A$504,B465,'RESEP DAN HPP'!$N$5:$N$504,"LENGKAP")=0,"BELUM LENGKAP",INDEX('RESEP DAN HPP'!$J$5:$J$504,MATCH(B465,'RESEP DAN HPP'!$A$5:$A$504,0))))</f>
        <v/>
      </c>
      <c r="P465" s="0" t="str">
        <f aca="false">IF(A465="","",IF(COUNTIFS('TRANSAKSI PENJUALAN'!$A$5:$A$504,A465)=0,"BELUM ADA",INDEX('TRANSAKSI PENJUALAN'!$B$5:$B$504,MATCH(A465,'TRANSAKSI PENJUALAN'!$A$5:$A$504,0))))</f>
        <v/>
      </c>
      <c r="Q465" s="0" t="str">
        <f aca="false">IF(A465="","",IF(COUNTIFS('TRANSAKSI PENJUALAN'!$A$5:$A$504,A465)=0,"BELUM ADA",INDEX('TRANSAKSI PENJUALAN'!$M$5:$M$504,MATCH(A465,'TRANSAKSI PENJUALAN'!$A$5:$A$504,0))))</f>
        <v/>
      </c>
      <c r="R465" s="24" t="str">
        <f aca="false">IF(A465="","",COUNTIF($A$5:A465,A465))</f>
        <v/>
      </c>
      <c r="S465" s="24" t="str">
        <f aca="false">IF(A465="","",A465&amp;"|"&amp;R465)</f>
        <v/>
      </c>
    </row>
    <row r="466" customFormat="false" ht="15" hidden="false" customHeight="false" outlineLevel="0" collapsed="false">
      <c r="C466" s="0" t="str">
        <f aca="false">IF(B466="","",IF(COUNTIFS('MASTER MENU'!$A$5:$A$504,B466)=0,"BELUM ADA",INDEX('MASTER MENU'!$B$5:$B$504,MATCH(B466,'MASTER MENU'!$A$5:$A$504,0))))</f>
        <v/>
      </c>
      <c r="D466" s="0" t="str">
        <f aca="false">IF(B466="","",IF(COUNTIFS('MASTER MENU'!$A$5:$A$504,B466)=0,"BELUM ADA",INDEX('MASTER MENU'!$E$5:$E$504,MATCH(B466,'MASTER MENU'!$A$5:$A$504,0))))</f>
        <v/>
      </c>
      <c r="F466" s="0" t="str">
        <f aca="false">IF(B466="","",IF(COUNTIFS('MASTER MENU'!$A$5:$A$504,B466)=0,"BELUM ADA",INDEX('MASTER MENU'!$F$5:$F$504,MATCH(B466,'MASTER MENU'!$A$5:$A$504,0))))</f>
        <v/>
      </c>
      <c r="G466" s="0" t="str">
        <f aca="false">IF(A466="","",IF(OR(NOT(ISNUMBER(E466)),NOT(ISNUMBER(F466))),"BELUM LENGKAP",ROUND(E466*F466,0)))</f>
        <v/>
      </c>
      <c r="J466" s="0" t="str">
        <f aca="false">IF(A466="","",IF(NOT(ISNUMBER(G466)),"BELUM LENGKAP",G466-H466-I466))</f>
        <v/>
      </c>
      <c r="L466" s="0" t="str">
        <f aca="false">IF(A466="","",IF(NOT(ISNUMBER(K466)),"ISI SNAPSHOT HPP",ROUND(E466*K466,0)))</f>
        <v/>
      </c>
      <c r="M466" s="0" t="str">
        <f aca="false">IF(A466="","",IF(NOT(ISNUMBER(L466)),"BELUM LENGKAP",J466-L466))</f>
        <v/>
      </c>
      <c r="N466" s="0" t="str">
        <f aca="false">IF(B466="","",IF(COUNTIFS('RESEP DAN HPP'!$A$5:$A$504,B466,'RESEP DAN HPP'!$N$5:$N$504,"LENGKAP")=0,"BELUM LENGKAP",INDEX('RESEP DAN HPP'!$J$5:$J$504,MATCH(B466,'RESEP DAN HPP'!$A$5:$A$504,0))))</f>
        <v/>
      </c>
      <c r="P466" s="0" t="str">
        <f aca="false">IF(A466="","",IF(COUNTIFS('TRANSAKSI PENJUALAN'!$A$5:$A$504,A466)=0,"BELUM ADA",INDEX('TRANSAKSI PENJUALAN'!$B$5:$B$504,MATCH(A466,'TRANSAKSI PENJUALAN'!$A$5:$A$504,0))))</f>
        <v/>
      </c>
      <c r="Q466" s="0" t="str">
        <f aca="false">IF(A466="","",IF(COUNTIFS('TRANSAKSI PENJUALAN'!$A$5:$A$504,A466)=0,"BELUM ADA",INDEX('TRANSAKSI PENJUALAN'!$M$5:$M$504,MATCH(A466,'TRANSAKSI PENJUALAN'!$A$5:$A$504,0))))</f>
        <v/>
      </c>
      <c r="R466" s="24" t="str">
        <f aca="false">IF(A466="","",COUNTIF($A$5:A466,A466))</f>
        <v/>
      </c>
      <c r="S466" s="24" t="str">
        <f aca="false">IF(A466="","",A466&amp;"|"&amp;R466)</f>
        <v/>
      </c>
    </row>
    <row r="467" customFormat="false" ht="15" hidden="false" customHeight="false" outlineLevel="0" collapsed="false">
      <c r="C467" s="0" t="str">
        <f aca="false">IF(B467="","",IF(COUNTIFS('MASTER MENU'!$A$5:$A$504,B467)=0,"BELUM ADA",INDEX('MASTER MENU'!$B$5:$B$504,MATCH(B467,'MASTER MENU'!$A$5:$A$504,0))))</f>
        <v/>
      </c>
      <c r="D467" s="0" t="str">
        <f aca="false">IF(B467="","",IF(COUNTIFS('MASTER MENU'!$A$5:$A$504,B467)=0,"BELUM ADA",INDEX('MASTER MENU'!$E$5:$E$504,MATCH(B467,'MASTER MENU'!$A$5:$A$504,0))))</f>
        <v/>
      </c>
      <c r="F467" s="0" t="str">
        <f aca="false">IF(B467="","",IF(COUNTIFS('MASTER MENU'!$A$5:$A$504,B467)=0,"BELUM ADA",INDEX('MASTER MENU'!$F$5:$F$504,MATCH(B467,'MASTER MENU'!$A$5:$A$504,0))))</f>
        <v/>
      </c>
      <c r="G467" s="0" t="str">
        <f aca="false">IF(A467="","",IF(OR(NOT(ISNUMBER(E467)),NOT(ISNUMBER(F467))),"BELUM LENGKAP",ROUND(E467*F467,0)))</f>
        <v/>
      </c>
      <c r="J467" s="0" t="str">
        <f aca="false">IF(A467="","",IF(NOT(ISNUMBER(G467)),"BELUM LENGKAP",G467-H467-I467))</f>
        <v/>
      </c>
      <c r="L467" s="0" t="str">
        <f aca="false">IF(A467="","",IF(NOT(ISNUMBER(K467)),"ISI SNAPSHOT HPP",ROUND(E467*K467,0)))</f>
        <v/>
      </c>
      <c r="M467" s="0" t="str">
        <f aca="false">IF(A467="","",IF(NOT(ISNUMBER(L467)),"BELUM LENGKAP",J467-L467))</f>
        <v/>
      </c>
      <c r="N467" s="0" t="str">
        <f aca="false">IF(B467="","",IF(COUNTIFS('RESEP DAN HPP'!$A$5:$A$504,B467,'RESEP DAN HPP'!$N$5:$N$504,"LENGKAP")=0,"BELUM LENGKAP",INDEX('RESEP DAN HPP'!$J$5:$J$504,MATCH(B467,'RESEP DAN HPP'!$A$5:$A$504,0))))</f>
        <v/>
      </c>
      <c r="P467" s="0" t="str">
        <f aca="false">IF(A467="","",IF(COUNTIFS('TRANSAKSI PENJUALAN'!$A$5:$A$504,A467)=0,"BELUM ADA",INDEX('TRANSAKSI PENJUALAN'!$B$5:$B$504,MATCH(A467,'TRANSAKSI PENJUALAN'!$A$5:$A$504,0))))</f>
        <v/>
      </c>
      <c r="Q467" s="0" t="str">
        <f aca="false">IF(A467="","",IF(COUNTIFS('TRANSAKSI PENJUALAN'!$A$5:$A$504,A467)=0,"BELUM ADA",INDEX('TRANSAKSI PENJUALAN'!$M$5:$M$504,MATCH(A467,'TRANSAKSI PENJUALAN'!$A$5:$A$504,0))))</f>
        <v/>
      </c>
      <c r="R467" s="24" t="str">
        <f aca="false">IF(A467="","",COUNTIF($A$5:A467,A467))</f>
        <v/>
      </c>
      <c r="S467" s="24" t="str">
        <f aca="false">IF(A467="","",A467&amp;"|"&amp;R467)</f>
        <v/>
      </c>
    </row>
    <row r="468" customFormat="false" ht="15" hidden="false" customHeight="false" outlineLevel="0" collapsed="false">
      <c r="C468" s="0" t="str">
        <f aca="false">IF(B468="","",IF(COUNTIFS('MASTER MENU'!$A$5:$A$504,B468)=0,"BELUM ADA",INDEX('MASTER MENU'!$B$5:$B$504,MATCH(B468,'MASTER MENU'!$A$5:$A$504,0))))</f>
        <v/>
      </c>
      <c r="D468" s="0" t="str">
        <f aca="false">IF(B468="","",IF(COUNTIFS('MASTER MENU'!$A$5:$A$504,B468)=0,"BELUM ADA",INDEX('MASTER MENU'!$E$5:$E$504,MATCH(B468,'MASTER MENU'!$A$5:$A$504,0))))</f>
        <v/>
      </c>
      <c r="F468" s="0" t="str">
        <f aca="false">IF(B468="","",IF(COUNTIFS('MASTER MENU'!$A$5:$A$504,B468)=0,"BELUM ADA",INDEX('MASTER MENU'!$F$5:$F$504,MATCH(B468,'MASTER MENU'!$A$5:$A$504,0))))</f>
        <v/>
      </c>
      <c r="G468" s="0" t="str">
        <f aca="false">IF(A468="","",IF(OR(NOT(ISNUMBER(E468)),NOT(ISNUMBER(F468))),"BELUM LENGKAP",ROUND(E468*F468,0)))</f>
        <v/>
      </c>
      <c r="J468" s="0" t="str">
        <f aca="false">IF(A468="","",IF(NOT(ISNUMBER(G468)),"BELUM LENGKAP",G468-H468-I468))</f>
        <v/>
      </c>
      <c r="L468" s="0" t="str">
        <f aca="false">IF(A468="","",IF(NOT(ISNUMBER(K468)),"ISI SNAPSHOT HPP",ROUND(E468*K468,0)))</f>
        <v/>
      </c>
      <c r="M468" s="0" t="str">
        <f aca="false">IF(A468="","",IF(NOT(ISNUMBER(L468)),"BELUM LENGKAP",J468-L468))</f>
        <v/>
      </c>
      <c r="N468" s="0" t="str">
        <f aca="false">IF(B468="","",IF(COUNTIFS('RESEP DAN HPP'!$A$5:$A$504,B468,'RESEP DAN HPP'!$N$5:$N$504,"LENGKAP")=0,"BELUM LENGKAP",INDEX('RESEP DAN HPP'!$J$5:$J$504,MATCH(B468,'RESEP DAN HPP'!$A$5:$A$504,0))))</f>
        <v/>
      </c>
      <c r="P468" s="0" t="str">
        <f aca="false">IF(A468="","",IF(COUNTIFS('TRANSAKSI PENJUALAN'!$A$5:$A$504,A468)=0,"BELUM ADA",INDEX('TRANSAKSI PENJUALAN'!$B$5:$B$504,MATCH(A468,'TRANSAKSI PENJUALAN'!$A$5:$A$504,0))))</f>
        <v/>
      </c>
      <c r="Q468" s="0" t="str">
        <f aca="false">IF(A468="","",IF(COUNTIFS('TRANSAKSI PENJUALAN'!$A$5:$A$504,A468)=0,"BELUM ADA",INDEX('TRANSAKSI PENJUALAN'!$M$5:$M$504,MATCH(A468,'TRANSAKSI PENJUALAN'!$A$5:$A$504,0))))</f>
        <v/>
      </c>
      <c r="R468" s="24" t="str">
        <f aca="false">IF(A468="","",COUNTIF($A$5:A468,A468))</f>
        <v/>
      </c>
      <c r="S468" s="24" t="str">
        <f aca="false">IF(A468="","",A468&amp;"|"&amp;R468)</f>
        <v/>
      </c>
    </row>
    <row r="469" customFormat="false" ht="15" hidden="false" customHeight="false" outlineLevel="0" collapsed="false">
      <c r="C469" s="0" t="str">
        <f aca="false">IF(B469="","",IF(COUNTIFS('MASTER MENU'!$A$5:$A$504,B469)=0,"BELUM ADA",INDEX('MASTER MENU'!$B$5:$B$504,MATCH(B469,'MASTER MENU'!$A$5:$A$504,0))))</f>
        <v/>
      </c>
      <c r="D469" s="0" t="str">
        <f aca="false">IF(B469="","",IF(COUNTIFS('MASTER MENU'!$A$5:$A$504,B469)=0,"BELUM ADA",INDEX('MASTER MENU'!$E$5:$E$504,MATCH(B469,'MASTER MENU'!$A$5:$A$504,0))))</f>
        <v/>
      </c>
      <c r="F469" s="0" t="str">
        <f aca="false">IF(B469="","",IF(COUNTIFS('MASTER MENU'!$A$5:$A$504,B469)=0,"BELUM ADA",INDEX('MASTER MENU'!$F$5:$F$504,MATCH(B469,'MASTER MENU'!$A$5:$A$504,0))))</f>
        <v/>
      </c>
      <c r="G469" s="0" t="str">
        <f aca="false">IF(A469="","",IF(OR(NOT(ISNUMBER(E469)),NOT(ISNUMBER(F469))),"BELUM LENGKAP",ROUND(E469*F469,0)))</f>
        <v/>
      </c>
      <c r="J469" s="0" t="str">
        <f aca="false">IF(A469="","",IF(NOT(ISNUMBER(G469)),"BELUM LENGKAP",G469-H469-I469))</f>
        <v/>
      </c>
      <c r="L469" s="0" t="str">
        <f aca="false">IF(A469="","",IF(NOT(ISNUMBER(K469)),"ISI SNAPSHOT HPP",ROUND(E469*K469,0)))</f>
        <v/>
      </c>
      <c r="M469" s="0" t="str">
        <f aca="false">IF(A469="","",IF(NOT(ISNUMBER(L469)),"BELUM LENGKAP",J469-L469))</f>
        <v/>
      </c>
      <c r="N469" s="0" t="str">
        <f aca="false">IF(B469="","",IF(COUNTIFS('RESEP DAN HPP'!$A$5:$A$504,B469,'RESEP DAN HPP'!$N$5:$N$504,"LENGKAP")=0,"BELUM LENGKAP",INDEX('RESEP DAN HPP'!$J$5:$J$504,MATCH(B469,'RESEP DAN HPP'!$A$5:$A$504,0))))</f>
        <v/>
      </c>
      <c r="P469" s="0" t="str">
        <f aca="false">IF(A469="","",IF(COUNTIFS('TRANSAKSI PENJUALAN'!$A$5:$A$504,A469)=0,"BELUM ADA",INDEX('TRANSAKSI PENJUALAN'!$B$5:$B$504,MATCH(A469,'TRANSAKSI PENJUALAN'!$A$5:$A$504,0))))</f>
        <v/>
      </c>
      <c r="Q469" s="0" t="str">
        <f aca="false">IF(A469="","",IF(COUNTIFS('TRANSAKSI PENJUALAN'!$A$5:$A$504,A469)=0,"BELUM ADA",INDEX('TRANSAKSI PENJUALAN'!$M$5:$M$504,MATCH(A469,'TRANSAKSI PENJUALAN'!$A$5:$A$504,0))))</f>
        <v/>
      </c>
      <c r="R469" s="24" t="str">
        <f aca="false">IF(A469="","",COUNTIF($A$5:A469,A469))</f>
        <v/>
      </c>
      <c r="S469" s="24" t="str">
        <f aca="false">IF(A469="","",A469&amp;"|"&amp;R469)</f>
        <v/>
      </c>
    </row>
    <row r="470" customFormat="false" ht="15" hidden="false" customHeight="false" outlineLevel="0" collapsed="false">
      <c r="C470" s="0" t="str">
        <f aca="false">IF(B470="","",IF(COUNTIFS('MASTER MENU'!$A$5:$A$504,B470)=0,"BELUM ADA",INDEX('MASTER MENU'!$B$5:$B$504,MATCH(B470,'MASTER MENU'!$A$5:$A$504,0))))</f>
        <v/>
      </c>
      <c r="D470" s="0" t="str">
        <f aca="false">IF(B470="","",IF(COUNTIFS('MASTER MENU'!$A$5:$A$504,B470)=0,"BELUM ADA",INDEX('MASTER MENU'!$E$5:$E$504,MATCH(B470,'MASTER MENU'!$A$5:$A$504,0))))</f>
        <v/>
      </c>
      <c r="F470" s="0" t="str">
        <f aca="false">IF(B470="","",IF(COUNTIFS('MASTER MENU'!$A$5:$A$504,B470)=0,"BELUM ADA",INDEX('MASTER MENU'!$F$5:$F$504,MATCH(B470,'MASTER MENU'!$A$5:$A$504,0))))</f>
        <v/>
      </c>
      <c r="G470" s="0" t="str">
        <f aca="false">IF(A470="","",IF(OR(NOT(ISNUMBER(E470)),NOT(ISNUMBER(F470))),"BELUM LENGKAP",ROUND(E470*F470,0)))</f>
        <v/>
      </c>
      <c r="J470" s="0" t="str">
        <f aca="false">IF(A470="","",IF(NOT(ISNUMBER(G470)),"BELUM LENGKAP",G470-H470-I470))</f>
        <v/>
      </c>
      <c r="L470" s="0" t="str">
        <f aca="false">IF(A470="","",IF(NOT(ISNUMBER(K470)),"ISI SNAPSHOT HPP",ROUND(E470*K470,0)))</f>
        <v/>
      </c>
      <c r="M470" s="0" t="str">
        <f aca="false">IF(A470="","",IF(NOT(ISNUMBER(L470)),"BELUM LENGKAP",J470-L470))</f>
        <v/>
      </c>
      <c r="N470" s="0" t="str">
        <f aca="false">IF(B470="","",IF(COUNTIFS('RESEP DAN HPP'!$A$5:$A$504,B470,'RESEP DAN HPP'!$N$5:$N$504,"LENGKAP")=0,"BELUM LENGKAP",INDEX('RESEP DAN HPP'!$J$5:$J$504,MATCH(B470,'RESEP DAN HPP'!$A$5:$A$504,0))))</f>
        <v/>
      </c>
      <c r="P470" s="0" t="str">
        <f aca="false">IF(A470="","",IF(COUNTIFS('TRANSAKSI PENJUALAN'!$A$5:$A$504,A470)=0,"BELUM ADA",INDEX('TRANSAKSI PENJUALAN'!$B$5:$B$504,MATCH(A470,'TRANSAKSI PENJUALAN'!$A$5:$A$504,0))))</f>
        <v/>
      </c>
      <c r="Q470" s="0" t="str">
        <f aca="false">IF(A470="","",IF(COUNTIFS('TRANSAKSI PENJUALAN'!$A$5:$A$504,A470)=0,"BELUM ADA",INDEX('TRANSAKSI PENJUALAN'!$M$5:$M$504,MATCH(A470,'TRANSAKSI PENJUALAN'!$A$5:$A$504,0))))</f>
        <v/>
      </c>
      <c r="R470" s="24" t="str">
        <f aca="false">IF(A470="","",COUNTIF($A$5:A470,A470))</f>
        <v/>
      </c>
      <c r="S470" s="24" t="str">
        <f aca="false">IF(A470="","",A470&amp;"|"&amp;R470)</f>
        <v/>
      </c>
    </row>
    <row r="471" customFormat="false" ht="15" hidden="false" customHeight="false" outlineLevel="0" collapsed="false">
      <c r="C471" s="0" t="str">
        <f aca="false">IF(B471="","",IF(COUNTIFS('MASTER MENU'!$A$5:$A$504,B471)=0,"BELUM ADA",INDEX('MASTER MENU'!$B$5:$B$504,MATCH(B471,'MASTER MENU'!$A$5:$A$504,0))))</f>
        <v/>
      </c>
      <c r="D471" s="0" t="str">
        <f aca="false">IF(B471="","",IF(COUNTIFS('MASTER MENU'!$A$5:$A$504,B471)=0,"BELUM ADA",INDEX('MASTER MENU'!$E$5:$E$504,MATCH(B471,'MASTER MENU'!$A$5:$A$504,0))))</f>
        <v/>
      </c>
      <c r="F471" s="0" t="str">
        <f aca="false">IF(B471="","",IF(COUNTIFS('MASTER MENU'!$A$5:$A$504,B471)=0,"BELUM ADA",INDEX('MASTER MENU'!$F$5:$F$504,MATCH(B471,'MASTER MENU'!$A$5:$A$504,0))))</f>
        <v/>
      </c>
      <c r="G471" s="0" t="str">
        <f aca="false">IF(A471="","",IF(OR(NOT(ISNUMBER(E471)),NOT(ISNUMBER(F471))),"BELUM LENGKAP",ROUND(E471*F471,0)))</f>
        <v/>
      </c>
      <c r="J471" s="0" t="str">
        <f aca="false">IF(A471="","",IF(NOT(ISNUMBER(G471)),"BELUM LENGKAP",G471-H471-I471))</f>
        <v/>
      </c>
      <c r="L471" s="0" t="str">
        <f aca="false">IF(A471="","",IF(NOT(ISNUMBER(K471)),"ISI SNAPSHOT HPP",ROUND(E471*K471,0)))</f>
        <v/>
      </c>
      <c r="M471" s="0" t="str">
        <f aca="false">IF(A471="","",IF(NOT(ISNUMBER(L471)),"BELUM LENGKAP",J471-L471))</f>
        <v/>
      </c>
      <c r="N471" s="0" t="str">
        <f aca="false">IF(B471="","",IF(COUNTIFS('RESEP DAN HPP'!$A$5:$A$504,B471,'RESEP DAN HPP'!$N$5:$N$504,"LENGKAP")=0,"BELUM LENGKAP",INDEX('RESEP DAN HPP'!$J$5:$J$504,MATCH(B471,'RESEP DAN HPP'!$A$5:$A$504,0))))</f>
        <v/>
      </c>
      <c r="P471" s="0" t="str">
        <f aca="false">IF(A471="","",IF(COUNTIFS('TRANSAKSI PENJUALAN'!$A$5:$A$504,A471)=0,"BELUM ADA",INDEX('TRANSAKSI PENJUALAN'!$B$5:$B$504,MATCH(A471,'TRANSAKSI PENJUALAN'!$A$5:$A$504,0))))</f>
        <v/>
      </c>
      <c r="Q471" s="0" t="str">
        <f aca="false">IF(A471="","",IF(COUNTIFS('TRANSAKSI PENJUALAN'!$A$5:$A$504,A471)=0,"BELUM ADA",INDEX('TRANSAKSI PENJUALAN'!$M$5:$M$504,MATCH(A471,'TRANSAKSI PENJUALAN'!$A$5:$A$504,0))))</f>
        <v/>
      </c>
      <c r="R471" s="24" t="str">
        <f aca="false">IF(A471="","",COUNTIF($A$5:A471,A471))</f>
        <v/>
      </c>
      <c r="S471" s="24" t="str">
        <f aca="false">IF(A471="","",A471&amp;"|"&amp;R471)</f>
        <v/>
      </c>
    </row>
    <row r="472" customFormat="false" ht="15" hidden="false" customHeight="false" outlineLevel="0" collapsed="false">
      <c r="C472" s="0" t="str">
        <f aca="false">IF(B472="","",IF(COUNTIFS('MASTER MENU'!$A$5:$A$504,B472)=0,"BELUM ADA",INDEX('MASTER MENU'!$B$5:$B$504,MATCH(B472,'MASTER MENU'!$A$5:$A$504,0))))</f>
        <v/>
      </c>
      <c r="D472" s="0" t="str">
        <f aca="false">IF(B472="","",IF(COUNTIFS('MASTER MENU'!$A$5:$A$504,B472)=0,"BELUM ADA",INDEX('MASTER MENU'!$E$5:$E$504,MATCH(B472,'MASTER MENU'!$A$5:$A$504,0))))</f>
        <v/>
      </c>
      <c r="F472" s="0" t="str">
        <f aca="false">IF(B472="","",IF(COUNTIFS('MASTER MENU'!$A$5:$A$504,B472)=0,"BELUM ADA",INDEX('MASTER MENU'!$F$5:$F$504,MATCH(B472,'MASTER MENU'!$A$5:$A$504,0))))</f>
        <v/>
      </c>
      <c r="G472" s="0" t="str">
        <f aca="false">IF(A472="","",IF(OR(NOT(ISNUMBER(E472)),NOT(ISNUMBER(F472))),"BELUM LENGKAP",ROUND(E472*F472,0)))</f>
        <v/>
      </c>
      <c r="J472" s="0" t="str">
        <f aca="false">IF(A472="","",IF(NOT(ISNUMBER(G472)),"BELUM LENGKAP",G472-H472-I472))</f>
        <v/>
      </c>
      <c r="L472" s="0" t="str">
        <f aca="false">IF(A472="","",IF(NOT(ISNUMBER(K472)),"ISI SNAPSHOT HPP",ROUND(E472*K472,0)))</f>
        <v/>
      </c>
      <c r="M472" s="0" t="str">
        <f aca="false">IF(A472="","",IF(NOT(ISNUMBER(L472)),"BELUM LENGKAP",J472-L472))</f>
        <v/>
      </c>
      <c r="N472" s="0" t="str">
        <f aca="false">IF(B472="","",IF(COUNTIFS('RESEP DAN HPP'!$A$5:$A$504,B472,'RESEP DAN HPP'!$N$5:$N$504,"LENGKAP")=0,"BELUM LENGKAP",INDEX('RESEP DAN HPP'!$J$5:$J$504,MATCH(B472,'RESEP DAN HPP'!$A$5:$A$504,0))))</f>
        <v/>
      </c>
      <c r="P472" s="0" t="str">
        <f aca="false">IF(A472="","",IF(COUNTIFS('TRANSAKSI PENJUALAN'!$A$5:$A$504,A472)=0,"BELUM ADA",INDEX('TRANSAKSI PENJUALAN'!$B$5:$B$504,MATCH(A472,'TRANSAKSI PENJUALAN'!$A$5:$A$504,0))))</f>
        <v/>
      </c>
      <c r="Q472" s="0" t="str">
        <f aca="false">IF(A472="","",IF(COUNTIFS('TRANSAKSI PENJUALAN'!$A$5:$A$504,A472)=0,"BELUM ADA",INDEX('TRANSAKSI PENJUALAN'!$M$5:$M$504,MATCH(A472,'TRANSAKSI PENJUALAN'!$A$5:$A$504,0))))</f>
        <v/>
      </c>
      <c r="R472" s="24" t="str">
        <f aca="false">IF(A472="","",COUNTIF($A$5:A472,A472))</f>
        <v/>
      </c>
      <c r="S472" s="24" t="str">
        <f aca="false">IF(A472="","",A472&amp;"|"&amp;R472)</f>
        <v/>
      </c>
    </row>
    <row r="473" customFormat="false" ht="15" hidden="false" customHeight="false" outlineLevel="0" collapsed="false">
      <c r="C473" s="0" t="str">
        <f aca="false">IF(B473="","",IF(COUNTIFS('MASTER MENU'!$A$5:$A$504,B473)=0,"BELUM ADA",INDEX('MASTER MENU'!$B$5:$B$504,MATCH(B473,'MASTER MENU'!$A$5:$A$504,0))))</f>
        <v/>
      </c>
      <c r="D473" s="0" t="str">
        <f aca="false">IF(B473="","",IF(COUNTIFS('MASTER MENU'!$A$5:$A$504,B473)=0,"BELUM ADA",INDEX('MASTER MENU'!$E$5:$E$504,MATCH(B473,'MASTER MENU'!$A$5:$A$504,0))))</f>
        <v/>
      </c>
      <c r="F473" s="0" t="str">
        <f aca="false">IF(B473="","",IF(COUNTIFS('MASTER MENU'!$A$5:$A$504,B473)=0,"BELUM ADA",INDEX('MASTER MENU'!$F$5:$F$504,MATCH(B473,'MASTER MENU'!$A$5:$A$504,0))))</f>
        <v/>
      </c>
      <c r="G473" s="0" t="str">
        <f aca="false">IF(A473="","",IF(OR(NOT(ISNUMBER(E473)),NOT(ISNUMBER(F473))),"BELUM LENGKAP",ROUND(E473*F473,0)))</f>
        <v/>
      </c>
      <c r="J473" s="0" t="str">
        <f aca="false">IF(A473="","",IF(NOT(ISNUMBER(G473)),"BELUM LENGKAP",G473-H473-I473))</f>
        <v/>
      </c>
      <c r="L473" s="0" t="str">
        <f aca="false">IF(A473="","",IF(NOT(ISNUMBER(K473)),"ISI SNAPSHOT HPP",ROUND(E473*K473,0)))</f>
        <v/>
      </c>
      <c r="M473" s="0" t="str">
        <f aca="false">IF(A473="","",IF(NOT(ISNUMBER(L473)),"BELUM LENGKAP",J473-L473))</f>
        <v/>
      </c>
      <c r="N473" s="0" t="str">
        <f aca="false">IF(B473="","",IF(COUNTIFS('RESEP DAN HPP'!$A$5:$A$504,B473,'RESEP DAN HPP'!$N$5:$N$504,"LENGKAP")=0,"BELUM LENGKAP",INDEX('RESEP DAN HPP'!$J$5:$J$504,MATCH(B473,'RESEP DAN HPP'!$A$5:$A$504,0))))</f>
        <v/>
      </c>
      <c r="P473" s="0" t="str">
        <f aca="false">IF(A473="","",IF(COUNTIFS('TRANSAKSI PENJUALAN'!$A$5:$A$504,A473)=0,"BELUM ADA",INDEX('TRANSAKSI PENJUALAN'!$B$5:$B$504,MATCH(A473,'TRANSAKSI PENJUALAN'!$A$5:$A$504,0))))</f>
        <v/>
      </c>
      <c r="Q473" s="0" t="str">
        <f aca="false">IF(A473="","",IF(COUNTIFS('TRANSAKSI PENJUALAN'!$A$5:$A$504,A473)=0,"BELUM ADA",INDEX('TRANSAKSI PENJUALAN'!$M$5:$M$504,MATCH(A473,'TRANSAKSI PENJUALAN'!$A$5:$A$504,0))))</f>
        <v/>
      </c>
      <c r="R473" s="24" t="str">
        <f aca="false">IF(A473="","",COUNTIF($A$5:A473,A473))</f>
        <v/>
      </c>
      <c r="S473" s="24" t="str">
        <f aca="false">IF(A473="","",A473&amp;"|"&amp;R473)</f>
        <v/>
      </c>
    </row>
    <row r="474" customFormat="false" ht="15" hidden="false" customHeight="false" outlineLevel="0" collapsed="false">
      <c r="C474" s="0" t="str">
        <f aca="false">IF(B474="","",IF(COUNTIFS('MASTER MENU'!$A$5:$A$504,B474)=0,"BELUM ADA",INDEX('MASTER MENU'!$B$5:$B$504,MATCH(B474,'MASTER MENU'!$A$5:$A$504,0))))</f>
        <v/>
      </c>
      <c r="D474" s="0" t="str">
        <f aca="false">IF(B474="","",IF(COUNTIFS('MASTER MENU'!$A$5:$A$504,B474)=0,"BELUM ADA",INDEX('MASTER MENU'!$E$5:$E$504,MATCH(B474,'MASTER MENU'!$A$5:$A$504,0))))</f>
        <v/>
      </c>
      <c r="F474" s="0" t="str">
        <f aca="false">IF(B474="","",IF(COUNTIFS('MASTER MENU'!$A$5:$A$504,B474)=0,"BELUM ADA",INDEX('MASTER MENU'!$F$5:$F$504,MATCH(B474,'MASTER MENU'!$A$5:$A$504,0))))</f>
        <v/>
      </c>
      <c r="G474" s="0" t="str">
        <f aca="false">IF(A474="","",IF(OR(NOT(ISNUMBER(E474)),NOT(ISNUMBER(F474))),"BELUM LENGKAP",ROUND(E474*F474,0)))</f>
        <v/>
      </c>
      <c r="J474" s="0" t="str">
        <f aca="false">IF(A474="","",IF(NOT(ISNUMBER(G474)),"BELUM LENGKAP",G474-H474-I474))</f>
        <v/>
      </c>
      <c r="L474" s="0" t="str">
        <f aca="false">IF(A474="","",IF(NOT(ISNUMBER(K474)),"ISI SNAPSHOT HPP",ROUND(E474*K474,0)))</f>
        <v/>
      </c>
      <c r="M474" s="0" t="str">
        <f aca="false">IF(A474="","",IF(NOT(ISNUMBER(L474)),"BELUM LENGKAP",J474-L474))</f>
        <v/>
      </c>
      <c r="N474" s="0" t="str">
        <f aca="false">IF(B474="","",IF(COUNTIFS('RESEP DAN HPP'!$A$5:$A$504,B474,'RESEP DAN HPP'!$N$5:$N$504,"LENGKAP")=0,"BELUM LENGKAP",INDEX('RESEP DAN HPP'!$J$5:$J$504,MATCH(B474,'RESEP DAN HPP'!$A$5:$A$504,0))))</f>
        <v/>
      </c>
      <c r="P474" s="0" t="str">
        <f aca="false">IF(A474="","",IF(COUNTIFS('TRANSAKSI PENJUALAN'!$A$5:$A$504,A474)=0,"BELUM ADA",INDEX('TRANSAKSI PENJUALAN'!$B$5:$B$504,MATCH(A474,'TRANSAKSI PENJUALAN'!$A$5:$A$504,0))))</f>
        <v/>
      </c>
      <c r="Q474" s="0" t="str">
        <f aca="false">IF(A474="","",IF(COUNTIFS('TRANSAKSI PENJUALAN'!$A$5:$A$504,A474)=0,"BELUM ADA",INDEX('TRANSAKSI PENJUALAN'!$M$5:$M$504,MATCH(A474,'TRANSAKSI PENJUALAN'!$A$5:$A$504,0))))</f>
        <v/>
      </c>
      <c r="R474" s="24" t="str">
        <f aca="false">IF(A474="","",COUNTIF($A$5:A474,A474))</f>
        <v/>
      </c>
      <c r="S474" s="24" t="str">
        <f aca="false">IF(A474="","",A474&amp;"|"&amp;R474)</f>
        <v/>
      </c>
    </row>
    <row r="475" customFormat="false" ht="15" hidden="false" customHeight="false" outlineLevel="0" collapsed="false">
      <c r="C475" s="0" t="str">
        <f aca="false">IF(B475="","",IF(COUNTIFS('MASTER MENU'!$A$5:$A$504,B475)=0,"BELUM ADA",INDEX('MASTER MENU'!$B$5:$B$504,MATCH(B475,'MASTER MENU'!$A$5:$A$504,0))))</f>
        <v/>
      </c>
      <c r="D475" s="0" t="str">
        <f aca="false">IF(B475="","",IF(COUNTIFS('MASTER MENU'!$A$5:$A$504,B475)=0,"BELUM ADA",INDEX('MASTER MENU'!$E$5:$E$504,MATCH(B475,'MASTER MENU'!$A$5:$A$504,0))))</f>
        <v/>
      </c>
      <c r="F475" s="0" t="str">
        <f aca="false">IF(B475="","",IF(COUNTIFS('MASTER MENU'!$A$5:$A$504,B475)=0,"BELUM ADA",INDEX('MASTER MENU'!$F$5:$F$504,MATCH(B475,'MASTER MENU'!$A$5:$A$504,0))))</f>
        <v/>
      </c>
      <c r="G475" s="0" t="str">
        <f aca="false">IF(A475="","",IF(OR(NOT(ISNUMBER(E475)),NOT(ISNUMBER(F475))),"BELUM LENGKAP",ROUND(E475*F475,0)))</f>
        <v/>
      </c>
      <c r="J475" s="0" t="str">
        <f aca="false">IF(A475="","",IF(NOT(ISNUMBER(G475)),"BELUM LENGKAP",G475-H475-I475))</f>
        <v/>
      </c>
      <c r="L475" s="0" t="str">
        <f aca="false">IF(A475="","",IF(NOT(ISNUMBER(K475)),"ISI SNAPSHOT HPP",ROUND(E475*K475,0)))</f>
        <v/>
      </c>
      <c r="M475" s="0" t="str">
        <f aca="false">IF(A475="","",IF(NOT(ISNUMBER(L475)),"BELUM LENGKAP",J475-L475))</f>
        <v/>
      </c>
      <c r="N475" s="0" t="str">
        <f aca="false">IF(B475="","",IF(COUNTIFS('RESEP DAN HPP'!$A$5:$A$504,B475,'RESEP DAN HPP'!$N$5:$N$504,"LENGKAP")=0,"BELUM LENGKAP",INDEX('RESEP DAN HPP'!$J$5:$J$504,MATCH(B475,'RESEP DAN HPP'!$A$5:$A$504,0))))</f>
        <v/>
      </c>
      <c r="P475" s="0" t="str">
        <f aca="false">IF(A475="","",IF(COUNTIFS('TRANSAKSI PENJUALAN'!$A$5:$A$504,A475)=0,"BELUM ADA",INDEX('TRANSAKSI PENJUALAN'!$B$5:$B$504,MATCH(A475,'TRANSAKSI PENJUALAN'!$A$5:$A$504,0))))</f>
        <v/>
      </c>
      <c r="Q475" s="0" t="str">
        <f aca="false">IF(A475="","",IF(COUNTIFS('TRANSAKSI PENJUALAN'!$A$5:$A$504,A475)=0,"BELUM ADA",INDEX('TRANSAKSI PENJUALAN'!$M$5:$M$504,MATCH(A475,'TRANSAKSI PENJUALAN'!$A$5:$A$504,0))))</f>
        <v/>
      </c>
      <c r="R475" s="24" t="str">
        <f aca="false">IF(A475="","",COUNTIF($A$5:A475,A475))</f>
        <v/>
      </c>
      <c r="S475" s="24" t="str">
        <f aca="false">IF(A475="","",A475&amp;"|"&amp;R475)</f>
        <v/>
      </c>
    </row>
    <row r="476" customFormat="false" ht="15" hidden="false" customHeight="false" outlineLevel="0" collapsed="false">
      <c r="C476" s="0" t="str">
        <f aca="false">IF(B476="","",IF(COUNTIFS('MASTER MENU'!$A$5:$A$504,B476)=0,"BELUM ADA",INDEX('MASTER MENU'!$B$5:$B$504,MATCH(B476,'MASTER MENU'!$A$5:$A$504,0))))</f>
        <v/>
      </c>
      <c r="D476" s="0" t="str">
        <f aca="false">IF(B476="","",IF(COUNTIFS('MASTER MENU'!$A$5:$A$504,B476)=0,"BELUM ADA",INDEX('MASTER MENU'!$E$5:$E$504,MATCH(B476,'MASTER MENU'!$A$5:$A$504,0))))</f>
        <v/>
      </c>
      <c r="F476" s="0" t="str">
        <f aca="false">IF(B476="","",IF(COUNTIFS('MASTER MENU'!$A$5:$A$504,B476)=0,"BELUM ADA",INDEX('MASTER MENU'!$F$5:$F$504,MATCH(B476,'MASTER MENU'!$A$5:$A$504,0))))</f>
        <v/>
      </c>
      <c r="G476" s="0" t="str">
        <f aca="false">IF(A476="","",IF(OR(NOT(ISNUMBER(E476)),NOT(ISNUMBER(F476))),"BELUM LENGKAP",ROUND(E476*F476,0)))</f>
        <v/>
      </c>
      <c r="J476" s="0" t="str">
        <f aca="false">IF(A476="","",IF(NOT(ISNUMBER(G476)),"BELUM LENGKAP",G476-H476-I476))</f>
        <v/>
      </c>
      <c r="L476" s="0" t="str">
        <f aca="false">IF(A476="","",IF(NOT(ISNUMBER(K476)),"ISI SNAPSHOT HPP",ROUND(E476*K476,0)))</f>
        <v/>
      </c>
      <c r="M476" s="0" t="str">
        <f aca="false">IF(A476="","",IF(NOT(ISNUMBER(L476)),"BELUM LENGKAP",J476-L476))</f>
        <v/>
      </c>
      <c r="N476" s="0" t="str">
        <f aca="false">IF(B476="","",IF(COUNTIFS('RESEP DAN HPP'!$A$5:$A$504,B476,'RESEP DAN HPP'!$N$5:$N$504,"LENGKAP")=0,"BELUM LENGKAP",INDEX('RESEP DAN HPP'!$J$5:$J$504,MATCH(B476,'RESEP DAN HPP'!$A$5:$A$504,0))))</f>
        <v/>
      </c>
      <c r="P476" s="0" t="str">
        <f aca="false">IF(A476="","",IF(COUNTIFS('TRANSAKSI PENJUALAN'!$A$5:$A$504,A476)=0,"BELUM ADA",INDEX('TRANSAKSI PENJUALAN'!$B$5:$B$504,MATCH(A476,'TRANSAKSI PENJUALAN'!$A$5:$A$504,0))))</f>
        <v/>
      </c>
      <c r="Q476" s="0" t="str">
        <f aca="false">IF(A476="","",IF(COUNTIFS('TRANSAKSI PENJUALAN'!$A$5:$A$504,A476)=0,"BELUM ADA",INDEX('TRANSAKSI PENJUALAN'!$M$5:$M$504,MATCH(A476,'TRANSAKSI PENJUALAN'!$A$5:$A$504,0))))</f>
        <v/>
      </c>
      <c r="R476" s="24" t="str">
        <f aca="false">IF(A476="","",COUNTIF($A$5:A476,A476))</f>
        <v/>
      </c>
      <c r="S476" s="24" t="str">
        <f aca="false">IF(A476="","",A476&amp;"|"&amp;R476)</f>
        <v/>
      </c>
    </row>
    <row r="477" customFormat="false" ht="15" hidden="false" customHeight="false" outlineLevel="0" collapsed="false">
      <c r="C477" s="0" t="str">
        <f aca="false">IF(B477="","",IF(COUNTIFS('MASTER MENU'!$A$5:$A$504,B477)=0,"BELUM ADA",INDEX('MASTER MENU'!$B$5:$B$504,MATCH(B477,'MASTER MENU'!$A$5:$A$504,0))))</f>
        <v/>
      </c>
      <c r="D477" s="0" t="str">
        <f aca="false">IF(B477="","",IF(COUNTIFS('MASTER MENU'!$A$5:$A$504,B477)=0,"BELUM ADA",INDEX('MASTER MENU'!$E$5:$E$504,MATCH(B477,'MASTER MENU'!$A$5:$A$504,0))))</f>
        <v/>
      </c>
      <c r="F477" s="0" t="str">
        <f aca="false">IF(B477="","",IF(COUNTIFS('MASTER MENU'!$A$5:$A$504,B477)=0,"BELUM ADA",INDEX('MASTER MENU'!$F$5:$F$504,MATCH(B477,'MASTER MENU'!$A$5:$A$504,0))))</f>
        <v/>
      </c>
      <c r="G477" s="0" t="str">
        <f aca="false">IF(A477="","",IF(OR(NOT(ISNUMBER(E477)),NOT(ISNUMBER(F477))),"BELUM LENGKAP",ROUND(E477*F477,0)))</f>
        <v/>
      </c>
      <c r="J477" s="0" t="str">
        <f aca="false">IF(A477="","",IF(NOT(ISNUMBER(G477)),"BELUM LENGKAP",G477-H477-I477))</f>
        <v/>
      </c>
      <c r="L477" s="0" t="str">
        <f aca="false">IF(A477="","",IF(NOT(ISNUMBER(K477)),"ISI SNAPSHOT HPP",ROUND(E477*K477,0)))</f>
        <v/>
      </c>
      <c r="M477" s="0" t="str">
        <f aca="false">IF(A477="","",IF(NOT(ISNUMBER(L477)),"BELUM LENGKAP",J477-L477))</f>
        <v/>
      </c>
      <c r="N477" s="0" t="str">
        <f aca="false">IF(B477="","",IF(COUNTIFS('RESEP DAN HPP'!$A$5:$A$504,B477,'RESEP DAN HPP'!$N$5:$N$504,"LENGKAP")=0,"BELUM LENGKAP",INDEX('RESEP DAN HPP'!$J$5:$J$504,MATCH(B477,'RESEP DAN HPP'!$A$5:$A$504,0))))</f>
        <v/>
      </c>
      <c r="P477" s="0" t="str">
        <f aca="false">IF(A477="","",IF(COUNTIFS('TRANSAKSI PENJUALAN'!$A$5:$A$504,A477)=0,"BELUM ADA",INDEX('TRANSAKSI PENJUALAN'!$B$5:$B$504,MATCH(A477,'TRANSAKSI PENJUALAN'!$A$5:$A$504,0))))</f>
        <v/>
      </c>
      <c r="Q477" s="0" t="str">
        <f aca="false">IF(A477="","",IF(COUNTIFS('TRANSAKSI PENJUALAN'!$A$5:$A$504,A477)=0,"BELUM ADA",INDEX('TRANSAKSI PENJUALAN'!$M$5:$M$504,MATCH(A477,'TRANSAKSI PENJUALAN'!$A$5:$A$504,0))))</f>
        <v/>
      </c>
      <c r="R477" s="24" t="str">
        <f aca="false">IF(A477="","",COUNTIF($A$5:A477,A477))</f>
        <v/>
      </c>
      <c r="S477" s="24" t="str">
        <f aca="false">IF(A477="","",A477&amp;"|"&amp;R477)</f>
        <v/>
      </c>
    </row>
    <row r="478" customFormat="false" ht="15" hidden="false" customHeight="false" outlineLevel="0" collapsed="false">
      <c r="C478" s="0" t="str">
        <f aca="false">IF(B478="","",IF(COUNTIFS('MASTER MENU'!$A$5:$A$504,B478)=0,"BELUM ADA",INDEX('MASTER MENU'!$B$5:$B$504,MATCH(B478,'MASTER MENU'!$A$5:$A$504,0))))</f>
        <v/>
      </c>
      <c r="D478" s="0" t="str">
        <f aca="false">IF(B478="","",IF(COUNTIFS('MASTER MENU'!$A$5:$A$504,B478)=0,"BELUM ADA",INDEX('MASTER MENU'!$E$5:$E$504,MATCH(B478,'MASTER MENU'!$A$5:$A$504,0))))</f>
        <v/>
      </c>
      <c r="F478" s="0" t="str">
        <f aca="false">IF(B478="","",IF(COUNTIFS('MASTER MENU'!$A$5:$A$504,B478)=0,"BELUM ADA",INDEX('MASTER MENU'!$F$5:$F$504,MATCH(B478,'MASTER MENU'!$A$5:$A$504,0))))</f>
        <v/>
      </c>
      <c r="G478" s="0" t="str">
        <f aca="false">IF(A478="","",IF(OR(NOT(ISNUMBER(E478)),NOT(ISNUMBER(F478))),"BELUM LENGKAP",ROUND(E478*F478,0)))</f>
        <v/>
      </c>
      <c r="J478" s="0" t="str">
        <f aca="false">IF(A478="","",IF(NOT(ISNUMBER(G478)),"BELUM LENGKAP",G478-H478-I478))</f>
        <v/>
      </c>
      <c r="L478" s="0" t="str">
        <f aca="false">IF(A478="","",IF(NOT(ISNUMBER(K478)),"ISI SNAPSHOT HPP",ROUND(E478*K478,0)))</f>
        <v/>
      </c>
      <c r="M478" s="0" t="str">
        <f aca="false">IF(A478="","",IF(NOT(ISNUMBER(L478)),"BELUM LENGKAP",J478-L478))</f>
        <v/>
      </c>
      <c r="N478" s="0" t="str">
        <f aca="false">IF(B478="","",IF(COUNTIFS('RESEP DAN HPP'!$A$5:$A$504,B478,'RESEP DAN HPP'!$N$5:$N$504,"LENGKAP")=0,"BELUM LENGKAP",INDEX('RESEP DAN HPP'!$J$5:$J$504,MATCH(B478,'RESEP DAN HPP'!$A$5:$A$504,0))))</f>
        <v/>
      </c>
      <c r="P478" s="0" t="str">
        <f aca="false">IF(A478="","",IF(COUNTIFS('TRANSAKSI PENJUALAN'!$A$5:$A$504,A478)=0,"BELUM ADA",INDEX('TRANSAKSI PENJUALAN'!$B$5:$B$504,MATCH(A478,'TRANSAKSI PENJUALAN'!$A$5:$A$504,0))))</f>
        <v/>
      </c>
      <c r="Q478" s="0" t="str">
        <f aca="false">IF(A478="","",IF(COUNTIFS('TRANSAKSI PENJUALAN'!$A$5:$A$504,A478)=0,"BELUM ADA",INDEX('TRANSAKSI PENJUALAN'!$M$5:$M$504,MATCH(A478,'TRANSAKSI PENJUALAN'!$A$5:$A$504,0))))</f>
        <v/>
      </c>
      <c r="R478" s="24" t="str">
        <f aca="false">IF(A478="","",COUNTIF($A$5:A478,A478))</f>
        <v/>
      </c>
      <c r="S478" s="24" t="str">
        <f aca="false">IF(A478="","",A478&amp;"|"&amp;R478)</f>
        <v/>
      </c>
    </row>
    <row r="479" customFormat="false" ht="15" hidden="false" customHeight="false" outlineLevel="0" collapsed="false">
      <c r="C479" s="0" t="str">
        <f aca="false">IF(B479="","",IF(COUNTIFS('MASTER MENU'!$A$5:$A$504,B479)=0,"BELUM ADA",INDEX('MASTER MENU'!$B$5:$B$504,MATCH(B479,'MASTER MENU'!$A$5:$A$504,0))))</f>
        <v/>
      </c>
      <c r="D479" s="0" t="str">
        <f aca="false">IF(B479="","",IF(COUNTIFS('MASTER MENU'!$A$5:$A$504,B479)=0,"BELUM ADA",INDEX('MASTER MENU'!$E$5:$E$504,MATCH(B479,'MASTER MENU'!$A$5:$A$504,0))))</f>
        <v/>
      </c>
      <c r="F479" s="0" t="str">
        <f aca="false">IF(B479="","",IF(COUNTIFS('MASTER MENU'!$A$5:$A$504,B479)=0,"BELUM ADA",INDEX('MASTER MENU'!$F$5:$F$504,MATCH(B479,'MASTER MENU'!$A$5:$A$504,0))))</f>
        <v/>
      </c>
      <c r="G479" s="0" t="str">
        <f aca="false">IF(A479="","",IF(OR(NOT(ISNUMBER(E479)),NOT(ISNUMBER(F479))),"BELUM LENGKAP",ROUND(E479*F479,0)))</f>
        <v/>
      </c>
      <c r="J479" s="0" t="str">
        <f aca="false">IF(A479="","",IF(NOT(ISNUMBER(G479)),"BELUM LENGKAP",G479-H479-I479))</f>
        <v/>
      </c>
      <c r="L479" s="0" t="str">
        <f aca="false">IF(A479="","",IF(NOT(ISNUMBER(K479)),"ISI SNAPSHOT HPP",ROUND(E479*K479,0)))</f>
        <v/>
      </c>
      <c r="M479" s="0" t="str">
        <f aca="false">IF(A479="","",IF(NOT(ISNUMBER(L479)),"BELUM LENGKAP",J479-L479))</f>
        <v/>
      </c>
      <c r="N479" s="0" t="str">
        <f aca="false">IF(B479="","",IF(COUNTIFS('RESEP DAN HPP'!$A$5:$A$504,B479,'RESEP DAN HPP'!$N$5:$N$504,"LENGKAP")=0,"BELUM LENGKAP",INDEX('RESEP DAN HPP'!$J$5:$J$504,MATCH(B479,'RESEP DAN HPP'!$A$5:$A$504,0))))</f>
        <v/>
      </c>
      <c r="P479" s="0" t="str">
        <f aca="false">IF(A479="","",IF(COUNTIFS('TRANSAKSI PENJUALAN'!$A$5:$A$504,A479)=0,"BELUM ADA",INDEX('TRANSAKSI PENJUALAN'!$B$5:$B$504,MATCH(A479,'TRANSAKSI PENJUALAN'!$A$5:$A$504,0))))</f>
        <v/>
      </c>
      <c r="Q479" s="0" t="str">
        <f aca="false">IF(A479="","",IF(COUNTIFS('TRANSAKSI PENJUALAN'!$A$5:$A$504,A479)=0,"BELUM ADA",INDEX('TRANSAKSI PENJUALAN'!$M$5:$M$504,MATCH(A479,'TRANSAKSI PENJUALAN'!$A$5:$A$504,0))))</f>
        <v/>
      </c>
      <c r="R479" s="24" t="str">
        <f aca="false">IF(A479="","",COUNTIF($A$5:A479,A479))</f>
        <v/>
      </c>
      <c r="S479" s="24" t="str">
        <f aca="false">IF(A479="","",A479&amp;"|"&amp;R479)</f>
        <v/>
      </c>
    </row>
    <row r="480" customFormat="false" ht="15" hidden="false" customHeight="false" outlineLevel="0" collapsed="false">
      <c r="C480" s="0" t="str">
        <f aca="false">IF(B480="","",IF(COUNTIFS('MASTER MENU'!$A$5:$A$504,B480)=0,"BELUM ADA",INDEX('MASTER MENU'!$B$5:$B$504,MATCH(B480,'MASTER MENU'!$A$5:$A$504,0))))</f>
        <v/>
      </c>
      <c r="D480" s="0" t="str">
        <f aca="false">IF(B480="","",IF(COUNTIFS('MASTER MENU'!$A$5:$A$504,B480)=0,"BELUM ADA",INDEX('MASTER MENU'!$E$5:$E$504,MATCH(B480,'MASTER MENU'!$A$5:$A$504,0))))</f>
        <v/>
      </c>
      <c r="F480" s="0" t="str">
        <f aca="false">IF(B480="","",IF(COUNTIFS('MASTER MENU'!$A$5:$A$504,B480)=0,"BELUM ADA",INDEX('MASTER MENU'!$F$5:$F$504,MATCH(B480,'MASTER MENU'!$A$5:$A$504,0))))</f>
        <v/>
      </c>
      <c r="G480" s="0" t="str">
        <f aca="false">IF(A480="","",IF(OR(NOT(ISNUMBER(E480)),NOT(ISNUMBER(F480))),"BELUM LENGKAP",ROUND(E480*F480,0)))</f>
        <v/>
      </c>
      <c r="J480" s="0" t="str">
        <f aca="false">IF(A480="","",IF(NOT(ISNUMBER(G480)),"BELUM LENGKAP",G480-H480-I480))</f>
        <v/>
      </c>
      <c r="L480" s="0" t="str">
        <f aca="false">IF(A480="","",IF(NOT(ISNUMBER(K480)),"ISI SNAPSHOT HPP",ROUND(E480*K480,0)))</f>
        <v/>
      </c>
      <c r="M480" s="0" t="str">
        <f aca="false">IF(A480="","",IF(NOT(ISNUMBER(L480)),"BELUM LENGKAP",J480-L480))</f>
        <v/>
      </c>
      <c r="N480" s="0" t="str">
        <f aca="false">IF(B480="","",IF(COUNTIFS('RESEP DAN HPP'!$A$5:$A$504,B480,'RESEP DAN HPP'!$N$5:$N$504,"LENGKAP")=0,"BELUM LENGKAP",INDEX('RESEP DAN HPP'!$J$5:$J$504,MATCH(B480,'RESEP DAN HPP'!$A$5:$A$504,0))))</f>
        <v/>
      </c>
      <c r="P480" s="0" t="str">
        <f aca="false">IF(A480="","",IF(COUNTIFS('TRANSAKSI PENJUALAN'!$A$5:$A$504,A480)=0,"BELUM ADA",INDEX('TRANSAKSI PENJUALAN'!$B$5:$B$504,MATCH(A480,'TRANSAKSI PENJUALAN'!$A$5:$A$504,0))))</f>
        <v/>
      </c>
      <c r="Q480" s="0" t="str">
        <f aca="false">IF(A480="","",IF(COUNTIFS('TRANSAKSI PENJUALAN'!$A$5:$A$504,A480)=0,"BELUM ADA",INDEX('TRANSAKSI PENJUALAN'!$M$5:$M$504,MATCH(A480,'TRANSAKSI PENJUALAN'!$A$5:$A$504,0))))</f>
        <v/>
      </c>
      <c r="R480" s="24" t="str">
        <f aca="false">IF(A480="","",COUNTIF($A$5:A480,A480))</f>
        <v/>
      </c>
      <c r="S480" s="24" t="str">
        <f aca="false">IF(A480="","",A480&amp;"|"&amp;R480)</f>
        <v/>
      </c>
    </row>
    <row r="481" customFormat="false" ht="15" hidden="false" customHeight="false" outlineLevel="0" collapsed="false">
      <c r="C481" s="0" t="str">
        <f aca="false">IF(B481="","",IF(COUNTIFS('MASTER MENU'!$A$5:$A$504,B481)=0,"BELUM ADA",INDEX('MASTER MENU'!$B$5:$B$504,MATCH(B481,'MASTER MENU'!$A$5:$A$504,0))))</f>
        <v/>
      </c>
      <c r="D481" s="0" t="str">
        <f aca="false">IF(B481="","",IF(COUNTIFS('MASTER MENU'!$A$5:$A$504,B481)=0,"BELUM ADA",INDEX('MASTER MENU'!$E$5:$E$504,MATCH(B481,'MASTER MENU'!$A$5:$A$504,0))))</f>
        <v/>
      </c>
      <c r="F481" s="0" t="str">
        <f aca="false">IF(B481="","",IF(COUNTIFS('MASTER MENU'!$A$5:$A$504,B481)=0,"BELUM ADA",INDEX('MASTER MENU'!$F$5:$F$504,MATCH(B481,'MASTER MENU'!$A$5:$A$504,0))))</f>
        <v/>
      </c>
      <c r="G481" s="0" t="str">
        <f aca="false">IF(A481="","",IF(OR(NOT(ISNUMBER(E481)),NOT(ISNUMBER(F481))),"BELUM LENGKAP",ROUND(E481*F481,0)))</f>
        <v/>
      </c>
      <c r="J481" s="0" t="str">
        <f aca="false">IF(A481="","",IF(NOT(ISNUMBER(G481)),"BELUM LENGKAP",G481-H481-I481))</f>
        <v/>
      </c>
      <c r="L481" s="0" t="str">
        <f aca="false">IF(A481="","",IF(NOT(ISNUMBER(K481)),"ISI SNAPSHOT HPP",ROUND(E481*K481,0)))</f>
        <v/>
      </c>
      <c r="M481" s="0" t="str">
        <f aca="false">IF(A481="","",IF(NOT(ISNUMBER(L481)),"BELUM LENGKAP",J481-L481))</f>
        <v/>
      </c>
      <c r="N481" s="0" t="str">
        <f aca="false">IF(B481="","",IF(COUNTIFS('RESEP DAN HPP'!$A$5:$A$504,B481,'RESEP DAN HPP'!$N$5:$N$504,"LENGKAP")=0,"BELUM LENGKAP",INDEX('RESEP DAN HPP'!$J$5:$J$504,MATCH(B481,'RESEP DAN HPP'!$A$5:$A$504,0))))</f>
        <v/>
      </c>
      <c r="P481" s="0" t="str">
        <f aca="false">IF(A481="","",IF(COUNTIFS('TRANSAKSI PENJUALAN'!$A$5:$A$504,A481)=0,"BELUM ADA",INDEX('TRANSAKSI PENJUALAN'!$B$5:$B$504,MATCH(A481,'TRANSAKSI PENJUALAN'!$A$5:$A$504,0))))</f>
        <v/>
      </c>
      <c r="Q481" s="0" t="str">
        <f aca="false">IF(A481="","",IF(COUNTIFS('TRANSAKSI PENJUALAN'!$A$5:$A$504,A481)=0,"BELUM ADA",INDEX('TRANSAKSI PENJUALAN'!$M$5:$M$504,MATCH(A481,'TRANSAKSI PENJUALAN'!$A$5:$A$504,0))))</f>
        <v/>
      </c>
      <c r="R481" s="24" t="str">
        <f aca="false">IF(A481="","",COUNTIF($A$5:A481,A481))</f>
        <v/>
      </c>
      <c r="S481" s="24" t="str">
        <f aca="false">IF(A481="","",A481&amp;"|"&amp;R481)</f>
        <v/>
      </c>
    </row>
    <row r="482" customFormat="false" ht="15" hidden="false" customHeight="false" outlineLevel="0" collapsed="false">
      <c r="C482" s="0" t="str">
        <f aca="false">IF(B482="","",IF(COUNTIFS('MASTER MENU'!$A$5:$A$504,B482)=0,"BELUM ADA",INDEX('MASTER MENU'!$B$5:$B$504,MATCH(B482,'MASTER MENU'!$A$5:$A$504,0))))</f>
        <v/>
      </c>
      <c r="D482" s="0" t="str">
        <f aca="false">IF(B482="","",IF(COUNTIFS('MASTER MENU'!$A$5:$A$504,B482)=0,"BELUM ADA",INDEX('MASTER MENU'!$E$5:$E$504,MATCH(B482,'MASTER MENU'!$A$5:$A$504,0))))</f>
        <v/>
      </c>
      <c r="F482" s="0" t="str">
        <f aca="false">IF(B482="","",IF(COUNTIFS('MASTER MENU'!$A$5:$A$504,B482)=0,"BELUM ADA",INDEX('MASTER MENU'!$F$5:$F$504,MATCH(B482,'MASTER MENU'!$A$5:$A$504,0))))</f>
        <v/>
      </c>
      <c r="G482" s="0" t="str">
        <f aca="false">IF(A482="","",IF(OR(NOT(ISNUMBER(E482)),NOT(ISNUMBER(F482))),"BELUM LENGKAP",ROUND(E482*F482,0)))</f>
        <v/>
      </c>
      <c r="J482" s="0" t="str">
        <f aca="false">IF(A482="","",IF(NOT(ISNUMBER(G482)),"BELUM LENGKAP",G482-H482-I482))</f>
        <v/>
      </c>
      <c r="L482" s="0" t="str">
        <f aca="false">IF(A482="","",IF(NOT(ISNUMBER(K482)),"ISI SNAPSHOT HPP",ROUND(E482*K482,0)))</f>
        <v/>
      </c>
      <c r="M482" s="0" t="str">
        <f aca="false">IF(A482="","",IF(NOT(ISNUMBER(L482)),"BELUM LENGKAP",J482-L482))</f>
        <v/>
      </c>
      <c r="N482" s="0" t="str">
        <f aca="false">IF(B482="","",IF(COUNTIFS('RESEP DAN HPP'!$A$5:$A$504,B482,'RESEP DAN HPP'!$N$5:$N$504,"LENGKAP")=0,"BELUM LENGKAP",INDEX('RESEP DAN HPP'!$J$5:$J$504,MATCH(B482,'RESEP DAN HPP'!$A$5:$A$504,0))))</f>
        <v/>
      </c>
      <c r="P482" s="0" t="str">
        <f aca="false">IF(A482="","",IF(COUNTIFS('TRANSAKSI PENJUALAN'!$A$5:$A$504,A482)=0,"BELUM ADA",INDEX('TRANSAKSI PENJUALAN'!$B$5:$B$504,MATCH(A482,'TRANSAKSI PENJUALAN'!$A$5:$A$504,0))))</f>
        <v/>
      </c>
      <c r="Q482" s="0" t="str">
        <f aca="false">IF(A482="","",IF(COUNTIFS('TRANSAKSI PENJUALAN'!$A$5:$A$504,A482)=0,"BELUM ADA",INDEX('TRANSAKSI PENJUALAN'!$M$5:$M$504,MATCH(A482,'TRANSAKSI PENJUALAN'!$A$5:$A$504,0))))</f>
        <v/>
      </c>
      <c r="R482" s="24" t="str">
        <f aca="false">IF(A482="","",COUNTIF($A$5:A482,A482))</f>
        <v/>
      </c>
      <c r="S482" s="24" t="str">
        <f aca="false">IF(A482="","",A482&amp;"|"&amp;R482)</f>
        <v/>
      </c>
    </row>
    <row r="483" customFormat="false" ht="15" hidden="false" customHeight="false" outlineLevel="0" collapsed="false">
      <c r="C483" s="0" t="str">
        <f aca="false">IF(B483="","",IF(COUNTIFS('MASTER MENU'!$A$5:$A$504,B483)=0,"BELUM ADA",INDEX('MASTER MENU'!$B$5:$B$504,MATCH(B483,'MASTER MENU'!$A$5:$A$504,0))))</f>
        <v/>
      </c>
      <c r="D483" s="0" t="str">
        <f aca="false">IF(B483="","",IF(COUNTIFS('MASTER MENU'!$A$5:$A$504,B483)=0,"BELUM ADA",INDEX('MASTER MENU'!$E$5:$E$504,MATCH(B483,'MASTER MENU'!$A$5:$A$504,0))))</f>
        <v/>
      </c>
      <c r="F483" s="0" t="str">
        <f aca="false">IF(B483="","",IF(COUNTIFS('MASTER MENU'!$A$5:$A$504,B483)=0,"BELUM ADA",INDEX('MASTER MENU'!$F$5:$F$504,MATCH(B483,'MASTER MENU'!$A$5:$A$504,0))))</f>
        <v/>
      </c>
      <c r="G483" s="0" t="str">
        <f aca="false">IF(A483="","",IF(OR(NOT(ISNUMBER(E483)),NOT(ISNUMBER(F483))),"BELUM LENGKAP",ROUND(E483*F483,0)))</f>
        <v/>
      </c>
      <c r="J483" s="0" t="str">
        <f aca="false">IF(A483="","",IF(NOT(ISNUMBER(G483)),"BELUM LENGKAP",G483-H483-I483))</f>
        <v/>
      </c>
      <c r="L483" s="0" t="str">
        <f aca="false">IF(A483="","",IF(NOT(ISNUMBER(K483)),"ISI SNAPSHOT HPP",ROUND(E483*K483,0)))</f>
        <v/>
      </c>
      <c r="M483" s="0" t="str">
        <f aca="false">IF(A483="","",IF(NOT(ISNUMBER(L483)),"BELUM LENGKAP",J483-L483))</f>
        <v/>
      </c>
      <c r="N483" s="0" t="str">
        <f aca="false">IF(B483="","",IF(COUNTIFS('RESEP DAN HPP'!$A$5:$A$504,B483,'RESEP DAN HPP'!$N$5:$N$504,"LENGKAP")=0,"BELUM LENGKAP",INDEX('RESEP DAN HPP'!$J$5:$J$504,MATCH(B483,'RESEP DAN HPP'!$A$5:$A$504,0))))</f>
        <v/>
      </c>
      <c r="P483" s="0" t="str">
        <f aca="false">IF(A483="","",IF(COUNTIFS('TRANSAKSI PENJUALAN'!$A$5:$A$504,A483)=0,"BELUM ADA",INDEX('TRANSAKSI PENJUALAN'!$B$5:$B$504,MATCH(A483,'TRANSAKSI PENJUALAN'!$A$5:$A$504,0))))</f>
        <v/>
      </c>
      <c r="Q483" s="0" t="str">
        <f aca="false">IF(A483="","",IF(COUNTIFS('TRANSAKSI PENJUALAN'!$A$5:$A$504,A483)=0,"BELUM ADA",INDEX('TRANSAKSI PENJUALAN'!$M$5:$M$504,MATCH(A483,'TRANSAKSI PENJUALAN'!$A$5:$A$504,0))))</f>
        <v/>
      </c>
      <c r="R483" s="24" t="str">
        <f aca="false">IF(A483="","",COUNTIF($A$5:A483,A483))</f>
        <v/>
      </c>
      <c r="S483" s="24" t="str">
        <f aca="false">IF(A483="","",A483&amp;"|"&amp;R483)</f>
        <v/>
      </c>
    </row>
    <row r="484" customFormat="false" ht="15" hidden="false" customHeight="false" outlineLevel="0" collapsed="false">
      <c r="C484" s="0" t="str">
        <f aca="false">IF(B484="","",IF(COUNTIFS('MASTER MENU'!$A$5:$A$504,B484)=0,"BELUM ADA",INDEX('MASTER MENU'!$B$5:$B$504,MATCH(B484,'MASTER MENU'!$A$5:$A$504,0))))</f>
        <v/>
      </c>
      <c r="D484" s="0" t="str">
        <f aca="false">IF(B484="","",IF(COUNTIFS('MASTER MENU'!$A$5:$A$504,B484)=0,"BELUM ADA",INDEX('MASTER MENU'!$E$5:$E$504,MATCH(B484,'MASTER MENU'!$A$5:$A$504,0))))</f>
        <v/>
      </c>
      <c r="F484" s="0" t="str">
        <f aca="false">IF(B484="","",IF(COUNTIFS('MASTER MENU'!$A$5:$A$504,B484)=0,"BELUM ADA",INDEX('MASTER MENU'!$F$5:$F$504,MATCH(B484,'MASTER MENU'!$A$5:$A$504,0))))</f>
        <v/>
      </c>
      <c r="G484" s="0" t="str">
        <f aca="false">IF(A484="","",IF(OR(NOT(ISNUMBER(E484)),NOT(ISNUMBER(F484))),"BELUM LENGKAP",ROUND(E484*F484,0)))</f>
        <v/>
      </c>
      <c r="J484" s="0" t="str">
        <f aca="false">IF(A484="","",IF(NOT(ISNUMBER(G484)),"BELUM LENGKAP",G484-H484-I484))</f>
        <v/>
      </c>
      <c r="L484" s="0" t="str">
        <f aca="false">IF(A484="","",IF(NOT(ISNUMBER(K484)),"ISI SNAPSHOT HPP",ROUND(E484*K484,0)))</f>
        <v/>
      </c>
      <c r="M484" s="0" t="str">
        <f aca="false">IF(A484="","",IF(NOT(ISNUMBER(L484)),"BELUM LENGKAP",J484-L484))</f>
        <v/>
      </c>
      <c r="N484" s="0" t="str">
        <f aca="false">IF(B484="","",IF(COUNTIFS('RESEP DAN HPP'!$A$5:$A$504,B484,'RESEP DAN HPP'!$N$5:$N$504,"LENGKAP")=0,"BELUM LENGKAP",INDEX('RESEP DAN HPP'!$J$5:$J$504,MATCH(B484,'RESEP DAN HPP'!$A$5:$A$504,0))))</f>
        <v/>
      </c>
      <c r="P484" s="0" t="str">
        <f aca="false">IF(A484="","",IF(COUNTIFS('TRANSAKSI PENJUALAN'!$A$5:$A$504,A484)=0,"BELUM ADA",INDEX('TRANSAKSI PENJUALAN'!$B$5:$B$504,MATCH(A484,'TRANSAKSI PENJUALAN'!$A$5:$A$504,0))))</f>
        <v/>
      </c>
      <c r="Q484" s="0" t="str">
        <f aca="false">IF(A484="","",IF(COUNTIFS('TRANSAKSI PENJUALAN'!$A$5:$A$504,A484)=0,"BELUM ADA",INDEX('TRANSAKSI PENJUALAN'!$M$5:$M$504,MATCH(A484,'TRANSAKSI PENJUALAN'!$A$5:$A$504,0))))</f>
        <v/>
      </c>
      <c r="R484" s="24" t="str">
        <f aca="false">IF(A484="","",COUNTIF($A$5:A484,A484))</f>
        <v/>
      </c>
      <c r="S484" s="24" t="str">
        <f aca="false">IF(A484="","",A484&amp;"|"&amp;R484)</f>
        <v/>
      </c>
    </row>
    <row r="485" customFormat="false" ht="15" hidden="false" customHeight="false" outlineLevel="0" collapsed="false">
      <c r="C485" s="0" t="str">
        <f aca="false">IF(B485="","",IF(COUNTIFS('MASTER MENU'!$A$5:$A$504,B485)=0,"BELUM ADA",INDEX('MASTER MENU'!$B$5:$B$504,MATCH(B485,'MASTER MENU'!$A$5:$A$504,0))))</f>
        <v/>
      </c>
      <c r="D485" s="0" t="str">
        <f aca="false">IF(B485="","",IF(COUNTIFS('MASTER MENU'!$A$5:$A$504,B485)=0,"BELUM ADA",INDEX('MASTER MENU'!$E$5:$E$504,MATCH(B485,'MASTER MENU'!$A$5:$A$504,0))))</f>
        <v/>
      </c>
      <c r="F485" s="0" t="str">
        <f aca="false">IF(B485="","",IF(COUNTIFS('MASTER MENU'!$A$5:$A$504,B485)=0,"BELUM ADA",INDEX('MASTER MENU'!$F$5:$F$504,MATCH(B485,'MASTER MENU'!$A$5:$A$504,0))))</f>
        <v/>
      </c>
      <c r="G485" s="0" t="str">
        <f aca="false">IF(A485="","",IF(OR(NOT(ISNUMBER(E485)),NOT(ISNUMBER(F485))),"BELUM LENGKAP",ROUND(E485*F485,0)))</f>
        <v/>
      </c>
      <c r="J485" s="0" t="str">
        <f aca="false">IF(A485="","",IF(NOT(ISNUMBER(G485)),"BELUM LENGKAP",G485-H485-I485))</f>
        <v/>
      </c>
      <c r="L485" s="0" t="str">
        <f aca="false">IF(A485="","",IF(NOT(ISNUMBER(K485)),"ISI SNAPSHOT HPP",ROUND(E485*K485,0)))</f>
        <v/>
      </c>
      <c r="M485" s="0" t="str">
        <f aca="false">IF(A485="","",IF(NOT(ISNUMBER(L485)),"BELUM LENGKAP",J485-L485))</f>
        <v/>
      </c>
      <c r="N485" s="0" t="str">
        <f aca="false">IF(B485="","",IF(COUNTIFS('RESEP DAN HPP'!$A$5:$A$504,B485,'RESEP DAN HPP'!$N$5:$N$504,"LENGKAP")=0,"BELUM LENGKAP",INDEX('RESEP DAN HPP'!$J$5:$J$504,MATCH(B485,'RESEP DAN HPP'!$A$5:$A$504,0))))</f>
        <v/>
      </c>
      <c r="P485" s="0" t="str">
        <f aca="false">IF(A485="","",IF(COUNTIFS('TRANSAKSI PENJUALAN'!$A$5:$A$504,A485)=0,"BELUM ADA",INDEX('TRANSAKSI PENJUALAN'!$B$5:$B$504,MATCH(A485,'TRANSAKSI PENJUALAN'!$A$5:$A$504,0))))</f>
        <v/>
      </c>
      <c r="Q485" s="0" t="str">
        <f aca="false">IF(A485="","",IF(COUNTIFS('TRANSAKSI PENJUALAN'!$A$5:$A$504,A485)=0,"BELUM ADA",INDEX('TRANSAKSI PENJUALAN'!$M$5:$M$504,MATCH(A485,'TRANSAKSI PENJUALAN'!$A$5:$A$504,0))))</f>
        <v/>
      </c>
      <c r="R485" s="24" t="str">
        <f aca="false">IF(A485="","",COUNTIF($A$5:A485,A485))</f>
        <v/>
      </c>
      <c r="S485" s="24" t="str">
        <f aca="false">IF(A485="","",A485&amp;"|"&amp;R485)</f>
        <v/>
      </c>
    </row>
    <row r="486" customFormat="false" ht="15" hidden="false" customHeight="false" outlineLevel="0" collapsed="false">
      <c r="C486" s="0" t="str">
        <f aca="false">IF(B486="","",IF(COUNTIFS('MASTER MENU'!$A$5:$A$504,B486)=0,"BELUM ADA",INDEX('MASTER MENU'!$B$5:$B$504,MATCH(B486,'MASTER MENU'!$A$5:$A$504,0))))</f>
        <v/>
      </c>
      <c r="D486" s="0" t="str">
        <f aca="false">IF(B486="","",IF(COUNTIFS('MASTER MENU'!$A$5:$A$504,B486)=0,"BELUM ADA",INDEX('MASTER MENU'!$E$5:$E$504,MATCH(B486,'MASTER MENU'!$A$5:$A$504,0))))</f>
        <v/>
      </c>
      <c r="F486" s="0" t="str">
        <f aca="false">IF(B486="","",IF(COUNTIFS('MASTER MENU'!$A$5:$A$504,B486)=0,"BELUM ADA",INDEX('MASTER MENU'!$F$5:$F$504,MATCH(B486,'MASTER MENU'!$A$5:$A$504,0))))</f>
        <v/>
      </c>
      <c r="G486" s="0" t="str">
        <f aca="false">IF(A486="","",IF(OR(NOT(ISNUMBER(E486)),NOT(ISNUMBER(F486))),"BELUM LENGKAP",ROUND(E486*F486,0)))</f>
        <v/>
      </c>
      <c r="J486" s="0" t="str">
        <f aca="false">IF(A486="","",IF(NOT(ISNUMBER(G486)),"BELUM LENGKAP",G486-H486-I486))</f>
        <v/>
      </c>
      <c r="L486" s="0" t="str">
        <f aca="false">IF(A486="","",IF(NOT(ISNUMBER(K486)),"ISI SNAPSHOT HPP",ROUND(E486*K486,0)))</f>
        <v/>
      </c>
      <c r="M486" s="0" t="str">
        <f aca="false">IF(A486="","",IF(NOT(ISNUMBER(L486)),"BELUM LENGKAP",J486-L486))</f>
        <v/>
      </c>
      <c r="N486" s="0" t="str">
        <f aca="false">IF(B486="","",IF(COUNTIFS('RESEP DAN HPP'!$A$5:$A$504,B486,'RESEP DAN HPP'!$N$5:$N$504,"LENGKAP")=0,"BELUM LENGKAP",INDEX('RESEP DAN HPP'!$J$5:$J$504,MATCH(B486,'RESEP DAN HPP'!$A$5:$A$504,0))))</f>
        <v/>
      </c>
      <c r="P486" s="0" t="str">
        <f aca="false">IF(A486="","",IF(COUNTIFS('TRANSAKSI PENJUALAN'!$A$5:$A$504,A486)=0,"BELUM ADA",INDEX('TRANSAKSI PENJUALAN'!$B$5:$B$504,MATCH(A486,'TRANSAKSI PENJUALAN'!$A$5:$A$504,0))))</f>
        <v/>
      </c>
      <c r="Q486" s="0" t="str">
        <f aca="false">IF(A486="","",IF(COUNTIFS('TRANSAKSI PENJUALAN'!$A$5:$A$504,A486)=0,"BELUM ADA",INDEX('TRANSAKSI PENJUALAN'!$M$5:$M$504,MATCH(A486,'TRANSAKSI PENJUALAN'!$A$5:$A$504,0))))</f>
        <v/>
      </c>
      <c r="R486" s="24" t="str">
        <f aca="false">IF(A486="","",COUNTIF($A$5:A486,A486))</f>
        <v/>
      </c>
      <c r="S486" s="24" t="str">
        <f aca="false">IF(A486="","",A486&amp;"|"&amp;R486)</f>
        <v/>
      </c>
    </row>
    <row r="487" customFormat="false" ht="15" hidden="false" customHeight="false" outlineLevel="0" collapsed="false">
      <c r="C487" s="0" t="str">
        <f aca="false">IF(B487="","",IF(COUNTIFS('MASTER MENU'!$A$5:$A$504,B487)=0,"BELUM ADA",INDEX('MASTER MENU'!$B$5:$B$504,MATCH(B487,'MASTER MENU'!$A$5:$A$504,0))))</f>
        <v/>
      </c>
      <c r="D487" s="0" t="str">
        <f aca="false">IF(B487="","",IF(COUNTIFS('MASTER MENU'!$A$5:$A$504,B487)=0,"BELUM ADA",INDEX('MASTER MENU'!$E$5:$E$504,MATCH(B487,'MASTER MENU'!$A$5:$A$504,0))))</f>
        <v/>
      </c>
      <c r="F487" s="0" t="str">
        <f aca="false">IF(B487="","",IF(COUNTIFS('MASTER MENU'!$A$5:$A$504,B487)=0,"BELUM ADA",INDEX('MASTER MENU'!$F$5:$F$504,MATCH(B487,'MASTER MENU'!$A$5:$A$504,0))))</f>
        <v/>
      </c>
      <c r="G487" s="0" t="str">
        <f aca="false">IF(A487="","",IF(OR(NOT(ISNUMBER(E487)),NOT(ISNUMBER(F487))),"BELUM LENGKAP",ROUND(E487*F487,0)))</f>
        <v/>
      </c>
      <c r="J487" s="0" t="str">
        <f aca="false">IF(A487="","",IF(NOT(ISNUMBER(G487)),"BELUM LENGKAP",G487-H487-I487))</f>
        <v/>
      </c>
      <c r="L487" s="0" t="str">
        <f aca="false">IF(A487="","",IF(NOT(ISNUMBER(K487)),"ISI SNAPSHOT HPP",ROUND(E487*K487,0)))</f>
        <v/>
      </c>
      <c r="M487" s="0" t="str">
        <f aca="false">IF(A487="","",IF(NOT(ISNUMBER(L487)),"BELUM LENGKAP",J487-L487))</f>
        <v/>
      </c>
      <c r="N487" s="0" t="str">
        <f aca="false">IF(B487="","",IF(COUNTIFS('RESEP DAN HPP'!$A$5:$A$504,B487,'RESEP DAN HPP'!$N$5:$N$504,"LENGKAP")=0,"BELUM LENGKAP",INDEX('RESEP DAN HPP'!$J$5:$J$504,MATCH(B487,'RESEP DAN HPP'!$A$5:$A$504,0))))</f>
        <v/>
      </c>
      <c r="P487" s="0" t="str">
        <f aca="false">IF(A487="","",IF(COUNTIFS('TRANSAKSI PENJUALAN'!$A$5:$A$504,A487)=0,"BELUM ADA",INDEX('TRANSAKSI PENJUALAN'!$B$5:$B$504,MATCH(A487,'TRANSAKSI PENJUALAN'!$A$5:$A$504,0))))</f>
        <v/>
      </c>
      <c r="Q487" s="0" t="str">
        <f aca="false">IF(A487="","",IF(COUNTIFS('TRANSAKSI PENJUALAN'!$A$5:$A$504,A487)=0,"BELUM ADA",INDEX('TRANSAKSI PENJUALAN'!$M$5:$M$504,MATCH(A487,'TRANSAKSI PENJUALAN'!$A$5:$A$504,0))))</f>
        <v/>
      </c>
      <c r="R487" s="24" t="str">
        <f aca="false">IF(A487="","",COUNTIF($A$5:A487,A487))</f>
        <v/>
      </c>
      <c r="S487" s="24" t="str">
        <f aca="false">IF(A487="","",A487&amp;"|"&amp;R487)</f>
        <v/>
      </c>
    </row>
    <row r="488" customFormat="false" ht="15" hidden="false" customHeight="false" outlineLevel="0" collapsed="false">
      <c r="C488" s="0" t="str">
        <f aca="false">IF(B488="","",IF(COUNTIFS('MASTER MENU'!$A$5:$A$504,B488)=0,"BELUM ADA",INDEX('MASTER MENU'!$B$5:$B$504,MATCH(B488,'MASTER MENU'!$A$5:$A$504,0))))</f>
        <v/>
      </c>
      <c r="D488" s="0" t="str">
        <f aca="false">IF(B488="","",IF(COUNTIFS('MASTER MENU'!$A$5:$A$504,B488)=0,"BELUM ADA",INDEX('MASTER MENU'!$E$5:$E$504,MATCH(B488,'MASTER MENU'!$A$5:$A$504,0))))</f>
        <v/>
      </c>
      <c r="F488" s="0" t="str">
        <f aca="false">IF(B488="","",IF(COUNTIFS('MASTER MENU'!$A$5:$A$504,B488)=0,"BELUM ADA",INDEX('MASTER MENU'!$F$5:$F$504,MATCH(B488,'MASTER MENU'!$A$5:$A$504,0))))</f>
        <v/>
      </c>
      <c r="G488" s="0" t="str">
        <f aca="false">IF(A488="","",IF(OR(NOT(ISNUMBER(E488)),NOT(ISNUMBER(F488))),"BELUM LENGKAP",ROUND(E488*F488,0)))</f>
        <v/>
      </c>
      <c r="J488" s="0" t="str">
        <f aca="false">IF(A488="","",IF(NOT(ISNUMBER(G488)),"BELUM LENGKAP",G488-H488-I488))</f>
        <v/>
      </c>
      <c r="L488" s="0" t="str">
        <f aca="false">IF(A488="","",IF(NOT(ISNUMBER(K488)),"ISI SNAPSHOT HPP",ROUND(E488*K488,0)))</f>
        <v/>
      </c>
      <c r="M488" s="0" t="str">
        <f aca="false">IF(A488="","",IF(NOT(ISNUMBER(L488)),"BELUM LENGKAP",J488-L488))</f>
        <v/>
      </c>
      <c r="N488" s="0" t="str">
        <f aca="false">IF(B488="","",IF(COUNTIFS('RESEP DAN HPP'!$A$5:$A$504,B488,'RESEP DAN HPP'!$N$5:$N$504,"LENGKAP")=0,"BELUM LENGKAP",INDEX('RESEP DAN HPP'!$J$5:$J$504,MATCH(B488,'RESEP DAN HPP'!$A$5:$A$504,0))))</f>
        <v/>
      </c>
      <c r="P488" s="0" t="str">
        <f aca="false">IF(A488="","",IF(COUNTIFS('TRANSAKSI PENJUALAN'!$A$5:$A$504,A488)=0,"BELUM ADA",INDEX('TRANSAKSI PENJUALAN'!$B$5:$B$504,MATCH(A488,'TRANSAKSI PENJUALAN'!$A$5:$A$504,0))))</f>
        <v/>
      </c>
      <c r="Q488" s="0" t="str">
        <f aca="false">IF(A488="","",IF(COUNTIFS('TRANSAKSI PENJUALAN'!$A$5:$A$504,A488)=0,"BELUM ADA",INDEX('TRANSAKSI PENJUALAN'!$M$5:$M$504,MATCH(A488,'TRANSAKSI PENJUALAN'!$A$5:$A$504,0))))</f>
        <v/>
      </c>
      <c r="R488" s="24" t="str">
        <f aca="false">IF(A488="","",COUNTIF($A$5:A488,A488))</f>
        <v/>
      </c>
      <c r="S488" s="24" t="str">
        <f aca="false">IF(A488="","",A488&amp;"|"&amp;R488)</f>
        <v/>
      </c>
    </row>
    <row r="489" customFormat="false" ht="15" hidden="false" customHeight="false" outlineLevel="0" collapsed="false">
      <c r="C489" s="0" t="str">
        <f aca="false">IF(B489="","",IF(COUNTIFS('MASTER MENU'!$A$5:$A$504,B489)=0,"BELUM ADA",INDEX('MASTER MENU'!$B$5:$B$504,MATCH(B489,'MASTER MENU'!$A$5:$A$504,0))))</f>
        <v/>
      </c>
      <c r="D489" s="0" t="str">
        <f aca="false">IF(B489="","",IF(COUNTIFS('MASTER MENU'!$A$5:$A$504,B489)=0,"BELUM ADA",INDEX('MASTER MENU'!$E$5:$E$504,MATCH(B489,'MASTER MENU'!$A$5:$A$504,0))))</f>
        <v/>
      </c>
      <c r="F489" s="0" t="str">
        <f aca="false">IF(B489="","",IF(COUNTIFS('MASTER MENU'!$A$5:$A$504,B489)=0,"BELUM ADA",INDEX('MASTER MENU'!$F$5:$F$504,MATCH(B489,'MASTER MENU'!$A$5:$A$504,0))))</f>
        <v/>
      </c>
      <c r="G489" s="0" t="str">
        <f aca="false">IF(A489="","",IF(OR(NOT(ISNUMBER(E489)),NOT(ISNUMBER(F489))),"BELUM LENGKAP",ROUND(E489*F489,0)))</f>
        <v/>
      </c>
      <c r="J489" s="0" t="str">
        <f aca="false">IF(A489="","",IF(NOT(ISNUMBER(G489)),"BELUM LENGKAP",G489-H489-I489))</f>
        <v/>
      </c>
      <c r="L489" s="0" t="str">
        <f aca="false">IF(A489="","",IF(NOT(ISNUMBER(K489)),"ISI SNAPSHOT HPP",ROUND(E489*K489,0)))</f>
        <v/>
      </c>
      <c r="M489" s="0" t="str">
        <f aca="false">IF(A489="","",IF(NOT(ISNUMBER(L489)),"BELUM LENGKAP",J489-L489))</f>
        <v/>
      </c>
      <c r="N489" s="0" t="str">
        <f aca="false">IF(B489="","",IF(COUNTIFS('RESEP DAN HPP'!$A$5:$A$504,B489,'RESEP DAN HPP'!$N$5:$N$504,"LENGKAP")=0,"BELUM LENGKAP",INDEX('RESEP DAN HPP'!$J$5:$J$504,MATCH(B489,'RESEP DAN HPP'!$A$5:$A$504,0))))</f>
        <v/>
      </c>
      <c r="P489" s="0" t="str">
        <f aca="false">IF(A489="","",IF(COUNTIFS('TRANSAKSI PENJUALAN'!$A$5:$A$504,A489)=0,"BELUM ADA",INDEX('TRANSAKSI PENJUALAN'!$B$5:$B$504,MATCH(A489,'TRANSAKSI PENJUALAN'!$A$5:$A$504,0))))</f>
        <v/>
      </c>
      <c r="Q489" s="0" t="str">
        <f aca="false">IF(A489="","",IF(COUNTIFS('TRANSAKSI PENJUALAN'!$A$5:$A$504,A489)=0,"BELUM ADA",INDEX('TRANSAKSI PENJUALAN'!$M$5:$M$504,MATCH(A489,'TRANSAKSI PENJUALAN'!$A$5:$A$504,0))))</f>
        <v/>
      </c>
      <c r="R489" s="24" t="str">
        <f aca="false">IF(A489="","",COUNTIF($A$5:A489,A489))</f>
        <v/>
      </c>
      <c r="S489" s="24" t="str">
        <f aca="false">IF(A489="","",A489&amp;"|"&amp;R489)</f>
        <v/>
      </c>
    </row>
    <row r="490" customFormat="false" ht="15" hidden="false" customHeight="false" outlineLevel="0" collapsed="false">
      <c r="C490" s="0" t="str">
        <f aca="false">IF(B490="","",IF(COUNTIFS('MASTER MENU'!$A$5:$A$504,B490)=0,"BELUM ADA",INDEX('MASTER MENU'!$B$5:$B$504,MATCH(B490,'MASTER MENU'!$A$5:$A$504,0))))</f>
        <v/>
      </c>
      <c r="D490" s="0" t="str">
        <f aca="false">IF(B490="","",IF(COUNTIFS('MASTER MENU'!$A$5:$A$504,B490)=0,"BELUM ADA",INDEX('MASTER MENU'!$E$5:$E$504,MATCH(B490,'MASTER MENU'!$A$5:$A$504,0))))</f>
        <v/>
      </c>
      <c r="F490" s="0" t="str">
        <f aca="false">IF(B490="","",IF(COUNTIFS('MASTER MENU'!$A$5:$A$504,B490)=0,"BELUM ADA",INDEX('MASTER MENU'!$F$5:$F$504,MATCH(B490,'MASTER MENU'!$A$5:$A$504,0))))</f>
        <v/>
      </c>
      <c r="G490" s="0" t="str">
        <f aca="false">IF(A490="","",IF(OR(NOT(ISNUMBER(E490)),NOT(ISNUMBER(F490))),"BELUM LENGKAP",ROUND(E490*F490,0)))</f>
        <v/>
      </c>
      <c r="J490" s="0" t="str">
        <f aca="false">IF(A490="","",IF(NOT(ISNUMBER(G490)),"BELUM LENGKAP",G490-H490-I490))</f>
        <v/>
      </c>
      <c r="L490" s="0" t="str">
        <f aca="false">IF(A490="","",IF(NOT(ISNUMBER(K490)),"ISI SNAPSHOT HPP",ROUND(E490*K490,0)))</f>
        <v/>
      </c>
      <c r="M490" s="0" t="str">
        <f aca="false">IF(A490="","",IF(NOT(ISNUMBER(L490)),"BELUM LENGKAP",J490-L490))</f>
        <v/>
      </c>
      <c r="N490" s="0" t="str">
        <f aca="false">IF(B490="","",IF(COUNTIFS('RESEP DAN HPP'!$A$5:$A$504,B490,'RESEP DAN HPP'!$N$5:$N$504,"LENGKAP")=0,"BELUM LENGKAP",INDEX('RESEP DAN HPP'!$J$5:$J$504,MATCH(B490,'RESEP DAN HPP'!$A$5:$A$504,0))))</f>
        <v/>
      </c>
      <c r="P490" s="0" t="str">
        <f aca="false">IF(A490="","",IF(COUNTIFS('TRANSAKSI PENJUALAN'!$A$5:$A$504,A490)=0,"BELUM ADA",INDEX('TRANSAKSI PENJUALAN'!$B$5:$B$504,MATCH(A490,'TRANSAKSI PENJUALAN'!$A$5:$A$504,0))))</f>
        <v/>
      </c>
      <c r="Q490" s="0" t="str">
        <f aca="false">IF(A490="","",IF(COUNTIFS('TRANSAKSI PENJUALAN'!$A$5:$A$504,A490)=0,"BELUM ADA",INDEX('TRANSAKSI PENJUALAN'!$M$5:$M$504,MATCH(A490,'TRANSAKSI PENJUALAN'!$A$5:$A$504,0))))</f>
        <v/>
      </c>
      <c r="R490" s="24" t="str">
        <f aca="false">IF(A490="","",COUNTIF($A$5:A490,A490))</f>
        <v/>
      </c>
      <c r="S490" s="24" t="str">
        <f aca="false">IF(A490="","",A490&amp;"|"&amp;R490)</f>
        <v/>
      </c>
    </row>
    <row r="491" customFormat="false" ht="15" hidden="false" customHeight="false" outlineLevel="0" collapsed="false">
      <c r="C491" s="0" t="str">
        <f aca="false">IF(B491="","",IF(COUNTIFS('MASTER MENU'!$A$5:$A$504,B491)=0,"BELUM ADA",INDEX('MASTER MENU'!$B$5:$B$504,MATCH(B491,'MASTER MENU'!$A$5:$A$504,0))))</f>
        <v/>
      </c>
      <c r="D491" s="0" t="str">
        <f aca="false">IF(B491="","",IF(COUNTIFS('MASTER MENU'!$A$5:$A$504,B491)=0,"BELUM ADA",INDEX('MASTER MENU'!$E$5:$E$504,MATCH(B491,'MASTER MENU'!$A$5:$A$504,0))))</f>
        <v/>
      </c>
      <c r="F491" s="0" t="str">
        <f aca="false">IF(B491="","",IF(COUNTIFS('MASTER MENU'!$A$5:$A$504,B491)=0,"BELUM ADA",INDEX('MASTER MENU'!$F$5:$F$504,MATCH(B491,'MASTER MENU'!$A$5:$A$504,0))))</f>
        <v/>
      </c>
      <c r="G491" s="0" t="str">
        <f aca="false">IF(A491="","",IF(OR(NOT(ISNUMBER(E491)),NOT(ISNUMBER(F491))),"BELUM LENGKAP",ROUND(E491*F491,0)))</f>
        <v/>
      </c>
      <c r="J491" s="0" t="str">
        <f aca="false">IF(A491="","",IF(NOT(ISNUMBER(G491)),"BELUM LENGKAP",G491-H491-I491))</f>
        <v/>
      </c>
      <c r="L491" s="0" t="str">
        <f aca="false">IF(A491="","",IF(NOT(ISNUMBER(K491)),"ISI SNAPSHOT HPP",ROUND(E491*K491,0)))</f>
        <v/>
      </c>
      <c r="M491" s="0" t="str">
        <f aca="false">IF(A491="","",IF(NOT(ISNUMBER(L491)),"BELUM LENGKAP",J491-L491))</f>
        <v/>
      </c>
      <c r="N491" s="0" t="str">
        <f aca="false">IF(B491="","",IF(COUNTIFS('RESEP DAN HPP'!$A$5:$A$504,B491,'RESEP DAN HPP'!$N$5:$N$504,"LENGKAP")=0,"BELUM LENGKAP",INDEX('RESEP DAN HPP'!$J$5:$J$504,MATCH(B491,'RESEP DAN HPP'!$A$5:$A$504,0))))</f>
        <v/>
      </c>
      <c r="P491" s="0" t="str">
        <f aca="false">IF(A491="","",IF(COUNTIFS('TRANSAKSI PENJUALAN'!$A$5:$A$504,A491)=0,"BELUM ADA",INDEX('TRANSAKSI PENJUALAN'!$B$5:$B$504,MATCH(A491,'TRANSAKSI PENJUALAN'!$A$5:$A$504,0))))</f>
        <v/>
      </c>
      <c r="Q491" s="0" t="str">
        <f aca="false">IF(A491="","",IF(COUNTIFS('TRANSAKSI PENJUALAN'!$A$5:$A$504,A491)=0,"BELUM ADA",INDEX('TRANSAKSI PENJUALAN'!$M$5:$M$504,MATCH(A491,'TRANSAKSI PENJUALAN'!$A$5:$A$504,0))))</f>
        <v/>
      </c>
      <c r="R491" s="24" t="str">
        <f aca="false">IF(A491="","",COUNTIF($A$5:A491,A491))</f>
        <v/>
      </c>
      <c r="S491" s="24" t="str">
        <f aca="false">IF(A491="","",A491&amp;"|"&amp;R491)</f>
        <v/>
      </c>
    </row>
    <row r="492" customFormat="false" ht="15" hidden="false" customHeight="false" outlineLevel="0" collapsed="false">
      <c r="C492" s="0" t="str">
        <f aca="false">IF(B492="","",IF(COUNTIFS('MASTER MENU'!$A$5:$A$504,B492)=0,"BELUM ADA",INDEX('MASTER MENU'!$B$5:$B$504,MATCH(B492,'MASTER MENU'!$A$5:$A$504,0))))</f>
        <v/>
      </c>
      <c r="D492" s="0" t="str">
        <f aca="false">IF(B492="","",IF(COUNTIFS('MASTER MENU'!$A$5:$A$504,B492)=0,"BELUM ADA",INDEX('MASTER MENU'!$E$5:$E$504,MATCH(B492,'MASTER MENU'!$A$5:$A$504,0))))</f>
        <v/>
      </c>
      <c r="F492" s="0" t="str">
        <f aca="false">IF(B492="","",IF(COUNTIFS('MASTER MENU'!$A$5:$A$504,B492)=0,"BELUM ADA",INDEX('MASTER MENU'!$F$5:$F$504,MATCH(B492,'MASTER MENU'!$A$5:$A$504,0))))</f>
        <v/>
      </c>
      <c r="G492" s="0" t="str">
        <f aca="false">IF(A492="","",IF(OR(NOT(ISNUMBER(E492)),NOT(ISNUMBER(F492))),"BELUM LENGKAP",ROUND(E492*F492,0)))</f>
        <v/>
      </c>
      <c r="J492" s="0" t="str">
        <f aca="false">IF(A492="","",IF(NOT(ISNUMBER(G492)),"BELUM LENGKAP",G492-H492-I492))</f>
        <v/>
      </c>
      <c r="L492" s="0" t="str">
        <f aca="false">IF(A492="","",IF(NOT(ISNUMBER(K492)),"ISI SNAPSHOT HPP",ROUND(E492*K492,0)))</f>
        <v/>
      </c>
      <c r="M492" s="0" t="str">
        <f aca="false">IF(A492="","",IF(NOT(ISNUMBER(L492)),"BELUM LENGKAP",J492-L492))</f>
        <v/>
      </c>
      <c r="N492" s="0" t="str">
        <f aca="false">IF(B492="","",IF(COUNTIFS('RESEP DAN HPP'!$A$5:$A$504,B492,'RESEP DAN HPP'!$N$5:$N$504,"LENGKAP")=0,"BELUM LENGKAP",INDEX('RESEP DAN HPP'!$J$5:$J$504,MATCH(B492,'RESEP DAN HPP'!$A$5:$A$504,0))))</f>
        <v/>
      </c>
      <c r="P492" s="0" t="str">
        <f aca="false">IF(A492="","",IF(COUNTIFS('TRANSAKSI PENJUALAN'!$A$5:$A$504,A492)=0,"BELUM ADA",INDEX('TRANSAKSI PENJUALAN'!$B$5:$B$504,MATCH(A492,'TRANSAKSI PENJUALAN'!$A$5:$A$504,0))))</f>
        <v/>
      </c>
      <c r="Q492" s="0" t="str">
        <f aca="false">IF(A492="","",IF(COUNTIFS('TRANSAKSI PENJUALAN'!$A$5:$A$504,A492)=0,"BELUM ADA",INDEX('TRANSAKSI PENJUALAN'!$M$5:$M$504,MATCH(A492,'TRANSAKSI PENJUALAN'!$A$5:$A$504,0))))</f>
        <v/>
      </c>
      <c r="R492" s="24" t="str">
        <f aca="false">IF(A492="","",COUNTIF($A$5:A492,A492))</f>
        <v/>
      </c>
      <c r="S492" s="24" t="str">
        <f aca="false">IF(A492="","",A492&amp;"|"&amp;R492)</f>
        <v/>
      </c>
    </row>
    <row r="493" customFormat="false" ht="15" hidden="false" customHeight="false" outlineLevel="0" collapsed="false">
      <c r="C493" s="0" t="str">
        <f aca="false">IF(B493="","",IF(COUNTIFS('MASTER MENU'!$A$5:$A$504,B493)=0,"BELUM ADA",INDEX('MASTER MENU'!$B$5:$B$504,MATCH(B493,'MASTER MENU'!$A$5:$A$504,0))))</f>
        <v/>
      </c>
      <c r="D493" s="0" t="str">
        <f aca="false">IF(B493="","",IF(COUNTIFS('MASTER MENU'!$A$5:$A$504,B493)=0,"BELUM ADA",INDEX('MASTER MENU'!$E$5:$E$504,MATCH(B493,'MASTER MENU'!$A$5:$A$504,0))))</f>
        <v/>
      </c>
      <c r="F493" s="0" t="str">
        <f aca="false">IF(B493="","",IF(COUNTIFS('MASTER MENU'!$A$5:$A$504,B493)=0,"BELUM ADA",INDEX('MASTER MENU'!$F$5:$F$504,MATCH(B493,'MASTER MENU'!$A$5:$A$504,0))))</f>
        <v/>
      </c>
      <c r="G493" s="0" t="str">
        <f aca="false">IF(A493="","",IF(OR(NOT(ISNUMBER(E493)),NOT(ISNUMBER(F493))),"BELUM LENGKAP",ROUND(E493*F493,0)))</f>
        <v/>
      </c>
      <c r="J493" s="0" t="str">
        <f aca="false">IF(A493="","",IF(NOT(ISNUMBER(G493)),"BELUM LENGKAP",G493-H493-I493))</f>
        <v/>
      </c>
      <c r="L493" s="0" t="str">
        <f aca="false">IF(A493="","",IF(NOT(ISNUMBER(K493)),"ISI SNAPSHOT HPP",ROUND(E493*K493,0)))</f>
        <v/>
      </c>
      <c r="M493" s="0" t="str">
        <f aca="false">IF(A493="","",IF(NOT(ISNUMBER(L493)),"BELUM LENGKAP",J493-L493))</f>
        <v/>
      </c>
      <c r="N493" s="0" t="str">
        <f aca="false">IF(B493="","",IF(COUNTIFS('RESEP DAN HPP'!$A$5:$A$504,B493,'RESEP DAN HPP'!$N$5:$N$504,"LENGKAP")=0,"BELUM LENGKAP",INDEX('RESEP DAN HPP'!$J$5:$J$504,MATCH(B493,'RESEP DAN HPP'!$A$5:$A$504,0))))</f>
        <v/>
      </c>
      <c r="P493" s="0" t="str">
        <f aca="false">IF(A493="","",IF(COUNTIFS('TRANSAKSI PENJUALAN'!$A$5:$A$504,A493)=0,"BELUM ADA",INDEX('TRANSAKSI PENJUALAN'!$B$5:$B$504,MATCH(A493,'TRANSAKSI PENJUALAN'!$A$5:$A$504,0))))</f>
        <v/>
      </c>
      <c r="Q493" s="0" t="str">
        <f aca="false">IF(A493="","",IF(COUNTIFS('TRANSAKSI PENJUALAN'!$A$5:$A$504,A493)=0,"BELUM ADA",INDEX('TRANSAKSI PENJUALAN'!$M$5:$M$504,MATCH(A493,'TRANSAKSI PENJUALAN'!$A$5:$A$504,0))))</f>
        <v/>
      </c>
      <c r="R493" s="24" t="str">
        <f aca="false">IF(A493="","",COUNTIF($A$5:A493,A493))</f>
        <v/>
      </c>
      <c r="S493" s="24" t="str">
        <f aca="false">IF(A493="","",A493&amp;"|"&amp;R493)</f>
        <v/>
      </c>
    </row>
    <row r="494" customFormat="false" ht="15" hidden="false" customHeight="false" outlineLevel="0" collapsed="false">
      <c r="C494" s="0" t="str">
        <f aca="false">IF(B494="","",IF(COUNTIFS('MASTER MENU'!$A$5:$A$504,B494)=0,"BELUM ADA",INDEX('MASTER MENU'!$B$5:$B$504,MATCH(B494,'MASTER MENU'!$A$5:$A$504,0))))</f>
        <v/>
      </c>
      <c r="D494" s="0" t="str">
        <f aca="false">IF(B494="","",IF(COUNTIFS('MASTER MENU'!$A$5:$A$504,B494)=0,"BELUM ADA",INDEX('MASTER MENU'!$E$5:$E$504,MATCH(B494,'MASTER MENU'!$A$5:$A$504,0))))</f>
        <v/>
      </c>
      <c r="F494" s="0" t="str">
        <f aca="false">IF(B494="","",IF(COUNTIFS('MASTER MENU'!$A$5:$A$504,B494)=0,"BELUM ADA",INDEX('MASTER MENU'!$F$5:$F$504,MATCH(B494,'MASTER MENU'!$A$5:$A$504,0))))</f>
        <v/>
      </c>
      <c r="G494" s="0" t="str">
        <f aca="false">IF(A494="","",IF(OR(NOT(ISNUMBER(E494)),NOT(ISNUMBER(F494))),"BELUM LENGKAP",ROUND(E494*F494,0)))</f>
        <v/>
      </c>
      <c r="J494" s="0" t="str">
        <f aca="false">IF(A494="","",IF(NOT(ISNUMBER(G494)),"BELUM LENGKAP",G494-H494-I494))</f>
        <v/>
      </c>
      <c r="L494" s="0" t="str">
        <f aca="false">IF(A494="","",IF(NOT(ISNUMBER(K494)),"ISI SNAPSHOT HPP",ROUND(E494*K494,0)))</f>
        <v/>
      </c>
      <c r="M494" s="0" t="str">
        <f aca="false">IF(A494="","",IF(NOT(ISNUMBER(L494)),"BELUM LENGKAP",J494-L494))</f>
        <v/>
      </c>
      <c r="N494" s="0" t="str">
        <f aca="false">IF(B494="","",IF(COUNTIFS('RESEP DAN HPP'!$A$5:$A$504,B494,'RESEP DAN HPP'!$N$5:$N$504,"LENGKAP")=0,"BELUM LENGKAP",INDEX('RESEP DAN HPP'!$J$5:$J$504,MATCH(B494,'RESEP DAN HPP'!$A$5:$A$504,0))))</f>
        <v/>
      </c>
      <c r="P494" s="0" t="str">
        <f aca="false">IF(A494="","",IF(COUNTIFS('TRANSAKSI PENJUALAN'!$A$5:$A$504,A494)=0,"BELUM ADA",INDEX('TRANSAKSI PENJUALAN'!$B$5:$B$504,MATCH(A494,'TRANSAKSI PENJUALAN'!$A$5:$A$504,0))))</f>
        <v/>
      </c>
      <c r="Q494" s="0" t="str">
        <f aca="false">IF(A494="","",IF(COUNTIFS('TRANSAKSI PENJUALAN'!$A$5:$A$504,A494)=0,"BELUM ADA",INDEX('TRANSAKSI PENJUALAN'!$M$5:$M$504,MATCH(A494,'TRANSAKSI PENJUALAN'!$A$5:$A$504,0))))</f>
        <v/>
      </c>
      <c r="R494" s="24" t="str">
        <f aca="false">IF(A494="","",COUNTIF($A$5:A494,A494))</f>
        <v/>
      </c>
      <c r="S494" s="24" t="str">
        <f aca="false">IF(A494="","",A494&amp;"|"&amp;R494)</f>
        <v/>
      </c>
    </row>
    <row r="495" customFormat="false" ht="15" hidden="false" customHeight="false" outlineLevel="0" collapsed="false">
      <c r="C495" s="0" t="str">
        <f aca="false">IF(B495="","",IF(COUNTIFS('MASTER MENU'!$A$5:$A$504,B495)=0,"BELUM ADA",INDEX('MASTER MENU'!$B$5:$B$504,MATCH(B495,'MASTER MENU'!$A$5:$A$504,0))))</f>
        <v/>
      </c>
      <c r="D495" s="0" t="str">
        <f aca="false">IF(B495="","",IF(COUNTIFS('MASTER MENU'!$A$5:$A$504,B495)=0,"BELUM ADA",INDEX('MASTER MENU'!$E$5:$E$504,MATCH(B495,'MASTER MENU'!$A$5:$A$504,0))))</f>
        <v/>
      </c>
      <c r="F495" s="0" t="str">
        <f aca="false">IF(B495="","",IF(COUNTIFS('MASTER MENU'!$A$5:$A$504,B495)=0,"BELUM ADA",INDEX('MASTER MENU'!$F$5:$F$504,MATCH(B495,'MASTER MENU'!$A$5:$A$504,0))))</f>
        <v/>
      </c>
      <c r="G495" s="0" t="str">
        <f aca="false">IF(A495="","",IF(OR(NOT(ISNUMBER(E495)),NOT(ISNUMBER(F495))),"BELUM LENGKAP",ROUND(E495*F495,0)))</f>
        <v/>
      </c>
      <c r="J495" s="0" t="str">
        <f aca="false">IF(A495="","",IF(NOT(ISNUMBER(G495)),"BELUM LENGKAP",G495-H495-I495))</f>
        <v/>
      </c>
      <c r="L495" s="0" t="str">
        <f aca="false">IF(A495="","",IF(NOT(ISNUMBER(K495)),"ISI SNAPSHOT HPP",ROUND(E495*K495,0)))</f>
        <v/>
      </c>
      <c r="M495" s="0" t="str">
        <f aca="false">IF(A495="","",IF(NOT(ISNUMBER(L495)),"BELUM LENGKAP",J495-L495))</f>
        <v/>
      </c>
      <c r="N495" s="0" t="str">
        <f aca="false">IF(B495="","",IF(COUNTIFS('RESEP DAN HPP'!$A$5:$A$504,B495,'RESEP DAN HPP'!$N$5:$N$504,"LENGKAP")=0,"BELUM LENGKAP",INDEX('RESEP DAN HPP'!$J$5:$J$504,MATCH(B495,'RESEP DAN HPP'!$A$5:$A$504,0))))</f>
        <v/>
      </c>
      <c r="P495" s="0" t="str">
        <f aca="false">IF(A495="","",IF(COUNTIFS('TRANSAKSI PENJUALAN'!$A$5:$A$504,A495)=0,"BELUM ADA",INDEX('TRANSAKSI PENJUALAN'!$B$5:$B$504,MATCH(A495,'TRANSAKSI PENJUALAN'!$A$5:$A$504,0))))</f>
        <v/>
      </c>
      <c r="Q495" s="0" t="str">
        <f aca="false">IF(A495="","",IF(COUNTIFS('TRANSAKSI PENJUALAN'!$A$5:$A$504,A495)=0,"BELUM ADA",INDEX('TRANSAKSI PENJUALAN'!$M$5:$M$504,MATCH(A495,'TRANSAKSI PENJUALAN'!$A$5:$A$504,0))))</f>
        <v/>
      </c>
      <c r="R495" s="24" t="str">
        <f aca="false">IF(A495="","",COUNTIF($A$5:A495,A495))</f>
        <v/>
      </c>
      <c r="S495" s="24" t="str">
        <f aca="false">IF(A495="","",A495&amp;"|"&amp;R495)</f>
        <v/>
      </c>
    </row>
    <row r="496" customFormat="false" ht="15" hidden="false" customHeight="false" outlineLevel="0" collapsed="false">
      <c r="C496" s="0" t="str">
        <f aca="false">IF(B496="","",IF(COUNTIFS('MASTER MENU'!$A$5:$A$504,B496)=0,"BELUM ADA",INDEX('MASTER MENU'!$B$5:$B$504,MATCH(B496,'MASTER MENU'!$A$5:$A$504,0))))</f>
        <v/>
      </c>
      <c r="D496" s="0" t="str">
        <f aca="false">IF(B496="","",IF(COUNTIFS('MASTER MENU'!$A$5:$A$504,B496)=0,"BELUM ADA",INDEX('MASTER MENU'!$E$5:$E$504,MATCH(B496,'MASTER MENU'!$A$5:$A$504,0))))</f>
        <v/>
      </c>
      <c r="F496" s="0" t="str">
        <f aca="false">IF(B496="","",IF(COUNTIFS('MASTER MENU'!$A$5:$A$504,B496)=0,"BELUM ADA",INDEX('MASTER MENU'!$F$5:$F$504,MATCH(B496,'MASTER MENU'!$A$5:$A$504,0))))</f>
        <v/>
      </c>
      <c r="G496" s="0" t="str">
        <f aca="false">IF(A496="","",IF(OR(NOT(ISNUMBER(E496)),NOT(ISNUMBER(F496))),"BELUM LENGKAP",ROUND(E496*F496,0)))</f>
        <v/>
      </c>
      <c r="J496" s="0" t="str">
        <f aca="false">IF(A496="","",IF(NOT(ISNUMBER(G496)),"BELUM LENGKAP",G496-H496-I496))</f>
        <v/>
      </c>
      <c r="L496" s="0" t="str">
        <f aca="false">IF(A496="","",IF(NOT(ISNUMBER(K496)),"ISI SNAPSHOT HPP",ROUND(E496*K496,0)))</f>
        <v/>
      </c>
      <c r="M496" s="0" t="str">
        <f aca="false">IF(A496="","",IF(NOT(ISNUMBER(L496)),"BELUM LENGKAP",J496-L496))</f>
        <v/>
      </c>
      <c r="N496" s="0" t="str">
        <f aca="false">IF(B496="","",IF(COUNTIFS('RESEP DAN HPP'!$A$5:$A$504,B496,'RESEP DAN HPP'!$N$5:$N$504,"LENGKAP")=0,"BELUM LENGKAP",INDEX('RESEP DAN HPP'!$J$5:$J$504,MATCH(B496,'RESEP DAN HPP'!$A$5:$A$504,0))))</f>
        <v/>
      </c>
      <c r="P496" s="0" t="str">
        <f aca="false">IF(A496="","",IF(COUNTIFS('TRANSAKSI PENJUALAN'!$A$5:$A$504,A496)=0,"BELUM ADA",INDEX('TRANSAKSI PENJUALAN'!$B$5:$B$504,MATCH(A496,'TRANSAKSI PENJUALAN'!$A$5:$A$504,0))))</f>
        <v/>
      </c>
      <c r="Q496" s="0" t="str">
        <f aca="false">IF(A496="","",IF(COUNTIFS('TRANSAKSI PENJUALAN'!$A$5:$A$504,A496)=0,"BELUM ADA",INDEX('TRANSAKSI PENJUALAN'!$M$5:$M$504,MATCH(A496,'TRANSAKSI PENJUALAN'!$A$5:$A$504,0))))</f>
        <v/>
      </c>
      <c r="R496" s="24" t="str">
        <f aca="false">IF(A496="","",COUNTIF($A$5:A496,A496))</f>
        <v/>
      </c>
      <c r="S496" s="24" t="str">
        <f aca="false">IF(A496="","",A496&amp;"|"&amp;R496)</f>
        <v/>
      </c>
    </row>
    <row r="497" customFormat="false" ht="15" hidden="false" customHeight="false" outlineLevel="0" collapsed="false">
      <c r="C497" s="0" t="str">
        <f aca="false">IF(B497="","",IF(COUNTIFS('MASTER MENU'!$A$5:$A$504,B497)=0,"BELUM ADA",INDEX('MASTER MENU'!$B$5:$B$504,MATCH(B497,'MASTER MENU'!$A$5:$A$504,0))))</f>
        <v/>
      </c>
      <c r="D497" s="0" t="str">
        <f aca="false">IF(B497="","",IF(COUNTIFS('MASTER MENU'!$A$5:$A$504,B497)=0,"BELUM ADA",INDEX('MASTER MENU'!$E$5:$E$504,MATCH(B497,'MASTER MENU'!$A$5:$A$504,0))))</f>
        <v/>
      </c>
      <c r="F497" s="0" t="str">
        <f aca="false">IF(B497="","",IF(COUNTIFS('MASTER MENU'!$A$5:$A$504,B497)=0,"BELUM ADA",INDEX('MASTER MENU'!$F$5:$F$504,MATCH(B497,'MASTER MENU'!$A$5:$A$504,0))))</f>
        <v/>
      </c>
      <c r="G497" s="0" t="str">
        <f aca="false">IF(A497="","",IF(OR(NOT(ISNUMBER(E497)),NOT(ISNUMBER(F497))),"BELUM LENGKAP",ROUND(E497*F497,0)))</f>
        <v/>
      </c>
      <c r="J497" s="0" t="str">
        <f aca="false">IF(A497="","",IF(NOT(ISNUMBER(G497)),"BELUM LENGKAP",G497-H497-I497))</f>
        <v/>
      </c>
      <c r="L497" s="0" t="str">
        <f aca="false">IF(A497="","",IF(NOT(ISNUMBER(K497)),"ISI SNAPSHOT HPP",ROUND(E497*K497,0)))</f>
        <v/>
      </c>
      <c r="M497" s="0" t="str">
        <f aca="false">IF(A497="","",IF(NOT(ISNUMBER(L497)),"BELUM LENGKAP",J497-L497))</f>
        <v/>
      </c>
      <c r="N497" s="0" t="str">
        <f aca="false">IF(B497="","",IF(COUNTIFS('RESEP DAN HPP'!$A$5:$A$504,B497,'RESEP DAN HPP'!$N$5:$N$504,"LENGKAP")=0,"BELUM LENGKAP",INDEX('RESEP DAN HPP'!$J$5:$J$504,MATCH(B497,'RESEP DAN HPP'!$A$5:$A$504,0))))</f>
        <v/>
      </c>
      <c r="P497" s="0" t="str">
        <f aca="false">IF(A497="","",IF(COUNTIFS('TRANSAKSI PENJUALAN'!$A$5:$A$504,A497)=0,"BELUM ADA",INDEX('TRANSAKSI PENJUALAN'!$B$5:$B$504,MATCH(A497,'TRANSAKSI PENJUALAN'!$A$5:$A$504,0))))</f>
        <v/>
      </c>
      <c r="Q497" s="0" t="str">
        <f aca="false">IF(A497="","",IF(COUNTIFS('TRANSAKSI PENJUALAN'!$A$5:$A$504,A497)=0,"BELUM ADA",INDEX('TRANSAKSI PENJUALAN'!$M$5:$M$504,MATCH(A497,'TRANSAKSI PENJUALAN'!$A$5:$A$504,0))))</f>
        <v/>
      </c>
      <c r="R497" s="24" t="str">
        <f aca="false">IF(A497="","",COUNTIF($A$5:A497,A497))</f>
        <v/>
      </c>
      <c r="S497" s="24" t="str">
        <f aca="false">IF(A497="","",A497&amp;"|"&amp;R497)</f>
        <v/>
      </c>
    </row>
    <row r="498" customFormat="false" ht="15" hidden="false" customHeight="false" outlineLevel="0" collapsed="false">
      <c r="C498" s="0" t="str">
        <f aca="false">IF(B498="","",IF(COUNTIFS('MASTER MENU'!$A$5:$A$504,B498)=0,"BELUM ADA",INDEX('MASTER MENU'!$B$5:$B$504,MATCH(B498,'MASTER MENU'!$A$5:$A$504,0))))</f>
        <v/>
      </c>
      <c r="D498" s="0" t="str">
        <f aca="false">IF(B498="","",IF(COUNTIFS('MASTER MENU'!$A$5:$A$504,B498)=0,"BELUM ADA",INDEX('MASTER MENU'!$E$5:$E$504,MATCH(B498,'MASTER MENU'!$A$5:$A$504,0))))</f>
        <v/>
      </c>
      <c r="F498" s="0" t="str">
        <f aca="false">IF(B498="","",IF(COUNTIFS('MASTER MENU'!$A$5:$A$504,B498)=0,"BELUM ADA",INDEX('MASTER MENU'!$F$5:$F$504,MATCH(B498,'MASTER MENU'!$A$5:$A$504,0))))</f>
        <v/>
      </c>
      <c r="G498" s="0" t="str">
        <f aca="false">IF(A498="","",IF(OR(NOT(ISNUMBER(E498)),NOT(ISNUMBER(F498))),"BELUM LENGKAP",ROUND(E498*F498,0)))</f>
        <v/>
      </c>
      <c r="J498" s="0" t="str">
        <f aca="false">IF(A498="","",IF(NOT(ISNUMBER(G498)),"BELUM LENGKAP",G498-H498-I498))</f>
        <v/>
      </c>
      <c r="L498" s="0" t="str">
        <f aca="false">IF(A498="","",IF(NOT(ISNUMBER(K498)),"ISI SNAPSHOT HPP",ROUND(E498*K498,0)))</f>
        <v/>
      </c>
      <c r="M498" s="0" t="str">
        <f aca="false">IF(A498="","",IF(NOT(ISNUMBER(L498)),"BELUM LENGKAP",J498-L498))</f>
        <v/>
      </c>
      <c r="N498" s="0" t="str">
        <f aca="false">IF(B498="","",IF(COUNTIFS('RESEP DAN HPP'!$A$5:$A$504,B498,'RESEP DAN HPP'!$N$5:$N$504,"LENGKAP")=0,"BELUM LENGKAP",INDEX('RESEP DAN HPP'!$J$5:$J$504,MATCH(B498,'RESEP DAN HPP'!$A$5:$A$504,0))))</f>
        <v/>
      </c>
      <c r="P498" s="0" t="str">
        <f aca="false">IF(A498="","",IF(COUNTIFS('TRANSAKSI PENJUALAN'!$A$5:$A$504,A498)=0,"BELUM ADA",INDEX('TRANSAKSI PENJUALAN'!$B$5:$B$504,MATCH(A498,'TRANSAKSI PENJUALAN'!$A$5:$A$504,0))))</f>
        <v/>
      </c>
      <c r="Q498" s="0" t="str">
        <f aca="false">IF(A498="","",IF(COUNTIFS('TRANSAKSI PENJUALAN'!$A$5:$A$504,A498)=0,"BELUM ADA",INDEX('TRANSAKSI PENJUALAN'!$M$5:$M$504,MATCH(A498,'TRANSAKSI PENJUALAN'!$A$5:$A$504,0))))</f>
        <v/>
      </c>
      <c r="R498" s="24" t="str">
        <f aca="false">IF(A498="","",COUNTIF($A$5:A498,A498))</f>
        <v/>
      </c>
      <c r="S498" s="24" t="str">
        <f aca="false">IF(A498="","",A498&amp;"|"&amp;R498)</f>
        <v/>
      </c>
    </row>
    <row r="499" customFormat="false" ht="15" hidden="false" customHeight="false" outlineLevel="0" collapsed="false">
      <c r="C499" s="0" t="str">
        <f aca="false">IF(B499="","",IF(COUNTIFS('MASTER MENU'!$A$5:$A$504,B499)=0,"BELUM ADA",INDEX('MASTER MENU'!$B$5:$B$504,MATCH(B499,'MASTER MENU'!$A$5:$A$504,0))))</f>
        <v/>
      </c>
      <c r="D499" s="0" t="str">
        <f aca="false">IF(B499="","",IF(COUNTIFS('MASTER MENU'!$A$5:$A$504,B499)=0,"BELUM ADA",INDEX('MASTER MENU'!$E$5:$E$504,MATCH(B499,'MASTER MENU'!$A$5:$A$504,0))))</f>
        <v/>
      </c>
      <c r="F499" s="0" t="str">
        <f aca="false">IF(B499="","",IF(COUNTIFS('MASTER MENU'!$A$5:$A$504,B499)=0,"BELUM ADA",INDEX('MASTER MENU'!$F$5:$F$504,MATCH(B499,'MASTER MENU'!$A$5:$A$504,0))))</f>
        <v/>
      </c>
      <c r="G499" s="0" t="str">
        <f aca="false">IF(A499="","",IF(OR(NOT(ISNUMBER(E499)),NOT(ISNUMBER(F499))),"BELUM LENGKAP",ROUND(E499*F499,0)))</f>
        <v/>
      </c>
      <c r="J499" s="0" t="str">
        <f aca="false">IF(A499="","",IF(NOT(ISNUMBER(G499)),"BELUM LENGKAP",G499-H499-I499))</f>
        <v/>
      </c>
      <c r="L499" s="0" t="str">
        <f aca="false">IF(A499="","",IF(NOT(ISNUMBER(K499)),"ISI SNAPSHOT HPP",ROUND(E499*K499,0)))</f>
        <v/>
      </c>
      <c r="M499" s="0" t="str">
        <f aca="false">IF(A499="","",IF(NOT(ISNUMBER(L499)),"BELUM LENGKAP",J499-L499))</f>
        <v/>
      </c>
      <c r="N499" s="0" t="str">
        <f aca="false">IF(B499="","",IF(COUNTIFS('RESEP DAN HPP'!$A$5:$A$504,B499,'RESEP DAN HPP'!$N$5:$N$504,"LENGKAP")=0,"BELUM LENGKAP",INDEX('RESEP DAN HPP'!$J$5:$J$504,MATCH(B499,'RESEP DAN HPP'!$A$5:$A$504,0))))</f>
        <v/>
      </c>
      <c r="P499" s="0" t="str">
        <f aca="false">IF(A499="","",IF(COUNTIFS('TRANSAKSI PENJUALAN'!$A$5:$A$504,A499)=0,"BELUM ADA",INDEX('TRANSAKSI PENJUALAN'!$B$5:$B$504,MATCH(A499,'TRANSAKSI PENJUALAN'!$A$5:$A$504,0))))</f>
        <v/>
      </c>
      <c r="Q499" s="0" t="str">
        <f aca="false">IF(A499="","",IF(COUNTIFS('TRANSAKSI PENJUALAN'!$A$5:$A$504,A499)=0,"BELUM ADA",INDEX('TRANSAKSI PENJUALAN'!$M$5:$M$504,MATCH(A499,'TRANSAKSI PENJUALAN'!$A$5:$A$504,0))))</f>
        <v/>
      </c>
      <c r="R499" s="24" t="str">
        <f aca="false">IF(A499="","",COUNTIF($A$5:A499,A499))</f>
        <v/>
      </c>
      <c r="S499" s="24" t="str">
        <f aca="false">IF(A499="","",A499&amp;"|"&amp;R499)</f>
        <v/>
      </c>
    </row>
    <row r="500" customFormat="false" ht="15" hidden="false" customHeight="false" outlineLevel="0" collapsed="false">
      <c r="C500" s="0" t="str">
        <f aca="false">IF(B500="","",IF(COUNTIFS('MASTER MENU'!$A$5:$A$504,B500)=0,"BELUM ADA",INDEX('MASTER MENU'!$B$5:$B$504,MATCH(B500,'MASTER MENU'!$A$5:$A$504,0))))</f>
        <v/>
      </c>
      <c r="D500" s="0" t="str">
        <f aca="false">IF(B500="","",IF(COUNTIFS('MASTER MENU'!$A$5:$A$504,B500)=0,"BELUM ADA",INDEX('MASTER MENU'!$E$5:$E$504,MATCH(B500,'MASTER MENU'!$A$5:$A$504,0))))</f>
        <v/>
      </c>
      <c r="F500" s="0" t="str">
        <f aca="false">IF(B500="","",IF(COUNTIFS('MASTER MENU'!$A$5:$A$504,B500)=0,"BELUM ADA",INDEX('MASTER MENU'!$F$5:$F$504,MATCH(B500,'MASTER MENU'!$A$5:$A$504,0))))</f>
        <v/>
      </c>
      <c r="G500" s="0" t="str">
        <f aca="false">IF(A500="","",IF(OR(NOT(ISNUMBER(E500)),NOT(ISNUMBER(F500))),"BELUM LENGKAP",ROUND(E500*F500,0)))</f>
        <v/>
      </c>
      <c r="J500" s="0" t="str">
        <f aca="false">IF(A500="","",IF(NOT(ISNUMBER(G500)),"BELUM LENGKAP",G500-H500-I500))</f>
        <v/>
      </c>
      <c r="L500" s="0" t="str">
        <f aca="false">IF(A500="","",IF(NOT(ISNUMBER(K500)),"ISI SNAPSHOT HPP",ROUND(E500*K500,0)))</f>
        <v/>
      </c>
      <c r="M500" s="0" t="str">
        <f aca="false">IF(A500="","",IF(NOT(ISNUMBER(L500)),"BELUM LENGKAP",J500-L500))</f>
        <v/>
      </c>
      <c r="N500" s="0" t="str">
        <f aca="false">IF(B500="","",IF(COUNTIFS('RESEP DAN HPP'!$A$5:$A$504,B500,'RESEP DAN HPP'!$N$5:$N$504,"LENGKAP")=0,"BELUM LENGKAP",INDEX('RESEP DAN HPP'!$J$5:$J$504,MATCH(B500,'RESEP DAN HPP'!$A$5:$A$504,0))))</f>
        <v/>
      </c>
      <c r="P500" s="0" t="str">
        <f aca="false">IF(A500="","",IF(COUNTIFS('TRANSAKSI PENJUALAN'!$A$5:$A$504,A500)=0,"BELUM ADA",INDEX('TRANSAKSI PENJUALAN'!$B$5:$B$504,MATCH(A500,'TRANSAKSI PENJUALAN'!$A$5:$A$504,0))))</f>
        <v/>
      </c>
      <c r="Q500" s="0" t="str">
        <f aca="false">IF(A500="","",IF(COUNTIFS('TRANSAKSI PENJUALAN'!$A$5:$A$504,A500)=0,"BELUM ADA",INDEX('TRANSAKSI PENJUALAN'!$M$5:$M$504,MATCH(A500,'TRANSAKSI PENJUALAN'!$A$5:$A$504,0))))</f>
        <v/>
      </c>
      <c r="R500" s="24" t="str">
        <f aca="false">IF(A500="","",COUNTIF($A$5:A500,A500))</f>
        <v/>
      </c>
      <c r="S500" s="24" t="str">
        <f aca="false">IF(A500="","",A500&amp;"|"&amp;R500)</f>
        <v/>
      </c>
    </row>
    <row r="501" customFormat="false" ht="15" hidden="false" customHeight="false" outlineLevel="0" collapsed="false">
      <c r="C501" s="0" t="str">
        <f aca="false">IF(B501="","",IF(COUNTIFS('MASTER MENU'!$A$5:$A$504,B501)=0,"BELUM ADA",INDEX('MASTER MENU'!$B$5:$B$504,MATCH(B501,'MASTER MENU'!$A$5:$A$504,0))))</f>
        <v/>
      </c>
      <c r="D501" s="0" t="str">
        <f aca="false">IF(B501="","",IF(COUNTIFS('MASTER MENU'!$A$5:$A$504,B501)=0,"BELUM ADA",INDEX('MASTER MENU'!$E$5:$E$504,MATCH(B501,'MASTER MENU'!$A$5:$A$504,0))))</f>
        <v/>
      </c>
      <c r="F501" s="0" t="str">
        <f aca="false">IF(B501="","",IF(COUNTIFS('MASTER MENU'!$A$5:$A$504,B501)=0,"BELUM ADA",INDEX('MASTER MENU'!$F$5:$F$504,MATCH(B501,'MASTER MENU'!$A$5:$A$504,0))))</f>
        <v/>
      </c>
      <c r="G501" s="0" t="str">
        <f aca="false">IF(A501="","",IF(OR(NOT(ISNUMBER(E501)),NOT(ISNUMBER(F501))),"BELUM LENGKAP",ROUND(E501*F501,0)))</f>
        <v/>
      </c>
      <c r="J501" s="0" t="str">
        <f aca="false">IF(A501="","",IF(NOT(ISNUMBER(G501)),"BELUM LENGKAP",G501-H501-I501))</f>
        <v/>
      </c>
      <c r="L501" s="0" t="str">
        <f aca="false">IF(A501="","",IF(NOT(ISNUMBER(K501)),"ISI SNAPSHOT HPP",ROUND(E501*K501,0)))</f>
        <v/>
      </c>
      <c r="M501" s="0" t="str">
        <f aca="false">IF(A501="","",IF(NOT(ISNUMBER(L501)),"BELUM LENGKAP",J501-L501))</f>
        <v/>
      </c>
      <c r="N501" s="0" t="str">
        <f aca="false">IF(B501="","",IF(COUNTIFS('RESEP DAN HPP'!$A$5:$A$504,B501,'RESEP DAN HPP'!$N$5:$N$504,"LENGKAP")=0,"BELUM LENGKAP",INDEX('RESEP DAN HPP'!$J$5:$J$504,MATCH(B501,'RESEP DAN HPP'!$A$5:$A$504,0))))</f>
        <v/>
      </c>
      <c r="P501" s="0" t="str">
        <f aca="false">IF(A501="","",IF(COUNTIFS('TRANSAKSI PENJUALAN'!$A$5:$A$504,A501)=0,"BELUM ADA",INDEX('TRANSAKSI PENJUALAN'!$B$5:$B$504,MATCH(A501,'TRANSAKSI PENJUALAN'!$A$5:$A$504,0))))</f>
        <v/>
      </c>
      <c r="Q501" s="0" t="str">
        <f aca="false">IF(A501="","",IF(COUNTIFS('TRANSAKSI PENJUALAN'!$A$5:$A$504,A501)=0,"BELUM ADA",INDEX('TRANSAKSI PENJUALAN'!$M$5:$M$504,MATCH(A501,'TRANSAKSI PENJUALAN'!$A$5:$A$504,0))))</f>
        <v/>
      </c>
      <c r="R501" s="24" t="str">
        <f aca="false">IF(A501="","",COUNTIF($A$5:A501,A501))</f>
        <v/>
      </c>
      <c r="S501" s="24" t="str">
        <f aca="false">IF(A501="","",A501&amp;"|"&amp;R501)</f>
        <v/>
      </c>
    </row>
    <row r="502" customFormat="false" ht="15" hidden="false" customHeight="false" outlineLevel="0" collapsed="false">
      <c r="C502" s="0" t="str">
        <f aca="false">IF(B502="","",IF(COUNTIFS('MASTER MENU'!$A$5:$A$504,B502)=0,"BELUM ADA",INDEX('MASTER MENU'!$B$5:$B$504,MATCH(B502,'MASTER MENU'!$A$5:$A$504,0))))</f>
        <v/>
      </c>
      <c r="D502" s="0" t="str">
        <f aca="false">IF(B502="","",IF(COUNTIFS('MASTER MENU'!$A$5:$A$504,B502)=0,"BELUM ADA",INDEX('MASTER MENU'!$E$5:$E$504,MATCH(B502,'MASTER MENU'!$A$5:$A$504,0))))</f>
        <v/>
      </c>
      <c r="F502" s="0" t="str">
        <f aca="false">IF(B502="","",IF(COUNTIFS('MASTER MENU'!$A$5:$A$504,B502)=0,"BELUM ADA",INDEX('MASTER MENU'!$F$5:$F$504,MATCH(B502,'MASTER MENU'!$A$5:$A$504,0))))</f>
        <v/>
      </c>
      <c r="G502" s="0" t="str">
        <f aca="false">IF(A502="","",IF(OR(NOT(ISNUMBER(E502)),NOT(ISNUMBER(F502))),"BELUM LENGKAP",ROUND(E502*F502,0)))</f>
        <v/>
      </c>
      <c r="J502" s="0" t="str">
        <f aca="false">IF(A502="","",IF(NOT(ISNUMBER(G502)),"BELUM LENGKAP",G502-H502-I502))</f>
        <v/>
      </c>
      <c r="L502" s="0" t="str">
        <f aca="false">IF(A502="","",IF(NOT(ISNUMBER(K502)),"ISI SNAPSHOT HPP",ROUND(E502*K502,0)))</f>
        <v/>
      </c>
      <c r="M502" s="0" t="str">
        <f aca="false">IF(A502="","",IF(NOT(ISNUMBER(L502)),"BELUM LENGKAP",J502-L502))</f>
        <v/>
      </c>
      <c r="N502" s="0" t="str">
        <f aca="false">IF(B502="","",IF(COUNTIFS('RESEP DAN HPP'!$A$5:$A$504,B502,'RESEP DAN HPP'!$N$5:$N$504,"LENGKAP")=0,"BELUM LENGKAP",INDEX('RESEP DAN HPP'!$J$5:$J$504,MATCH(B502,'RESEP DAN HPP'!$A$5:$A$504,0))))</f>
        <v/>
      </c>
      <c r="P502" s="0" t="str">
        <f aca="false">IF(A502="","",IF(COUNTIFS('TRANSAKSI PENJUALAN'!$A$5:$A$504,A502)=0,"BELUM ADA",INDEX('TRANSAKSI PENJUALAN'!$B$5:$B$504,MATCH(A502,'TRANSAKSI PENJUALAN'!$A$5:$A$504,0))))</f>
        <v/>
      </c>
      <c r="Q502" s="0" t="str">
        <f aca="false">IF(A502="","",IF(COUNTIFS('TRANSAKSI PENJUALAN'!$A$5:$A$504,A502)=0,"BELUM ADA",INDEX('TRANSAKSI PENJUALAN'!$M$5:$M$504,MATCH(A502,'TRANSAKSI PENJUALAN'!$A$5:$A$504,0))))</f>
        <v/>
      </c>
      <c r="R502" s="24" t="str">
        <f aca="false">IF(A502="","",COUNTIF($A$5:A502,A502))</f>
        <v/>
      </c>
      <c r="S502" s="24" t="str">
        <f aca="false">IF(A502="","",A502&amp;"|"&amp;R502)</f>
        <v/>
      </c>
    </row>
    <row r="503" customFormat="false" ht="15" hidden="false" customHeight="false" outlineLevel="0" collapsed="false">
      <c r="C503" s="0" t="str">
        <f aca="false">IF(B503="","",IF(COUNTIFS('MASTER MENU'!$A$5:$A$504,B503)=0,"BELUM ADA",INDEX('MASTER MENU'!$B$5:$B$504,MATCH(B503,'MASTER MENU'!$A$5:$A$504,0))))</f>
        <v/>
      </c>
      <c r="D503" s="0" t="str">
        <f aca="false">IF(B503="","",IF(COUNTIFS('MASTER MENU'!$A$5:$A$504,B503)=0,"BELUM ADA",INDEX('MASTER MENU'!$E$5:$E$504,MATCH(B503,'MASTER MENU'!$A$5:$A$504,0))))</f>
        <v/>
      </c>
      <c r="F503" s="0" t="str">
        <f aca="false">IF(B503="","",IF(COUNTIFS('MASTER MENU'!$A$5:$A$504,B503)=0,"BELUM ADA",INDEX('MASTER MENU'!$F$5:$F$504,MATCH(B503,'MASTER MENU'!$A$5:$A$504,0))))</f>
        <v/>
      </c>
      <c r="G503" s="0" t="str">
        <f aca="false">IF(A503="","",IF(OR(NOT(ISNUMBER(E503)),NOT(ISNUMBER(F503))),"BELUM LENGKAP",ROUND(E503*F503,0)))</f>
        <v/>
      </c>
      <c r="J503" s="0" t="str">
        <f aca="false">IF(A503="","",IF(NOT(ISNUMBER(G503)),"BELUM LENGKAP",G503-H503-I503))</f>
        <v/>
      </c>
      <c r="L503" s="0" t="str">
        <f aca="false">IF(A503="","",IF(NOT(ISNUMBER(K503)),"ISI SNAPSHOT HPP",ROUND(E503*K503,0)))</f>
        <v/>
      </c>
      <c r="M503" s="0" t="str">
        <f aca="false">IF(A503="","",IF(NOT(ISNUMBER(L503)),"BELUM LENGKAP",J503-L503))</f>
        <v/>
      </c>
      <c r="N503" s="0" t="str">
        <f aca="false">IF(B503="","",IF(COUNTIFS('RESEP DAN HPP'!$A$5:$A$504,B503,'RESEP DAN HPP'!$N$5:$N$504,"LENGKAP")=0,"BELUM LENGKAP",INDEX('RESEP DAN HPP'!$J$5:$J$504,MATCH(B503,'RESEP DAN HPP'!$A$5:$A$504,0))))</f>
        <v/>
      </c>
      <c r="P503" s="0" t="str">
        <f aca="false">IF(A503="","",IF(COUNTIFS('TRANSAKSI PENJUALAN'!$A$5:$A$504,A503)=0,"BELUM ADA",INDEX('TRANSAKSI PENJUALAN'!$B$5:$B$504,MATCH(A503,'TRANSAKSI PENJUALAN'!$A$5:$A$504,0))))</f>
        <v/>
      </c>
      <c r="Q503" s="0" t="str">
        <f aca="false">IF(A503="","",IF(COUNTIFS('TRANSAKSI PENJUALAN'!$A$5:$A$504,A503)=0,"BELUM ADA",INDEX('TRANSAKSI PENJUALAN'!$M$5:$M$504,MATCH(A503,'TRANSAKSI PENJUALAN'!$A$5:$A$504,0))))</f>
        <v/>
      </c>
      <c r="R503" s="24" t="str">
        <f aca="false">IF(A503="","",COUNTIF($A$5:A503,A503))</f>
        <v/>
      </c>
      <c r="S503" s="24" t="str">
        <f aca="false">IF(A503="","",A503&amp;"|"&amp;R503)</f>
        <v/>
      </c>
    </row>
    <row r="504" customFormat="false" ht="15" hidden="false" customHeight="false" outlineLevel="0" collapsed="false">
      <c r="C504" s="0" t="str">
        <f aca="false">IF(B504="","",IF(COUNTIFS('MASTER MENU'!$A$5:$A$504,B504)=0,"BELUM ADA",INDEX('MASTER MENU'!$B$5:$B$504,MATCH(B504,'MASTER MENU'!$A$5:$A$504,0))))</f>
        <v/>
      </c>
      <c r="D504" s="0" t="str">
        <f aca="false">IF(B504="","",IF(COUNTIFS('MASTER MENU'!$A$5:$A$504,B504)=0,"BELUM ADA",INDEX('MASTER MENU'!$E$5:$E$504,MATCH(B504,'MASTER MENU'!$A$5:$A$504,0))))</f>
        <v/>
      </c>
      <c r="F504" s="0" t="str">
        <f aca="false">IF(B504="","",IF(COUNTIFS('MASTER MENU'!$A$5:$A$504,B504)=0,"BELUM ADA",INDEX('MASTER MENU'!$F$5:$F$504,MATCH(B504,'MASTER MENU'!$A$5:$A$504,0))))</f>
        <v/>
      </c>
      <c r="G504" s="0" t="str">
        <f aca="false">IF(A504="","",IF(OR(NOT(ISNUMBER(E504)),NOT(ISNUMBER(F504))),"BELUM LENGKAP",ROUND(E504*F504,0)))</f>
        <v/>
      </c>
      <c r="J504" s="0" t="str">
        <f aca="false">IF(A504="","",IF(NOT(ISNUMBER(G504)),"BELUM LENGKAP",G504-H504-I504))</f>
        <v/>
      </c>
      <c r="L504" s="0" t="str">
        <f aca="false">IF(A504="","",IF(NOT(ISNUMBER(K504)),"ISI SNAPSHOT HPP",ROUND(E504*K504,0)))</f>
        <v/>
      </c>
      <c r="M504" s="0" t="str">
        <f aca="false">IF(A504="","",IF(NOT(ISNUMBER(L504)),"BELUM LENGKAP",J504-L504))</f>
        <v/>
      </c>
      <c r="N504" s="0" t="str">
        <f aca="false">IF(B504="","",IF(COUNTIFS('RESEP DAN HPP'!$A$5:$A$504,B504,'RESEP DAN HPP'!$N$5:$N$504,"LENGKAP")=0,"BELUM LENGKAP",INDEX('RESEP DAN HPP'!$J$5:$J$504,MATCH(B504,'RESEP DAN HPP'!$A$5:$A$504,0))))</f>
        <v/>
      </c>
      <c r="P504" s="0" t="str">
        <f aca="false">IF(A504="","",IF(COUNTIFS('TRANSAKSI PENJUALAN'!$A$5:$A$504,A504)=0,"BELUM ADA",INDEX('TRANSAKSI PENJUALAN'!$B$5:$B$504,MATCH(A504,'TRANSAKSI PENJUALAN'!$A$5:$A$504,0))))</f>
        <v/>
      </c>
      <c r="Q504" s="0" t="str">
        <f aca="false">IF(A504="","",IF(COUNTIFS('TRANSAKSI PENJUALAN'!$A$5:$A$504,A504)=0,"BELUM ADA",INDEX('TRANSAKSI PENJUALAN'!$M$5:$M$504,MATCH(A504,'TRANSAKSI PENJUALAN'!$A$5:$A$504,0))))</f>
        <v/>
      </c>
      <c r="R504" s="24" t="str">
        <f aca="false">IF(A504="","",COUNTIF($A$5:A504,A504))</f>
        <v/>
      </c>
      <c r="S504" s="24" t="str">
        <f aca="false">IF(A504="","",A504&amp;"|"&amp;R504)</f>
        <v/>
      </c>
    </row>
  </sheetData>
  <conditionalFormatting sqref="L5:L64">
    <cfRule type="containsText" priority="2" operator="containsText" aboveAverage="0" equalAverage="0" bottom="0" percent="0" rank="0" text="ISI SNAPSHOT" dxfId="21">
      <formula>NOT(ISERROR(SEARCH("ISI SNAPSHOT",L5)))</formula>
    </cfRule>
  </conditionalFormatting>
  <conditionalFormatting sqref="N5:N64">
    <cfRule type="containsText" priority="3" operator="containsText" aboveAverage="0" equalAverage="0" bottom="0" percent="0" rank="0" text="BELUM LENGKAP" dxfId="22">
      <formula>NOT(ISERROR(SEARCH("BELUM LENGKAP",N5)))</formula>
    </cfRule>
  </conditionalFormatting>
  <dataValidations count="2">
    <dataValidation allowBlank="false" errorStyle="stop" operator="between" showDropDown="false" showErrorMessage="false" showInputMessage="false" sqref="A5:A504" type="list">
      <formula1>'TRANSAKSI PENJUALAN'!$A$5:$A$504</formula1>
      <formula2>0</formula2>
    </dataValidation>
    <dataValidation allowBlank="false" errorStyle="stop" operator="between" showDropDown="false" showErrorMessage="false" showInputMessage="false" sqref="B5:B504" type="list">
      <formula1>'MASTER MENU'!$A$5:$A$64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1"/>
    <col collapsed="false" customWidth="true" hidden="false" outlineLevel="0" max="3" min="3" style="0" width="30"/>
    <col collapsed="false" customWidth="true" hidden="false" outlineLevel="0" max="6" min="4" style="0" width="21"/>
    <col collapsed="false" customWidth="true" hidden="false" outlineLevel="0" max="7" min="7" style="0" width="27"/>
    <col collapsed="false" customWidth="true" hidden="false" outlineLevel="0" max="12" min="8" style="0" width="21"/>
    <col collapsed="false" customWidth="true" hidden="false" outlineLevel="0" max="13" min="13" style="0" width="18"/>
    <col collapsed="false" customWidth="true" hidden="false" outlineLevel="0" max="14" min="14" style="0" width="42"/>
    <col collapsed="false" customWidth="true" hidden="false" outlineLevel="0" max="15" min="15" style="0" width="22"/>
  </cols>
  <sheetData>
    <row r="1" customFormat="false" ht="38" hidden="false" customHeight="true" outlineLevel="0" collapsed="false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customFormat="false" ht="29" hidden="false" customHeight="true" outlineLevel="0" collapsed="false">
      <c r="A2" s="9" t="s">
        <v>290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291</v>
      </c>
      <c r="B4" s="13" t="s">
        <v>244</v>
      </c>
      <c r="C4" s="13" t="s">
        <v>292</v>
      </c>
      <c r="D4" s="13" t="s">
        <v>293</v>
      </c>
      <c r="E4" s="13" t="s">
        <v>294</v>
      </c>
      <c r="F4" s="13" t="s">
        <v>295</v>
      </c>
      <c r="G4" s="13" t="s">
        <v>296</v>
      </c>
      <c r="H4" s="13" t="s">
        <v>297</v>
      </c>
      <c r="I4" s="13" t="s">
        <v>298</v>
      </c>
      <c r="J4" s="13" t="s">
        <v>299</v>
      </c>
      <c r="K4" s="13" t="s">
        <v>300</v>
      </c>
      <c r="L4" s="13" t="s">
        <v>301</v>
      </c>
      <c r="M4" s="13" t="s">
        <v>77</v>
      </c>
      <c r="N4" s="13" t="s">
        <v>79</v>
      </c>
      <c r="O4" s="13" t="s">
        <v>302</v>
      </c>
    </row>
    <row r="5" customFormat="false" ht="27" hidden="false" customHeight="true" outlineLevel="0" collapsed="false">
      <c r="A5" s="14" t="s">
        <v>303</v>
      </c>
      <c r="B5" s="16" t="n">
        <v>46325</v>
      </c>
      <c r="C5" s="14" t="s">
        <v>259</v>
      </c>
      <c r="D5" s="26" t="n">
        <v>0.333333333333333</v>
      </c>
      <c r="E5" s="26" t="n">
        <v>0.75</v>
      </c>
      <c r="F5" s="15" t="n">
        <v>100000</v>
      </c>
      <c r="G5" s="19" t="n">
        <f aca="false">IF(A5="","",SUMIFS('TRANSAKSI PENJUALAN'!$K$5:$K$504,'TRANSAKSI PENJUALAN'!$B$5:$B$504,B5,'TRANSAKSI PENJUALAN'!$E$5:$E$504,C5,'TRANSAKSI PENJUALAN'!$L$5:$L$504,"Tunai",'TRANSAKSI PENJUALAN'!$M$5:$M$504,"Lunas"))</f>
        <v>122000</v>
      </c>
      <c r="H5" s="15" t="n">
        <v>0</v>
      </c>
      <c r="I5" s="15" t="n">
        <v>8000</v>
      </c>
      <c r="J5" s="19" t="n">
        <f aca="false">IF(A5="","",F5+G5+H5-I5)</f>
        <v>214000</v>
      </c>
      <c r="K5" s="15" t="n">
        <v>214000</v>
      </c>
      <c r="L5" s="19" t="n">
        <f aca="false">IF(A5="","",IF(NOT(ISNUMBER(K5)),"ISI KAS FISIK",K5-J5))</f>
        <v>0</v>
      </c>
      <c r="M5" s="18" t="str">
        <f aca="false">IF(A5="","",IF(NOT(ISNUMBER(L5)),"BELUM TUTUP",IF(L5=0,"Pas",IF(L5&gt;0,"Lebih","Kurang"))))</f>
        <v>Pas</v>
      </c>
      <c r="N5" s="14" t="s">
        <v>304</v>
      </c>
      <c r="O5" s="14" t="s">
        <v>305</v>
      </c>
    </row>
    <row r="6" customFormat="false" ht="27" hidden="false" customHeight="true" outlineLevel="0" collapsed="false">
      <c r="A6" s="14"/>
      <c r="B6" s="16"/>
      <c r="C6" s="14"/>
      <c r="D6" s="26"/>
      <c r="E6" s="26"/>
      <c r="F6" s="15"/>
      <c r="G6" s="19" t="str">
        <f aca="false">IF(A6="","",SUMIFS('TRANSAKSI PENJUALAN'!$K$5:$K$504,'TRANSAKSI PENJUALAN'!$B$5:$B$504,B6,'TRANSAKSI PENJUALAN'!$E$5:$E$504,C6,'TRANSAKSI PENJUALAN'!$L$5:$L$504,"Tunai",'TRANSAKSI PENJUALAN'!$M$5:$M$504,"Lunas"))</f>
        <v/>
      </c>
      <c r="H6" s="15"/>
      <c r="I6" s="15"/>
      <c r="J6" s="19" t="str">
        <f aca="false">IF(A6="","",F6+G6+H6-I6)</f>
        <v/>
      </c>
      <c r="K6" s="15"/>
      <c r="L6" s="19" t="str">
        <f aca="false">IF(A6="","",IF(NOT(ISNUMBER(K6)),"ISI KAS FISIK",K6-J6))</f>
        <v/>
      </c>
      <c r="M6" s="18" t="str">
        <f aca="false">IF(A6="","",IF(NOT(ISNUMBER(L6)),"BELUM TUTUP",IF(L6=0,"Pas",IF(L6&gt;0,"Lebih","Kurang"))))</f>
        <v/>
      </c>
      <c r="N6" s="14"/>
      <c r="O6" s="14"/>
    </row>
    <row r="7" customFormat="false" ht="27" hidden="false" customHeight="true" outlineLevel="0" collapsed="false">
      <c r="A7" s="14"/>
      <c r="B7" s="16"/>
      <c r="C7" s="14"/>
      <c r="D7" s="26"/>
      <c r="E7" s="26"/>
      <c r="F7" s="15"/>
      <c r="G7" s="19" t="str">
        <f aca="false">IF(A7="","",SUMIFS('TRANSAKSI PENJUALAN'!$K$5:$K$504,'TRANSAKSI PENJUALAN'!$B$5:$B$504,B7,'TRANSAKSI PENJUALAN'!$E$5:$E$504,C7,'TRANSAKSI PENJUALAN'!$L$5:$L$504,"Tunai",'TRANSAKSI PENJUALAN'!$M$5:$M$504,"Lunas"))</f>
        <v/>
      </c>
      <c r="H7" s="15"/>
      <c r="I7" s="15"/>
      <c r="J7" s="19" t="str">
        <f aca="false">IF(A7="","",F7+G7+H7-I7)</f>
        <v/>
      </c>
      <c r="K7" s="15"/>
      <c r="L7" s="19" t="str">
        <f aca="false">IF(A7="","",IF(NOT(ISNUMBER(K7)),"ISI KAS FISIK",K7-J7))</f>
        <v/>
      </c>
      <c r="M7" s="18" t="str">
        <f aca="false">IF(A7="","",IF(NOT(ISNUMBER(L7)),"BELUM TUTUP",IF(L7=0,"Pas",IF(L7&gt;0,"Lebih","Kurang"))))</f>
        <v/>
      </c>
      <c r="N7" s="14"/>
      <c r="O7" s="14"/>
    </row>
    <row r="8" customFormat="false" ht="27" hidden="false" customHeight="true" outlineLevel="0" collapsed="false">
      <c r="A8" s="14"/>
      <c r="B8" s="16"/>
      <c r="C8" s="14"/>
      <c r="D8" s="26"/>
      <c r="E8" s="26"/>
      <c r="F8" s="15"/>
      <c r="G8" s="19" t="str">
        <f aca="false">IF(A8="","",SUMIFS('TRANSAKSI PENJUALAN'!$K$5:$K$504,'TRANSAKSI PENJUALAN'!$B$5:$B$504,B8,'TRANSAKSI PENJUALAN'!$E$5:$E$504,C8,'TRANSAKSI PENJUALAN'!$L$5:$L$504,"Tunai",'TRANSAKSI PENJUALAN'!$M$5:$M$504,"Lunas"))</f>
        <v/>
      </c>
      <c r="H8" s="15"/>
      <c r="I8" s="15"/>
      <c r="J8" s="19" t="str">
        <f aca="false">IF(A8="","",F8+G8+H8-I8)</f>
        <v/>
      </c>
      <c r="K8" s="15"/>
      <c r="L8" s="19" t="str">
        <f aca="false">IF(A8="","",IF(NOT(ISNUMBER(K8)),"ISI KAS FISIK",K8-J8))</f>
        <v/>
      </c>
      <c r="M8" s="18" t="str">
        <f aca="false">IF(A8="","",IF(NOT(ISNUMBER(L8)),"BELUM TUTUP",IF(L8=0,"Pas",IF(L8&gt;0,"Lebih","Kurang"))))</f>
        <v/>
      </c>
      <c r="N8" s="14"/>
      <c r="O8" s="14"/>
    </row>
    <row r="9" customFormat="false" ht="27" hidden="false" customHeight="true" outlineLevel="0" collapsed="false">
      <c r="A9" s="14"/>
      <c r="B9" s="16"/>
      <c r="C9" s="14"/>
      <c r="D9" s="26"/>
      <c r="E9" s="26"/>
      <c r="F9" s="15"/>
      <c r="G9" s="19" t="str">
        <f aca="false">IF(A9="","",SUMIFS('TRANSAKSI PENJUALAN'!$K$5:$K$504,'TRANSAKSI PENJUALAN'!$B$5:$B$504,B9,'TRANSAKSI PENJUALAN'!$E$5:$E$504,C9,'TRANSAKSI PENJUALAN'!$L$5:$L$504,"Tunai",'TRANSAKSI PENJUALAN'!$M$5:$M$504,"Lunas"))</f>
        <v/>
      </c>
      <c r="H9" s="15"/>
      <c r="I9" s="15"/>
      <c r="J9" s="19" t="str">
        <f aca="false">IF(A9="","",F9+G9+H9-I9)</f>
        <v/>
      </c>
      <c r="K9" s="15"/>
      <c r="L9" s="19" t="str">
        <f aca="false">IF(A9="","",IF(NOT(ISNUMBER(K9)),"ISI KAS FISIK",K9-J9))</f>
        <v/>
      </c>
      <c r="M9" s="18" t="str">
        <f aca="false">IF(A9="","",IF(NOT(ISNUMBER(L9)),"BELUM TUTUP",IF(L9=0,"Pas",IF(L9&gt;0,"Lebih","Kurang"))))</f>
        <v/>
      </c>
      <c r="N9" s="14"/>
      <c r="O9" s="14"/>
    </row>
    <row r="10" customFormat="false" ht="27" hidden="false" customHeight="true" outlineLevel="0" collapsed="false">
      <c r="A10" s="14"/>
      <c r="B10" s="16"/>
      <c r="C10" s="14"/>
      <c r="D10" s="26"/>
      <c r="E10" s="26"/>
      <c r="F10" s="15"/>
      <c r="G10" s="19" t="str">
        <f aca="false">IF(A10="","",SUMIFS('TRANSAKSI PENJUALAN'!$K$5:$K$504,'TRANSAKSI PENJUALAN'!$B$5:$B$504,B10,'TRANSAKSI PENJUALAN'!$E$5:$E$504,C10,'TRANSAKSI PENJUALAN'!$L$5:$L$504,"Tunai",'TRANSAKSI PENJUALAN'!$M$5:$M$504,"Lunas"))</f>
        <v/>
      </c>
      <c r="H10" s="15"/>
      <c r="I10" s="15"/>
      <c r="J10" s="19" t="str">
        <f aca="false">IF(A10="","",F10+G10+H10-I10)</f>
        <v/>
      </c>
      <c r="K10" s="15"/>
      <c r="L10" s="19" t="str">
        <f aca="false">IF(A10="","",IF(NOT(ISNUMBER(K10)),"ISI KAS FISIK",K10-J10))</f>
        <v/>
      </c>
      <c r="M10" s="18" t="str">
        <f aca="false">IF(A10="","",IF(NOT(ISNUMBER(L10)),"BELUM TUTUP",IF(L10=0,"Pas",IF(L10&gt;0,"Lebih","Kurang"))))</f>
        <v/>
      </c>
      <c r="N10" s="14"/>
      <c r="O10" s="14"/>
    </row>
    <row r="11" customFormat="false" ht="27" hidden="false" customHeight="true" outlineLevel="0" collapsed="false">
      <c r="A11" s="14"/>
      <c r="B11" s="16"/>
      <c r="C11" s="14"/>
      <c r="D11" s="26"/>
      <c r="E11" s="26"/>
      <c r="F11" s="15"/>
      <c r="G11" s="19" t="str">
        <f aca="false">IF(A11="","",SUMIFS('TRANSAKSI PENJUALAN'!$K$5:$K$504,'TRANSAKSI PENJUALAN'!$B$5:$B$504,B11,'TRANSAKSI PENJUALAN'!$E$5:$E$504,C11,'TRANSAKSI PENJUALAN'!$L$5:$L$504,"Tunai",'TRANSAKSI PENJUALAN'!$M$5:$M$504,"Lunas"))</f>
        <v/>
      </c>
      <c r="H11" s="15"/>
      <c r="I11" s="15"/>
      <c r="J11" s="19" t="str">
        <f aca="false">IF(A11="","",F11+G11+H11-I11)</f>
        <v/>
      </c>
      <c r="K11" s="15"/>
      <c r="L11" s="19" t="str">
        <f aca="false">IF(A11="","",IF(NOT(ISNUMBER(K11)),"ISI KAS FISIK",K11-J11))</f>
        <v/>
      </c>
      <c r="M11" s="18" t="str">
        <f aca="false">IF(A11="","",IF(NOT(ISNUMBER(L11)),"BELUM TUTUP",IF(L11=0,"Pas",IF(L11&gt;0,"Lebih","Kurang"))))</f>
        <v/>
      </c>
      <c r="N11" s="14"/>
      <c r="O11" s="14"/>
    </row>
    <row r="12" customFormat="false" ht="27" hidden="false" customHeight="true" outlineLevel="0" collapsed="false">
      <c r="A12" s="14"/>
      <c r="B12" s="16"/>
      <c r="C12" s="14"/>
      <c r="D12" s="26"/>
      <c r="E12" s="26"/>
      <c r="F12" s="15"/>
      <c r="G12" s="19" t="str">
        <f aca="false">IF(A12="","",SUMIFS('TRANSAKSI PENJUALAN'!$K$5:$K$504,'TRANSAKSI PENJUALAN'!$B$5:$B$504,B12,'TRANSAKSI PENJUALAN'!$E$5:$E$504,C12,'TRANSAKSI PENJUALAN'!$L$5:$L$504,"Tunai",'TRANSAKSI PENJUALAN'!$M$5:$M$504,"Lunas"))</f>
        <v/>
      </c>
      <c r="H12" s="15"/>
      <c r="I12" s="15"/>
      <c r="J12" s="19" t="str">
        <f aca="false">IF(A12="","",F12+G12+H12-I12)</f>
        <v/>
      </c>
      <c r="K12" s="15"/>
      <c r="L12" s="19" t="str">
        <f aca="false">IF(A12="","",IF(NOT(ISNUMBER(K12)),"ISI KAS FISIK",K12-J12))</f>
        <v/>
      </c>
      <c r="M12" s="18" t="str">
        <f aca="false">IF(A12="","",IF(NOT(ISNUMBER(L12)),"BELUM TUTUP",IF(L12=0,"Pas",IF(L12&gt;0,"Lebih","Kurang"))))</f>
        <v/>
      </c>
      <c r="N12" s="14"/>
      <c r="O12" s="14"/>
    </row>
    <row r="13" customFormat="false" ht="27" hidden="false" customHeight="true" outlineLevel="0" collapsed="false">
      <c r="A13" s="14"/>
      <c r="B13" s="16"/>
      <c r="C13" s="14"/>
      <c r="D13" s="26"/>
      <c r="E13" s="26"/>
      <c r="F13" s="15"/>
      <c r="G13" s="19" t="str">
        <f aca="false">IF(A13="","",SUMIFS('TRANSAKSI PENJUALAN'!$K$5:$K$504,'TRANSAKSI PENJUALAN'!$B$5:$B$504,B13,'TRANSAKSI PENJUALAN'!$E$5:$E$504,C13,'TRANSAKSI PENJUALAN'!$L$5:$L$504,"Tunai",'TRANSAKSI PENJUALAN'!$M$5:$M$504,"Lunas"))</f>
        <v/>
      </c>
      <c r="H13" s="15"/>
      <c r="I13" s="15"/>
      <c r="J13" s="19" t="str">
        <f aca="false">IF(A13="","",F13+G13+H13-I13)</f>
        <v/>
      </c>
      <c r="K13" s="15"/>
      <c r="L13" s="19" t="str">
        <f aca="false">IF(A13="","",IF(NOT(ISNUMBER(K13)),"ISI KAS FISIK",K13-J13))</f>
        <v/>
      </c>
      <c r="M13" s="18" t="str">
        <f aca="false">IF(A13="","",IF(NOT(ISNUMBER(L13)),"BELUM TUTUP",IF(L13=0,"Pas",IF(L13&gt;0,"Lebih","Kurang"))))</f>
        <v/>
      </c>
      <c r="N13" s="14"/>
      <c r="O13" s="14"/>
    </row>
    <row r="14" customFormat="false" ht="27" hidden="false" customHeight="true" outlineLevel="0" collapsed="false">
      <c r="A14" s="14"/>
      <c r="B14" s="16"/>
      <c r="C14" s="14"/>
      <c r="D14" s="26"/>
      <c r="E14" s="26"/>
      <c r="F14" s="15"/>
      <c r="G14" s="19" t="str">
        <f aca="false">IF(A14="","",SUMIFS('TRANSAKSI PENJUALAN'!$K$5:$K$504,'TRANSAKSI PENJUALAN'!$B$5:$B$504,B14,'TRANSAKSI PENJUALAN'!$E$5:$E$504,C14,'TRANSAKSI PENJUALAN'!$L$5:$L$504,"Tunai",'TRANSAKSI PENJUALAN'!$M$5:$M$504,"Lunas"))</f>
        <v/>
      </c>
      <c r="H14" s="15"/>
      <c r="I14" s="15"/>
      <c r="J14" s="19" t="str">
        <f aca="false">IF(A14="","",F14+G14+H14-I14)</f>
        <v/>
      </c>
      <c r="K14" s="15"/>
      <c r="L14" s="19" t="str">
        <f aca="false">IF(A14="","",IF(NOT(ISNUMBER(K14)),"ISI KAS FISIK",K14-J14))</f>
        <v/>
      </c>
      <c r="M14" s="18" t="str">
        <f aca="false">IF(A14="","",IF(NOT(ISNUMBER(L14)),"BELUM TUTUP",IF(L14=0,"Pas",IF(L14&gt;0,"Lebih","Kurang"))))</f>
        <v/>
      </c>
      <c r="N14" s="14"/>
      <c r="O14" s="14"/>
    </row>
    <row r="15" customFormat="false" ht="27" hidden="false" customHeight="true" outlineLevel="0" collapsed="false">
      <c r="A15" s="14"/>
      <c r="B15" s="16"/>
      <c r="C15" s="14"/>
      <c r="D15" s="26"/>
      <c r="E15" s="26"/>
      <c r="F15" s="15"/>
      <c r="G15" s="19" t="str">
        <f aca="false">IF(A15="","",SUMIFS('TRANSAKSI PENJUALAN'!$K$5:$K$504,'TRANSAKSI PENJUALAN'!$B$5:$B$504,B15,'TRANSAKSI PENJUALAN'!$E$5:$E$504,C15,'TRANSAKSI PENJUALAN'!$L$5:$L$504,"Tunai",'TRANSAKSI PENJUALAN'!$M$5:$M$504,"Lunas"))</f>
        <v/>
      </c>
      <c r="H15" s="15"/>
      <c r="I15" s="15"/>
      <c r="J15" s="19" t="str">
        <f aca="false">IF(A15="","",F15+G15+H15-I15)</f>
        <v/>
      </c>
      <c r="K15" s="15"/>
      <c r="L15" s="19" t="str">
        <f aca="false">IF(A15="","",IF(NOT(ISNUMBER(K15)),"ISI KAS FISIK",K15-J15))</f>
        <v/>
      </c>
      <c r="M15" s="18" t="str">
        <f aca="false">IF(A15="","",IF(NOT(ISNUMBER(L15)),"BELUM TUTUP",IF(L15=0,"Pas",IF(L15&gt;0,"Lebih","Kurang"))))</f>
        <v/>
      </c>
      <c r="N15" s="14"/>
      <c r="O15" s="14"/>
    </row>
    <row r="16" customFormat="false" ht="27" hidden="false" customHeight="true" outlineLevel="0" collapsed="false">
      <c r="A16" s="14"/>
      <c r="B16" s="16"/>
      <c r="C16" s="14"/>
      <c r="D16" s="26"/>
      <c r="E16" s="26"/>
      <c r="F16" s="15"/>
      <c r="G16" s="19" t="str">
        <f aca="false">IF(A16="","",SUMIFS('TRANSAKSI PENJUALAN'!$K$5:$K$504,'TRANSAKSI PENJUALAN'!$B$5:$B$504,B16,'TRANSAKSI PENJUALAN'!$E$5:$E$504,C16,'TRANSAKSI PENJUALAN'!$L$5:$L$504,"Tunai",'TRANSAKSI PENJUALAN'!$M$5:$M$504,"Lunas"))</f>
        <v/>
      </c>
      <c r="H16" s="15"/>
      <c r="I16" s="15"/>
      <c r="J16" s="19" t="str">
        <f aca="false">IF(A16="","",F16+G16+H16-I16)</f>
        <v/>
      </c>
      <c r="K16" s="15"/>
      <c r="L16" s="19" t="str">
        <f aca="false">IF(A16="","",IF(NOT(ISNUMBER(K16)),"ISI KAS FISIK",K16-J16))</f>
        <v/>
      </c>
      <c r="M16" s="18" t="str">
        <f aca="false">IF(A16="","",IF(NOT(ISNUMBER(L16)),"BELUM TUTUP",IF(L16=0,"Pas",IF(L16&gt;0,"Lebih","Kurang"))))</f>
        <v/>
      </c>
      <c r="N16" s="14"/>
      <c r="O16" s="14"/>
    </row>
    <row r="17" customFormat="false" ht="27" hidden="false" customHeight="true" outlineLevel="0" collapsed="false">
      <c r="A17" s="14"/>
      <c r="B17" s="16"/>
      <c r="C17" s="14"/>
      <c r="D17" s="26"/>
      <c r="E17" s="26"/>
      <c r="F17" s="15"/>
      <c r="G17" s="19" t="str">
        <f aca="false">IF(A17="","",SUMIFS('TRANSAKSI PENJUALAN'!$K$5:$K$504,'TRANSAKSI PENJUALAN'!$B$5:$B$504,B17,'TRANSAKSI PENJUALAN'!$E$5:$E$504,C17,'TRANSAKSI PENJUALAN'!$L$5:$L$504,"Tunai",'TRANSAKSI PENJUALAN'!$M$5:$M$504,"Lunas"))</f>
        <v/>
      </c>
      <c r="H17" s="15"/>
      <c r="I17" s="15"/>
      <c r="J17" s="19" t="str">
        <f aca="false">IF(A17="","",F17+G17+H17-I17)</f>
        <v/>
      </c>
      <c r="K17" s="15"/>
      <c r="L17" s="19" t="str">
        <f aca="false">IF(A17="","",IF(NOT(ISNUMBER(K17)),"ISI KAS FISIK",K17-J17))</f>
        <v/>
      </c>
      <c r="M17" s="18" t="str">
        <f aca="false">IF(A17="","",IF(NOT(ISNUMBER(L17)),"BELUM TUTUP",IF(L17=0,"Pas",IF(L17&gt;0,"Lebih","Kurang"))))</f>
        <v/>
      </c>
      <c r="N17" s="14"/>
      <c r="O17" s="14"/>
    </row>
    <row r="18" customFormat="false" ht="27" hidden="false" customHeight="true" outlineLevel="0" collapsed="false">
      <c r="A18" s="14"/>
      <c r="B18" s="16"/>
      <c r="C18" s="14"/>
      <c r="D18" s="26"/>
      <c r="E18" s="26"/>
      <c r="F18" s="15"/>
      <c r="G18" s="19" t="str">
        <f aca="false">IF(A18="","",SUMIFS('TRANSAKSI PENJUALAN'!$K$5:$K$504,'TRANSAKSI PENJUALAN'!$B$5:$B$504,B18,'TRANSAKSI PENJUALAN'!$E$5:$E$504,C18,'TRANSAKSI PENJUALAN'!$L$5:$L$504,"Tunai",'TRANSAKSI PENJUALAN'!$M$5:$M$504,"Lunas"))</f>
        <v/>
      </c>
      <c r="H18" s="15"/>
      <c r="I18" s="15"/>
      <c r="J18" s="19" t="str">
        <f aca="false">IF(A18="","",F18+G18+H18-I18)</f>
        <v/>
      </c>
      <c r="K18" s="15"/>
      <c r="L18" s="19" t="str">
        <f aca="false">IF(A18="","",IF(NOT(ISNUMBER(K18)),"ISI KAS FISIK",K18-J18))</f>
        <v/>
      </c>
      <c r="M18" s="18" t="str">
        <f aca="false">IF(A18="","",IF(NOT(ISNUMBER(L18)),"BELUM TUTUP",IF(L18=0,"Pas",IF(L18&gt;0,"Lebih","Kurang"))))</f>
        <v/>
      </c>
      <c r="N18" s="14"/>
      <c r="O18" s="14"/>
    </row>
    <row r="19" customFormat="false" ht="27" hidden="false" customHeight="true" outlineLevel="0" collapsed="false">
      <c r="A19" s="14"/>
      <c r="B19" s="16"/>
      <c r="C19" s="14"/>
      <c r="D19" s="26"/>
      <c r="E19" s="26"/>
      <c r="F19" s="15"/>
      <c r="G19" s="19" t="str">
        <f aca="false">IF(A19="","",SUMIFS('TRANSAKSI PENJUALAN'!$K$5:$K$504,'TRANSAKSI PENJUALAN'!$B$5:$B$504,B19,'TRANSAKSI PENJUALAN'!$E$5:$E$504,C19,'TRANSAKSI PENJUALAN'!$L$5:$L$504,"Tunai",'TRANSAKSI PENJUALAN'!$M$5:$M$504,"Lunas"))</f>
        <v/>
      </c>
      <c r="H19" s="15"/>
      <c r="I19" s="15"/>
      <c r="J19" s="19" t="str">
        <f aca="false">IF(A19="","",F19+G19+H19-I19)</f>
        <v/>
      </c>
      <c r="K19" s="15"/>
      <c r="L19" s="19" t="str">
        <f aca="false">IF(A19="","",IF(NOT(ISNUMBER(K19)),"ISI KAS FISIK",K19-J19))</f>
        <v/>
      </c>
      <c r="M19" s="18" t="str">
        <f aca="false">IF(A19="","",IF(NOT(ISNUMBER(L19)),"BELUM TUTUP",IF(L19=0,"Pas",IF(L19&gt;0,"Lebih","Kurang"))))</f>
        <v/>
      </c>
      <c r="N19" s="14"/>
      <c r="O19" s="14"/>
    </row>
    <row r="20" customFormat="false" ht="27" hidden="false" customHeight="true" outlineLevel="0" collapsed="false">
      <c r="A20" s="14"/>
      <c r="B20" s="16"/>
      <c r="C20" s="14"/>
      <c r="D20" s="26"/>
      <c r="E20" s="26"/>
      <c r="F20" s="15"/>
      <c r="G20" s="19" t="str">
        <f aca="false">IF(A20="","",SUMIFS('TRANSAKSI PENJUALAN'!$K$5:$K$504,'TRANSAKSI PENJUALAN'!$B$5:$B$504,B20,'TRANSAKSI PENJUALAN'!$E$5:$E$504,C20,'TRANSAKSI PENJUALAN'!$L$5:$L$504,"Tunai",'TRANSAKSI PENJUALAN'!$M$5:$M$504,"Lunas"))</f>
        <v/>
      </c>
      <c r="H20" s="15"/>
      <c r="I20" s="15"/>
      <c r="J20" s="19" t="str">
        <f aca="false">IF(A20="","",F20+G20+H20-I20)</f>
        <v/>
      </c>
      <c r="K20" s="15"/>
      <c r="L20" s="19" t="str">
        <f aca="false">IF(A20="","",IF(NOT(ISNUMBER(K20)),"ISI KAS FISIK",K20-J20))</f>
        <v/>
      </c>
      <c r="M20" s="18" t="str">
        <f aca="false">IF(A20="","",IF(NOT(ISNUMBER(L20)),"BELUM TUTUP",IF(L20=0,"Pas",IF(L20&gt;0,"Lebih","Kurang"))))</f>
        <v/>
      </c>
      <c r="N20" s="14"/>
      <c r="O20" s="14"/>
    </row>
    <row r="21" customFormat="false" ht="27" hidden="false" customHeight="true" outlineLevel="0" collapsed="false">
      <c r="A21" s="14"/>
      <c r="B21" s="16"/>
      <c r="C21" s="14"/>
      <c r="D21" s="26"/>
      <c r="E21" s="26"/>
      <c r="F21" s="15"/>
      <c r="G21" s="19" t="str">
        <f aca="false">IF(A21="","",SUMIFS('TRANSAKSI PENJUALAN'!$K$5:$K$504,'TRANSAKSI PENJUALAN'!$B$5:$B$504,B21,'TRANSAKSI PENJUALAN'!$E$5:$E$504,C21,'TRANSAKSI PENJUALAN'!$L$5:$L$504,"Tunai",'TRANSAKSI PENJUALAN'!$M$5:$M$504,"Lunas"))</f>
        <v/>
      </c>
      <c r="H21" s="15"/>
      <c r="I21" s="15"/>
      <c r="J21" s="19" t="str">
        <f aca="false">IF(A21="","",F21+G21+H21-I21)</f>
        <v/>
      </c>
      <c r="K21" s="15"/>
      <c r="L21" s="19" t="str">
        <f aca="false">IF(A21="","",IF(NOT(ISNUMBER(K21)),"ISI KAS FISIK",K21-J21))</f>
        <v/>
      </c>
      <c r="M21" s="18" t="str">
        <f aca="false">IF(A21="","",IF(NOT(ISNUMBER(L21)),"BELUM TUTUP",IF(L21=0,"Pas",IF(L21&gt;0,"Lebih","Kurang"))))</f>
        <v/>
      </c>
      <c r="N21" s="14"/>
      <c r="O21" s="14"/>
    </row>
    <row r="22" customFormat="false" ht="27" hidden="false" customHeight="true" outlineLevel="0" collapsed="false">
      <c r="A22" s="14"/>
      <c r="B22" s="16"/>
      <c r="C22" s="14"/>
      <c r="D22" s="26"/>
      <c r="E22" s="26"/>
      <c r="F22" s="15"/>
      <c r="G22" s="19" t="str">
        <f aca="false">IF(A22="","",SUMIFS('TRANSAKSI PENJUALAN'!$K$5:$K$504,'TRANSAKSI PENJUALAN'!$B$5:$B$504,B22,'TRANSAKSI PENJUALAN'!$E$5:$E$504,C22,'TRANSAKSI PENJUALAN'!$L$5:$L$504,"Tunai",'TRANSAKSI PENJUALAN'!$M$5:$M$504,"Lunas"))</f>
        <v/>
      </c>
      <c r="H22" s="15"/>
      <c r="I22" s="15"/>
      <c r="J22" s="19" t="str">
        <f aca="false">IF(A22="","",F22+G22+H22-I22)</f>
        <v/>
      </c>
      <c r="K22" s="15"/>
      <c r="L22" s="19" t="str">
        <f aca="false">IF(A22="","",IF(NOT(ISNUMBER(K22)),"ISI KAS FISIK",K22-J22))</f>
        <v/>
      </c>
      <c r="M22" s="18" t="str">
        <f aca="false">IF(A22="","",IF(NOT(ISNUMBER(L22)),"BELUM TUTUP",IF(L22=0,"Pas",IF(L22&gt;0,"Lebih","Kurang"))))</f>
        <v/>
      </c>
      <c r="N22" s="14"/>
      <c r="O22" s="14"/>
    </row>
    <row r="23" customFormat="false" ht="27" hidden="false" customHeight="true" outlineLevel="0" collapsed="false">
      <c r="A23" s="14"/>
      <c r="B23" s="16"/>
      <c r="C23" s="14"/>
      <c r="D23" s="26"/>
      <c r="E23" s="26"/>
      <c r="F23" s="15"/>
      <c r="G23" s="19" t="str">
        <f aca="false">IF(A23="","",SUMIFS('TRANSAKSI PENJUALAN'!$K$5:$K$504,'TRANSAKSI PENJUALAN'!$B$5:$B$504,B23,'TRANSAKSI PENJUALAN'!$E$5:$E$504,C23,'TRANSAKSI PENJUALAN'!$L$5:$L$504,"Tunai",'TRANSAKSI PENJUALAN'!$M$5:$M$504,"Lunas"))</f>
        <v/>
      </c>
      <c r="H23" s="15"/>
      <c r="I23" s="15"/>
      <c r="J23" s="19" t="str">
        <f aca="false">IF(A23="","",F23+G23+H23-I23)</f>
        <v/>
      </c>
      <c r="K23" s="15"/>
      <c r="L23" s="19" t="str">
        <f aca="false">IF(A23="","",IF(NOT(ISNUMBER(K23)),"ISI KAS FISIK",K23-J23))</f>
        <v/>
      </c>
      <c r="M23" s="18" t="str">
        <f aca="false">IF(A23="","",IF(NOT(ISNUMBER(L23)),"BELUM TUTUP",IF(L23=0,"Pas",IF(L23&gt;0,"Lebih","Kurang"))))</f>
        <v/>
      </c>
      <c r="N23" s="14"/>
      <c r="O23" s="14"/>
    </row>
    <row r="24" customFormat="false" ht="27" hidden="false" customHeight="true" outlineLevel="0" collapsed="false">
      <c r="A24" s="14"/>
      <c r="B24" s="16"/>
      <c r="C24" s="14"/>
      <c r="D24" s="26"/>
      <c r="E24" s="26"/>
      <c r="F24" s="15"/>
      <c r="G24" s="19" t="str">
        <f aca="false">IF(A24="","",SUMIFS('TRANSAKSI PENJUALAN'!$K$5:$K$504,'TRANSAKSI PENJUALAN'!$B$5:$B$504,B24,'TRANSAKSI PENJUALAN'!$E$5:$E$504,C24,'TRANSAKSI PENJUALAN'!$L$5:$L$504,"Tunai",'TRANSAKSI PENJUALAN'!$M$5:$M$504,"Lunas"))</f>
        <v/>
      </c>
      <c r="H24" s="15"/>
      <c r="I24" s="15"/>
      <c r="J24" s="19" t="str">
        <f aca="false">IF(A24="","",F24+G24+H24-I24)</f>
        <v/>
      </c>
      <c r="K24" s="15"/>
      <c r="L24" s="19" t="str">
        <f aca="false">IF(A24="","",IF(NOT(ISNUMBER(K24)),"ISI KAS FISIK",K24-J24))</f>
        <v/>
      </c>
      <c r="M24" s="18" t="str">
        <f aca="false">IF(A24="","",IF(NOT(ISNUMBER(L24)),"BELUM TUTUP",IF(L24=0,"Pas",IF(L24&gt;0,"Lebih","Kurang"))))</f>
        <v/>
      </c>
      <c r="N24" s="14"/>
      <c r="O24" s="14"/>
    </row>
    <row r="25" customFormat="false" ht="27" hidden="false" customHeight="true" outlineLevel="0" collapsed="false">
      <c r="A25" s="14"/>
      <c r="B25" s="16"/>
      <c r="C25" s="14"/>
      <c r="D25" s="26"/>
      <c r="E25" s="26"/>
      <c r="F25" s="15"/>
      <c r="G25" s="19" t="str">
        <f aca="false">IF(A25="","",SUMIFS('TRANSAKSI PENJUALAN'!$K$5:$K$504,'TRANSAKSI PENJUALAN'!$B$5:$B$504,B25,'TRANSAKSI PENJUALAN'!$E$5:$E$504,C25,'TRANSAKSI PENJUALAN'!$L$5:$L$504,"Tunai",'TRANSAKSI PENJUALAN'!$M$5:$M$504,"Lunas"))</f>
        <v/>
      </c>
      <c r="H25" s="15"/>
      <c r="I25" s="15"/>
      <c r="J25" s="19" t="str">
        <f aca="false">IF(A25="","",F25+G25+H25-I25)</f>
        <v/>
      </c>
      <c r="K25" s="15"/>
      <c r="L25" s="19" t="str">
        <f aca="false">IF(A25="","",IF(NOT(ISNUMBER(K25)),"ISI KAS FISIK",K25-J25))</f>
        <v/>
      </c>
      <c r="M25" s="18" t="str">
        <f aca="false">IF(A25="","",IF(NOT(ISNUMBER(L25)),"BELUM TUTUP",IF(L25=0,"Pas",IF(L25&gt;0,"Lebih","Kurang"))))</f>
        <v/>
      </c>
      <c r="N25" s="14"/>
      <c r="O25" s="14"/>
    </row>
    <row r="26" customFormat="false" ht="27" hidden="false" customHeight="true" outlineLevel="0" collapsed="false">
      <c r="A26" s="14"/>
      <c r="B26" s="16"/>
      <c r="C26" s="14"/>
      <c r="D26" s="26"/>
      <c r="E26" s="26"/>
      <c r="F26" s="15"/>
      <c r="G26" s="19" t="str">
        <f aca="false">IF(A26="","",SUMIFS('TRANSAKSI PENJUALAN'!$K$5:$K$504,'TRANSAKSI PENJUALAN'!$B$5:$B$504,B26,'TRANSAKSI PENJUALAN'!$E$5:$E$504,C26,'TRANSAKSI PENJUALAN'!$L$5:$L$504,"Tunai",'TRANSAKSI PENJUALAN'!$M$5:$M$504,"Lunas"))</f>
        <v/>
      </c>
      <c r="H26" s="15"/>
      <c r="I26" s="15"/>
      <c r="J26" s="19" t="str">
        <f aca="false">IF(A26="","",F26+G26+H26-I26)</f>
        <v/>
      </c>
      <c r="K26" s="15"/>
      <c r="L26" s="19" t="str">
        <f aca="false">IF(A26="","",IF(NOT(ISNUMBER(K26)),"ISI KAS FISIK",K26-J26))</f>
        <v/>
      </c>
      <c r="M26" s="18" t="str">
        <f aca="false">IF(A26="","",IF(NOT(ISNUMBER(L26)),"BELUM TUTUP",IF(L26=0,"Pas",IF(L26&gt;0,"Lebih","Kurang"))))</f>
        <v/>
      </c>
      <c r="N26" s="14"/>
      <c r="O26" s="14"/>
    </row>
    <row r="27" customFormat="false" ht="27" hidden="false" customHeight="true" outlineLevel="0" collapsed="false">
      <c r="A27" s="14"/>
      <c r="B27" s="16"/>
      <c r="C27" s="14"/>
      <c r="D27" s="26"/>
      <c r="E27" s="26"/>
      <c r="F27" s="15"/>
      <c r="G27" s="19" t="str">
        <f aca="false">IF(A27="","",SUMIFS('TRANSAKSI PENJUALAN'!$K$5:$K$504,'TRANSAKSI PENJUALAN'!$B$5:$B$504,B27,'TRANSAKSI PENJUALAN'!$E$5:$E$504,C27,'TRANSAKSI PENJUALAN'!$L$5:$L$504,"Tunai",'TRANSAKSI PENJUALAN'!$M$5:$M$504,"Lunas"))</f>
        <v/>
      </c>
      <c r="H27" s="15"/>
      <c r="I27" s="15"/>
      <c r="J27" s="19" t="str">
        <f aca="false">IF(A27="","",F27+G27+H27-I27)</f>
        <v/>
      </c>
      <c r="K27" s="15"/>
      <c r="L27" s="19" t="str">
        <f aca="false">IF(A27="","",IF(NOT(ISNUMBER(K27)),"ISI KAS FISIK",K27-J27))</f>
        <v/>
      </c>
      <c r="M27" s="18" t="str">
        <f aca="false">IF(A27="","",IF(NOT(ISNUMBER(L27)),"BELUM TUTUP",IF(L27=0,"Pas",IF(L27&gt;0,"Lebih","Kurang"))))</f>
        <v/>
      </c>
      <c r="N27" s="14"/>
      <c r="O27" s="14"/>
    </row>
    <row r="28" customFormat="false" ht="27" hidden="false" customHeight="true" outlineLevel="0" collapsed="false">
      <c r="A28" s="14"/>
      <c r="B28" s="16"/>
      <c r="C28" s="14"/>
      <c r="D28" s="26"/>
      <c r="E28" s="26"/>
      <c r="F28" s="15"/>
      <c r="G28" s="19" t="str">
        <f aca="false">IF(A28="","",SUMIFS('TRANSAKSI PENJUALAN'!$K$5:$K$504,'TRANSAKSI PENJUALAN'!$B$5:$B$504,B28,'TRANSAKSI PENJUALAN'!$E$5:$E$504,C28,'TRANSAKSI PENJUALAN'!$L$5:$L$504,"Tunai",'TRANSAKSI PENJUALAN'!$M$5:$M$504,"Lunas"))</f>
        <v/>
      </c>
      <c r="H28" s="15"/>
      <c r="I28" s="15"/>
      <c r="J28" s="19" t="str">
        <f aca="false">IF(A28="","",F28+G28+H28-I28)</f>
        <v/>
      </c>
      <c r="K28" s="15"/>
      <c r="L28" s="19" t="str">
        <f aca="false">IF(A28="","",IF(NOT(ISNUMBER(K28)),"ISI KAS FISIK",K28-J28))</f>
        <v/>
      </c>
      <c r="M28" s="18" t="str">
        <f aca="false">IF(A28="","",IF(NOT(ISNUMBER(L28)),"BELUM TUTUP",IF(L28=0,"Pas",IF(L28&gt;0,"Lebih","Kurang"))))</f>
        <v/>
      </c>
      <c r="N28" s="14"/>
      <c r="O28" s="14"/>
    </row>
    <row r="29" customFormat="false" ht="27" hidden="false" customHeight="true" outlineLevel="0" collapsed="false">
      <c r="A29" s="14"/>
      <c r="B29" s="16"/>
      <c r="C29" s="14"/>
      <c r="D29" s="26"/>
      <c r="E29" s="26"/>
      <c r="F29" s="15"/>
      <c r="G29" s="19" t="str">
        <f aca="false">IF(A29="","",SUMIFS('TRANSAKSI PENJUALAN'!$K$5:$K$504,'TRANSAKSI PENJUALAN'!$B$5:$B$504,B29,'TRANSAKSI PENJUALAN'!$E$5:$E$504,C29,'TRANSAKSI PENJUALAN'!$L$5:$L$504,"Tunai",'TRANSAKSI PENJUALAN'!$M$5:$M$504,"Lunas"))</f>
        <v/>
      </c>
      <c r="H29" s="15"/>
      <c r="I29" s="15"/>
      <c r="J29" s="19" t="str">
        <f aca="false">IF(A29="","",F29+G29+H29-I29)</f>
        <v/>
      </c>
      <c r="K29" s="15"/>
      <c r="L29" s="19" t="str">
        <f aca="false">IF(A29="","",IF(NOT(ISNUMBER(K29)),"ISI KAS FISIK",K29-J29))</f>
        <v/>
      </c>
      <c r="M29" s="18" t="str">
        <f aca="false">IF(A29="","",IF(NOT(ISNUMBER(L29)),"BELUM TUTUP",IF(L29=0,"Pas",IF(L29&gt;0,"Lebih","Kurang"))))</f>
        <v/>
      </c>
      <c r="N29" s="14"/>
      <c r="O29" s="14"/>
    </row>
    <row r="30" customFormat="false" ht="27" hidden="false" customHeight="true" outlineLevel="0" collapsed="false">
      <c r="A30" s="14"/>
      <c r="B30" s="16"/>
      <c r="C30" s="14"/>
      <c r="D30" s="26"/>
      <c r="E30" s="26"/>
      <c r="F30" s="15"/>
      <c r="G30" s="19" t="str">
        <f aca="false">IF(A30="","",SUMIFS('TRANSAKSI PENJUALAN'!$K$5:$K$504,'TRANSAKSI PENJUALAN'!$B$5:$B$504,B30,'TRANSAKSI PENJUALAN'!$E$5:$E$504,C30,'TRANSAKSI PENJUALAN'!$L$5:$L$504,"Tunai",'TRANSAKSI PENJUALAN'!$M$5:$M$504,"Lunas"))</f>
        <v/>
      </c>
      <c r="H30" s="15"/>
      <c r="I30" s="15"/>
      <c r="J30" s="19" t="str">
        <f aca="false">IF(A30="","",F30+G30+H30-I30)</f>
        <v/>
      </c>
      <c r="K30" s="15"/>
      <c r="L30" s="19" t="str">
        <f aca="false">IF(A30="","",IF(NOT(ISNUMBER(K30)),"ISI KAS FISIK",K30-J30))</f>
        <v/>
      </c>
      <c r="M30" s="18" t="str">
        <f aca="false">IF(A30="","",IF(NOT(ISNUMBER(L30)),"BELUM TUTUP",IF(L30=0,"Pas",IF(L30&gt;0,"Lebih","Kurang"))))</f>
        <v/>
      </c>
      <c r="N30" s="14"/>
      <c r="O30" s="14"/>
    </row>
    <row r="31" customFormat="false" ht="27" hidden="false" customHeight="true" outlineLevel="0" collapsed="false">
      <c r="A31" s="14"/>
      <c r="B31" s="16"/>
      <c r="C31" s="14"/>
      <c r="D31" s="26"/>
      <c r="E31" s="26"/>
      <c r="F31" s="15"/>
      <c r="G31" s="19" t="str">
        <f aca="false">IF(A31="","",SUMIFS('TRANSAKSI PENJUALAN'!$K$5:$K$504,'TRANSAKSI PENJUALAN'!$B$5:$B$504,B31,'TRANSAKSI PENJUALAN'!$E$5:$E$504,C31,'TRANSAKSI PENJUALAN'!$L$5:$L$504,"Tunai",'TRANSAKSI PENJUALAN'!$M$5:$M$504,"Lunas"))</f>
        <v/>
      </c>
      <c r="H31" s="15"/>
      <c r="I31" s="15"/>
      <c r="J31" s="19" t="str">
        <f aca="false">IF(A31="","",F31+G31+H31-I31)</f>
        <v/>
      </c>
      <c r="K31" s="15"/>
      <c r="L31" s="19" t="str">
        <f aca="false">IF(A31="","",IF(NOT(ISNUMBER(K31)),"ISI KAS FISIK",K31-J31))</f>
        <v/>
      </c>
      <c r="M31" s="18" t="str">
        <f aca="false">IF(A31="","",IF(NOT(ISNUMBER(L31)),"BELUM TUTUP",IF(L31=0,"Pas",IF(L31&gt;0,"Lebih","Kurang"))))</f>
        <v/>
      </c>
      <c r="N31" s="14"/>
      <c r="O31" s="14"/>
    </row>
    <row r="32" customFormat="false" ht="27" hidden="false" customHeight="true" outlineLevel="0" collapsed="false">
      <c r="A32" s="14"/>
      <c r="B32" s="16"/>
      <c r="C32" s="14"/>
      <c r="D32" s="26"/>
      <c r="E32" s="26"/>
      <c r="F32" s="15"/>
      <c r="G32" s="19" t="str">
        <f aca="false">IF(A32="","",SUMIFS('TRANSAKSI PENJUALAN'!$K$5:$K$504,'TRANSAKSI PENJUALAN'!$B$5:$B$504,B32,'TRANSAKSI PENJUALAN'!$E$5:$E$504,C32,'TRANSAKSI PENJUALAN'!$L$5:$L$504,"Tunai",'TRANSAKSI PENJUALAN'!$M$5:$M$504,"Lunas"))</f>
        <v/>
      </c>
      <c r="H32" s="15"/>
      <c r="I32" s="15"/>
      <c r="J32" s="19" t="str">
        <f aca="false">IF(A32="","",F32+G32+H32-I32)</f>
        <v/>
      </c>
      <c r="K32" s="15"/>
      <c r="L32" s="19" t="str">
        <f aca="false">IF(A32="","",IF(NOT(ISNUMBER(K32)),"ISI KAS FISIK",K32-J32))</f>
        <v/>
      </c>
      <c r="M32" s="18" t="str">
        <f aca="false">IF(A32="","",IF(NOT(ISNUMBER(L32)),"BELUM TUTUP",IF(L32=0,"Pas",IF(L32&gt;0,"Lebih","Kurang"))))</f>
        <v/>
      </c>
      <c r="N32" s="14"/>
      <c r="O32" s="14"/>
    </row>
    <row r="33" customFormat="false" ht="27" hidden="false" customHeight="true" outlineLevel="0" collapsed="false">
      <c r="A33" s="14"/>
      <c r="B33" s="16"/>
      <c r="C33" s="14"/>
      <c r="D33" s="26"/>
      <c r="E33" s="26"/>
      <c r="F33" s="15"/>
      <c r="G33" s="19" t="str">
        <f aca="false">IF(A33="","",SUMIFS('TRANSAKSI PENJUALAN'!$K$5:$K$504,'TRANSAKSI PENJUALAN'!$B$5:$B$504,B33,'TRANSAKSI PENJUALAN'!$E$5:$E$504,C33,'TRANSAKSI PENJUALAN'!$L$5:$L$504,"Tunai",'TRANSAKSI PENJUALAN'!$M$5:$M$504,"Lunas"))</f>
        <v/>
      </c>
      <c r="H33" s="15"/>
      <c r="I33" s="15"/>
      <c r="J33" s="19" t="str">
        <f aca="false">IF(A33="","",F33+G33+H33-I33)</f>
        <v/>
      </c>
      <c r="K33" s="15"/>
      <c r="L33" s="19" t="str">
        <f aca="false">IF(A33="","",IF(NOT(ISNUMBER(K33)),"ISI KAS FISIK",K33-J33))</f>
        <v/>
      </c>
      <c r="M33" s="18" t="str">
        <f aca="false">IF(A33="","",IF(NOT(ISNUMBER(L33)),"BELUM TUTUP",IF(L33=0,"Pas",IF(L33&gt;0,"Lebih","Kurang"))))</f>
        <v/>
      </c>
      <c r="N33" s="14"/>
      <c r="O33" s="14"/>
    </row>
    <row r="34" customFormat="false" ht="27" hidden="false" customHeight="true" outlineLevel="0" collapsed="false">
      <c r="A34" s="14"/>
      <c r="B34" s="16"/>
      <c r="C34" s="14"/>
      <c r="D34" s="26"/>
      <c r="E34" s="26"/>
      <c r="F34" s="15"/>
      <c r="G34" s="19" t="str">
        <f aca="false">IF(A34="","",SUMIFS('TRANSAKSI PENJUALAN'!$K$5:$K$504,'TRANSAKSI PENJUALAN'!$B$5:$B$504,B34,'TRANSAKSI PENJUALAN'!$E$5:$E$504,C34,'TRANSAKSI PENJUALAN'!$L$5:$L$504,"Tunai",'TRANSAKSI PENJUALAN'!$M$5:$M$504,"Lunas"))</f>
        <v/>
      </c>
      <c r="H34" s="15"/>
      <c r="I34" s="15"/>
      <c r="J34" s="19" t="str">
        <f aca="false">IF(A34="","",F34+G34+H34-I34)</f>
        <v/>
      </c>
      <c r="K34" s="15"/>
      <c r="L34" s="19" t="str">
        <f aca="false">IF(A34="","",IF(NOT(ISNUMBER(K34)),"ISI KAS FISIK",K34-J34))</f>
        <v/>
      </c>
      <c r="M34" s="18" t="str">
        <f aca="false">IF(A34="","",IF(NOT(ISNUMBER(L34)),"BELUM TUTUP",IF(L34=0,"Pas",IF(L34&gt;0,"Lebih","Kurang"))))</f>
        <v/>
      </c>
      <c r="N34" s="14"/>
      <c r="O34" s="14"/>
    </row>
    <row r="35" customFormat="false" ht="27" hidden="false" customHeight="true" outlineLevel="0" collapsed="false">
      <c r="A35" s="14"/>
      <c r="B35" s="16"/>
      <c r="C35" s="14"/>
      <c r="D35" s="26"/>
      <c r="E35" s="26"/>
      <c r="F35" s="15"/>
      <c r="G35" s="19" t="str">
        <f aca="false">IF(A35="","",SUMIFS('TRANSAKSI PENJUALAN'!$K$5:$K$504,'TRANSAKSI PENJUALAN'!$B$5:$B$504,B35,'TRANSAKSI PENJUALAN'!$E$5:$E$504,C35,'TRANSAKSI PENJUALAN'!$L$5:$L$504,"Tunai",'TRANSAKSI PENJUALAN'!$M$5:$M$504,"Lunas"))</f>
        <v/>
      </c>
      <c r="H35" s="15"/>
      <c r="I35" s="15"/>
      <c r="J35" s="19" t="str">
        <f aca="false">IF(A35="","",F35+G35+H35-I35)</f>
        <v/>
      </c>
      <c r="K35" s="15"/>
      <c r="L35" s="19" t="str">
        <f aca="false">IF(A35="","",IF(NOT(ISNUMBER(K35)),"ISI KAS FISIK",K35-J35))</f>
        <v/>
      </c>
      <c r="M35" s="18" t="str">
        <f aca="false">IF(A35="","",IF(NOT(ISNUMBER(L35)),"BELUM TUTUP",IF(L35=0,"Pas",IF(L35&gt;0,"Lebih","Kurang"))))</f>
        <v/>
      </c>
      <c r="N35" s="14"/>
      <c r="O35" s="14"/>
    </row>
    <row r="36" customFormat="false" ht="27" hidden="false" customHeight="true" outlineLevel="0" collapsed="false">
      <c r="A36" s="14"/>
      <c r="B36" s="16"/>
      <c r="C36" s="14"/>
      <c r="D36" s="26"/>
      <c r="E36" s="26"/>
      <c r="F36" s="15"/>
      <c r="G36" s="19" t="str">
        <f aca="false">IF(A36="","",SUMIFS('TRANSAKSI PENJUALAN'!$K$5:$K$504,'TRANSAKSI PENJUALAN'!$B$5:$B$504,B36,'TRANSAKSI PENJUALAN'!$E$5:$E$504,C36,'TRANSAKSI PENJUALAN'!$L$5:$L$504,"Tunai",'TRANSAKSI PENJUALAN'!$M$5:$M$504,"Lunas"))</f>
        <v/>
      </c>
      <c r="H36" s="15"/>
      <c r="I36" s="15"/>
      <c r="J36" s="19" t="str">
        <f aca="false">IF(A36="","",F36+G36+H36-I36)</f>
        <v/>
      </c>
      <c r="K36" s="15"/>
      <c r="L36" s="19" t="str">
        <f aca="false">IF(A36="","",IF(NOT(ISNUMBER(K36)),"ISI KAS FISIK",K36-J36))</f>
        <v/>
      </c>
      <c r="M36" s="18" t="str">
        <f aca="false">IF(A36="","",IF(NOT(ISNUMBER(L36)),"BELUM TUTUP",IF(L36=0,"Pas",IF(L36&gt;0,"Lebih","Kurang"))))</f>
        <v/>
      </c>
      <c r="N36" s="14"/>
      <c r="O36" s="14"/>
    </row>
    <row r="37" customFormat="false" ht="27" hidden="false" customHeight="true" outlineLevel="0" collapsed="false">
      <c r="A37" s="14"/>
      <c r="B37" s="16"/>
      <c r="C37" s="14"/>
      <c r="D37" s="26"/>
      <c r="E37" s="26"/>
      <c r="F37" s="15"/>
      <c r="G37" s="19" t="str">
        <f aca="false">IF(A37="","",SUMIFS('TRANSAKSI PENJUALAN'!$K$5:$K$504,'TRANSAKSI PENJUALAN'!$B$5:$B$504,B37,'TRANSAKSI PENJUALAN'!$E$5:$E$504,C37,'TRANSAKSI PENJUALAN'!$L$5:$L$504,"Tunai",'TRANSAKSI PENJUALAN'!$M$5:$M$504,"Lunas"))</f>
        <v/>
      </c>
      <c r="H37" s="15"/>
      <c r="I37" s="15"/>
      <c r="J37" s="19" t="str">
        <f aca="false">IF(A37="","",F37+G37+H37-I37)</f>
        <v/>
      </c>
      <c r="K37" s="15"/>
      <c r="L37" s="19" t="str">
        <f aca="false">IF(A37="","",IF(NOT(ISNUMBER(K37)),"ISI KAS FISIK",K37-J37))</f>
        <v/>
      </c>
      <c r="M37" s="18" t="str">
        <f aca="false">IF(A37="","",IF(NOT(ISNUMBER(L37)),"BELUM TUTUP",IF(L37=0,"Pas",IF(L37&gt;0,"Lebih","Kurang"))))</f>
        <v/>
      </c>
      <c r="N37" s="14"/>
      <c r="O37" s="14"/>
    </row>
    <row r="38" customFormat="false" ht="27" hidden="false" customHeight="true" outlineLevel="0" collapsed="false">
      <c r="A38" s="14"/>
      <c r="B38" s="16"/>
      <c r="C38" s="14"/>
      <c r="D38" s="26"/>
      <c r="E38" s="26"/>
      <c r="F38" s="15"/>
      <c r="G38" s="19" t="str">
        <f aca="false">IF(A38="","",SUMIFS('TRANSAKSI PENJUALAN'!$K$5:$K$504,'TRANSAKSI PENJUALAN'!$B$5:$B$504,B38,'TRANSAKSI PENJUALAN'!$E$5:$E$504,C38,'TRANSAKSI PENJUALAN'!$L$5:$L$504,"Tunai",'TRANSAKSI PENJUALAN'!$M$5:$M$504,"Lunas"))</f>
        <v/>
      </c>
      <c r="H38" s="15"/>
      <c r="I38" s="15"/>
      <c r="J38" s="19" t="str">
        <f aca="false">IF(A38="","",F38+G38+H38-I38)</f>
        <v/>
      </c>
      <c r="K38" s="15"/>
      <c r="L38" s="19" t="str">
        <f aca="false">IF(A38="","",IF(NOT(ISNUMBER(K38)),"ISI KAS FISIK",K38-J38))</f>
        <v/>
      </c>
      <c r="M38" s="18" t="str">
        <f aca="false">IF(A38="","",IF(NOT(ISNUMBER(L38)),"BELUM TUTUP",IF(L38=0,"Pas",IF(L38&gt;0,"Lebih","Kurang"))))</f>
        <v/>
      </c>
      <c r="N38" s="14"/>
      <c r="O38" s="14"/>
    </row>
    <row r="39" customFormat="false" ht="27" hidden="false" customHeight="true" outlineLevel="0" collapsed="false">
      <c r="A39" s="14"/>
      <c r="B39" s="16"/>
      <c r="C39" s="14"/>
      <c r="D39" s="26"/>
      <c r="E39" s="26"/>
      <c r="F39" s="15"/>
      <c r="G39" s="19" t="str">
        <f aca="false">IF(A39="","",SUMIFS('TRANSAKSI PENJUALAN'!$K$5:$K$504,'TRANSAKSI PENJUALAN'!$B$5:$B$504,B39,'TRANSAKSI PENJUALAN'!$E$5:$E$504,C39,'TRANSAKSI PENJUALAN'!$L$5:$L$504,"Tunai",'TRANSAKSI PENJUALAN'!$M$5:$M$504,"Lunas"))</f>
        <v/>
      </c>
      <c r="H39" s="15"/>
      <c r="I39" s="15"/>
      <c r="J39" s="19" t="str">
        <f aca="false">IF(A39="","",F39+G39+H39-I39)</f>
        <v/>
      </c>
      <c r="K39" s="15"/>
      <c r="L39" s="19" t="str">
        <f aca="false">IF(A39="","",IF(NOT(ISNUMBER(K39)),"ISI KAS FISIK",K39-J39))</f>
        <v/>
      </c>
      <c r="M39" s="18" t="str">
        <f aca="false">IF(A39="","",IF(NOT(ISNUMBER(L39)),"BELUM TUTUP",IF(L39=0,"Pas",IF(L39&gt;0,"Lebih","Kurang"))))</f>
        <v/>
      </c>
      <c r="N39" s="14"/>
      <c r="O39" s="14"/>
    </row>
    <row r="40" customFormat="false" ht="27" hidden="false" customHeight="true" outlineLevel="0" collapsed="false">
      <c r="A40" s="14"/>
      <c r="B40" s="16"/>
      <c r="C40" s="14"/>
      <c r="D40" s="26"/>
      <c r="E40" s="26"/>
      <c r="F40" s="15"/>
      <c r="G40" s="19" t="str">
        <f aca="false">IF(A40="","",SUMIFS('TRANSAKSI PENJUALAN'!$K$5:$K$504,'TRANSAKSI PENJUALAN'!$B$5:$B$504,B40,'TRANSAKSI PENJUALAN'!$E$5:$E$504,C40,'TRANSAKSI PENJUALAN'!$L$5:$L$504,"Tunai",'TRANSAKSI PENJUALAN'!$M$5:$M$504,"Lunas"))</f>
        <v/>
      </c>
      <c r="H40" s="15"/>
      <c r="I40" s="15"/>
      <c r="J40" s="19" t="str">
        <f aca="false">IF(A40="","",F40+G40+H40-I40)</f>
        <v/>
      </c>
      <c r="K40" s="15"/>
      <c r="L40" s="19" t="str">
        <f aca="false">IF(A40="","",IF(NOT(ISNUMBER(K40)),"ISI KAS FISIK",K40-J40))</f>
        <v/>
      </c>
      <c r="M40" s="18" t="str">
        <f aca="false">IF(A40="","",IF(NOT(ISNUMBER(L40)),"BELUM TUTUP",IF(L40=0,"Pas",IF(L40&gt;0,"Lebih","Kurang"))))</f>
        <v/>
      </c>
      <c r="N40" s="14"/>
      <c r="O40" s="14"/>
    </row>
    <row r="41" customFormat="false" ht="27" hidden="false" customHeight="true" outlineLevel="0" collapsed="false">
      <c r="A41" s="14"/>
      <c r="B41" s="16"/>
      <c r="C41" s="14"/>
      <c r="D41" s="26"/>
      <c r="E41" s="26"/>
      <c r="F41" s="15"/>
      <c r="G41" s="19" t="str">
        <f aca="false">IF(A41="","",SUMIFS('TRANSAKSI PENJUALAN'!$K$5:$K$504,'TRANSAKSI PENJUALAN'!$B$5:$B$504,B41,'TRANSAKSI PENJUALAN'!$E$5:$E$504,C41,'TRANSAKSI PENJUALAN'!$L$5:$L$504,"Tunai",'TRANSAKSI PENJUALAN'!$M$5:$M$504,"Lunas"))</f>
        <v/>
      </c>
      <c r="H41" s="15"/>
      <c r="I41" s="15"/>
      <c r="J41" s="19" t="str">
        <f aca="false">IF(A41="","",F41+G41+H41-I41)</f>
        <v/>
      </c>
      <c r="K41" s="15"/>
      <c r="L41" s="19" t="str">
        <f aca="false">IF(A41="","",IF(NOT(ISNUMBER(K41)),"ISI KAS FISIK",K41-J41))</f>
        <v/>
      </c>
      <c r="M41" s="18" t="str">
        <f aca="false">IF(A41="","",IF(NOT(ISNUMBER(L41)),"BELUM TUTUP",IF(L41=0,"Pas",IF(L41&gt;0,"Lebih","Kurang"))))</f>
        <v/>
      </c>
      <c r="N41" s="14"/>
      <c r="O41" s="14"/>
    </row>
    <row r="42" customFormat="false" ht="27" hidden="false" customHeight="true" outlineLevel="0" collapsed="false">
      <c r="A42" s="14"/>
      <c r="B42" s="16"/>
      <c r="C42" s="14"/>
      <c r="D42" s="26"/>
      <c r="E42" s="26"/>
      <c r="F42" s="15"/>
      <c r="G42" s="19" t="str">
        <f aca="false">IF(A42="","",SUMIFS('TRANSAKSI PENJUALAN'!$K$5:$K$504,'TRANSAKSI PENJUALAN'!$B$5:$B$504,B42,'TRANSAKSI PENJUALAN'!$E$5:$E$504,C42,'TRANSAKSI PENJUALAN'!$L$5:$L$504,"Tunai",'TRANSAKSI PENJUALAN'!$M$5:$M$504,"Lunas"))</f>
        <v/>
      </c>
      <c r="H42" s="15"/>
      <c r="I42" s="15"/>
      <c r="J42" s="19" t="str">
        <f aca="false">IF(A42="","",F42+G42+H42-I42)</f>
        <v/>
      </c>
      <c r="K42" s="15"/>
      <c r="L42" s="19" t="str">
        <f aca="false">IF(A42="","",IF(NOT(ISNUMBER(K42)),"ISI KAS FISIK",K42-J42))</f>
        <v/>
      </c>
      <c r="M42" s="18" t="str">
        <f aca="false">IF(A42="","",IF(NOT(ISNUMBER(L42)),"BELUM TUTUP",IF(L42=0,"Pas",IF(L42&gt;0,"Lebih","Kurang"))))</f>
        <v/>
      </c>
      <c r="N42" s="14"/>
      <c r="O42" s="14"/>
    </row>
    <row r="43" customFormat="false" ht="27" hidden="false" customHeight="true" outlineLevel="0" collapsed="false">
      <c r="A43" s="14"/>
      <c r="B43" s="16"/>
      <c r="C43" s="14"/>
      <c r="D43" s="26"/>
      <c r="E43" s="26"/>
      <c r="F43" s="15"/>
      <c r="G43" s="19" t="str">
        <f aca="false">IF(A43="","",SUMIFS('TRANSAKSI PENJUALAN'!$K$5:$K$504,'TRANSAKSI PENJUALAN'!$B$5:$B$504,B43,'TRANSAKSI PENJUALAN'!$E$5:$E$504,C43,'TRANSAKSI PENJUALAN'!$L$5:$L$504,"Tunai",'TRANSAKSI PENJUALAN'!$M$5:$M$504,"Lunas"))</f>
        <v/>
      </c>
      <c r="H43" s="15"/>
      <c r="I43" s="15"/>
      <c r="J43" s="19" t="str">
        <f aca="false">IF(A43="","",F43+G43+H43-I43)</f>
        <v/>
      </c>
      <c r="K43" s="15"/>
      <c r="L43" s="19" t="str">
        <f aca="false">IF(A43="","",IF(NOT(ISNUMBER(K43)),"ISI KAS FISIK",K43-J43))</f>
        <v/>
      </c>
      <c r="M43" s="18" t="str">
        <f aca="false">IF(A43="","",IF(NOT(ISNUMBER(L43)),"BELUM TUTUP",IF(L43=0,"Pas",IF(L43&gt;0,"Lebih","Kurang"))))</f>
        <v/>
      </c>
      <c r="N43" s="14"/>
      <c r="O43" s="14"/>
    </row>
    <row r="44" customFormat="false" ht="27" hidden="false" customHeight="true" outlineLevel="0" collapsed="false">
      <c r="A44" s="14"/>
      <c r="B44" s="16"/>
      <c r="C44" s="14"/>
      <c r="D44" s="26"/>
      <c r="E44" s="26"/>
      <c r="F44" s="15"/>
      <c r="G44" s="19" t="str">
        <f aca="false">IF(A44="","",SUMIFS('TRANSAKSI PENJUALAN'!$K$5:$K$504,'TRANSAKSI PENJUALAN'!$B$5:$B$504,B44,'TRANSAKSI PENJUALAN'!$E$5:$E$504,C44,'TRANSAKSI PENJUALAN'!$L$5:$L$504,"Tunai",'TRANSAKSI PENJUALAN'!$M$5:$M$504,"Lunas"))</f>
        <v/>
      </c>
      <c r="H44" s="15"/>
      <c r="I44" s="15"/>
      <c r="J44" s="19" t="str">
        <f aca="false">IF(A44="","",F44+G44+H44-I44)</f>
        <v/>
      </c>
      <c r="K44" s="15"/>
      <c r="L44" s="19" t="str">
        <f aca="false">IF(A44="","",IF(NOT(ISNUMBER(K44)),"ISI KAS FISIK",K44-J44))</f>
        <v/>
      </c>
      <c r="M44" s="18" t="str">
        <f aca="false">IF(A44="","",IF(NOT(ISNUMBER(L44)),"BELUM TUTUP",IF(L44=0,"Pas",IF(L44&gt;0,"Lebih","Kurang"))))</f>
        <v/>
      </c>
      <c r="N44" s="14"/>
      <c r="O44" s="14"/>
    </row>
    <row r="45" customFormat="false" ht="27" hidden="false" customHeight="true" outlineLevel="0" collapsed="false">
      <c r="A45" s="14"/>
      <c r="B45" s="16"/>
      <c r="C45" s="14"/>
      <c r="D45" s="26"/>
      <c r="E45" s="26"/>
      <c r="F45" s="15"/>
      <c r="G45" s="19" t="str">
        <f aca="false">IF(A45="","",SUMIFS('TRANSAKSI PENJUALAN'!$K$5:$K$504,'TRANSAKSI PENJUALAN'!$B$5:$B$504,B45,'TRANSAKSI PENJUALAN'!$E$5:$E$504,C45,'TRANSAKSI PENJUALAN'!$L$5:$L$504,"Tunai",'TRANSAKSI PENJUALAN'!$M$5:$M$504,"Lunas"))</f>
        <v/>
      </c>
      <c r="H45" s="15"/>
      <c r="I45" s="15"/>
      <c r="J45" s="19" t="str">
        <f aca="false">IF(A45="","",F45+G45+H45-I45)</f>
        <v/>
      </c>
      <c r="K45" s="15"/>
      <c r="L45" s="19" t="str">
        <f aca="false">IF(A45="","",IF(NOT(ISNUMBER(K45)),"ISI KAS FISIK",K45-J45))</f>
        <v/>
      </c>
      <c r="M45" s="18" t="str">
        <f aca="false">IF(A45="","",IF(NOT(ISNUMBER(L45)),"BELUM TUTUP",IF(L45=0,"Pas",IF(L45&gt;0,"Lebih","Kurang"))))</f>
        <v/>
      </c>
      <c r="N45" s="14"/>
      <c r="O45" s="14"/>
    </row>
    <row r="46" customFormat="false" ht="27" hidden="false" customHeight="true" outlineLevel="0" collapsed="false">
      <c r="A46" s="14"/>
      <c r="B46" s="16"/>
      <c r="C46" s="14"/>
      <c r="D46" s="26"/>
      <c r="E46" s="26"/>
      <c r="F46" s="15"/>
      <c r="G46" s="19" t="str">
        <f aca="false">IF(A46="","",SUMIFS('TRANSAKSI PENJUALAN'!$K$5:$K$504,'TRANSAKSI PENJUALAN'!$B$5:$B$504,B46,'TRANSAKSI PENJUALAN'!$E$5:$E$504,C46,'TRANSAKSI PENJUALAN'!$L$5:$L$504,"Tunai",'TRANSAKSI PENJUALAN'!$M$5:$M$504,"Lunas"))</f>
        <v/>
      </c>
      <c r="H46" s="15"/>
      <c r="I46" s="15"/>
      <c r="J46" s="19" t="str">
        <f aca="false">IF(A46="","",F46+G46+H46-I46)</f>
        <v/>
      </c>
      <c r="K46" s="15"/>
      <c r="L46" s="19" t="str">
        <f aca="false">IF(A46="","",IF(NOT(ISNUMBER(K46)),"ISI KAS FISIK",K46-J46))</f>
        <v/>
      </c>
      <c r="M46" s="18" t="str">
        <f aca="false">IF(A46="","",IF(NOT(ISNUMBER(L46)),"BELUM TUTUP",IF(L46=0,"Pas",IF(L46&gt;0,"Lebih","Kurang"))))</f>
        <v/>
      </c>
      <c r="N46" s="14"/>
      <c r="O46" s="14"/>
    </row>
    <row r="47" customFormat="false" ht="27" hidden="false" customHeight="true" outlineLevel="0" collapsed="false">
      <c r="A47" s="14"/>
      <c r="B47" s="16"/>
      <c r="C47" s="14"/>
      <c r="D47" s="26"/>
      <c r="E47" s="26"/>
      <c r="F47" s="15"/>
      <c r="G47" s="19" t="str">
        <f aca="false">IF(A47="","",SUMIFS('TRANSAKSI PENJUALAN'!$K$5:$K$504,'TRANSAKSI PENJUALAN'!$B$5:$B$504,B47,'TRANSAKSI PENJUALAN'!$E$5:$E$504,C47,'TRANSAKSI PENJUALAN'!$L$5:$L$504,"Tunai",'TRANSAKSI PENJUALAN'!$M$5:$M$504,"Lunas"))</f>
        <v/>
      </c>
      <c r="H47" s="15"/>
      <c r="I47" s="15"/>
      <c r="J47" s="19" t="str">
        <f aca="false">IF(A47="","",F47+G47+H47-I47)</f>
        <v/>
      </c>
      <c r="K47" s="15"/>
      <c r="L47" s="19" t="str">
        <f aca="false">IF(A47="","",IF(NOT(ISNUMBER(K47)),"ISI KAS FISIK",K47-J47))</f>
        <v/>
      </c>
      <c r="M47" s="18" t="str">
        <f aca="false">IF(A47="","",IF(NOT(ISNUMBER(L47)),"BELUM TUTUP",IF(L47=0,"Pas",IF(L47&gt;0,"Lebih","Kurang"))))</f>
        <v/>
      </c>
      <c r="N47" s="14"/>
      <c r="O47" s="14"/>
    </row>
    <row r="48" customFormat="false" ht="27" hidden="false" customHeight="true" outlineLevel="0" collapsed="false">
      <c r="A48" s="14"/>
      <c r="B48" s="16"/>
      <c r="C48" s="14"/>
      <c r="D48" s="26"/>
      <c r="E48" s="26"/>
      <c r="F48" s="15"/>
      <c r="G48" s="19" t="str">
        <f aca="false">IF(A48="","",SUMIFS('TRANSAKSI PENJUALAN'!$K$5:$K$504,'TRANSAKSI PENJUALAN'!$B$5:$B$504,B48,'TRANSAKSI PENJUALAN'!$E$5:$E$504,C48,'TRANSAKSI PENJUALAN'!$L$5:$L$504,"Tunai",'TRANSAKSI PENJUALAN'!$M$5:$M$504,"Lunas"))</f>
        <v/>
      </c>
      <c r="H48" s="15"/>
      <c r="I48" s="15"/>
      <c r="J48" s="19" t="str">
        <f aca="false">IF(A48="","",F48+G48+H48-I48)</f>
        <v/>
      </c>
      <c r="K48" s="15"/>
      <c r="L48" s="19" t="str">
        <f aca="false">IF(A48="","",IF(NOT(ISNUMBER(K48)),"ISI KAS FISIK",K48-J48))</f>
        <v/>
      </c>
      <c r="M48" s="18" t="str">
        <f aca="false">IF(A48="","",IF(NOT(ISNUMBER(L48)),"BELUM TUTUP",IF(L48=0,"Pas",IF(L48&gt;0,"Lebih","Kurang"))))</f>
        <v/>
      </c>
      <c r="N48" s="14"/>
      <c r="O48" s="14"/>
    </row>
    <row r="49" customFormat="false" ht="27" hidden="false" customHeight="true" outlineLevel="0" collapsed="false">
      <c r="A49" s="14"/>
      <c r="B49" s="16"/>
      <c r="C49" s="14"/>
      <c r="D49" s="26"/>
      <c r="E49" s="26"/>
      <c r="F49" s="15"/>
      <c r="G49" s="19" t="str">
        <f aca="false">IF(A49="","",SUMIFS('TRANSAKSI PENJUALAN'!$K$5:$K$504,'TRANSAKSI PENJUALAN'!$B$5:$B$504,B49,'TRANSAKSI PENJUALAN'!$E$5:$E$504,C49,'TRANSAKSI PENJUALAN'!$L$5:$L$504,"Tunai",'TRANSAKSI PENJUALAN'!$M$5:$M$504,"Lunas"))</f>
        <v/>
      </c>
      <c r="H49" s="15"/>
      <c r="I49" s="15"/>
      <c r="J49" s="19" t="str">
        <f aca="false">IF(A49="","",F49+G49+H49-I49)</f>
        <v/>
      </c>
      <c r="K49" s="15"/>
      <c r="L49" s="19" t="str">
        <f aca="false">IF(A49="","",IF(NOT(ISNUMBER(K49)),"ISI KAS FISIK",K49-J49))</f>
        <v/>
      </c>
      <c r="M49" s="18" t="str">
        <f aca="false">IF(A49="","",IF(NOT(ISNUMBER(L49)),"BELUM TUTUP",IF(L49=0,"Pas",IF(L49&gt;0,"Lebih","Kurang"))))</f>
        <v/>
      </c>
      <c r="N49" s="14"/>
      <c r="O49" s="14"/>
    </row>
    <row r="50" customFormat="false" ht="27" hidden="false" customHeight="true" outlineLevel="0" collapsed="false">
      <c r="A50" s="14"/>
      <c r="B50" s="16"/>
      <c r="C50" s="14"/>
      <c r="D50" s="26"/>
      <c r="E50" s="26"/>
      <c r="F50" s="15"/>
      <c r="G50" s="19" t="str">
        <f aca="false">IF(A50="","",SUMIFS('TRANSAKSI PENJUALAN'!$K$5:$K$504,'TRANSAKSI PENJUALAN'!$B$5:$B$504,B50,'TRANSAKSI PENJUALAN'!$E$5:$E$504,C50,'TRANSAKSI PENJUALAN'!$L$5:$L$504,"Tunai",'TRANSAKSI PENJUALAN'!$M$5:$M$504,"Lunas"))</f>
        <v/>
      </c>
      <c r="H50" s="15"/>
      <c r="I50" s="15"/>
      <c r="J50" s="19" t="str">
        <f aca="false">IF(A50="","",F50+G50+H50-I50)</f>
        <v/>
      </c>
      <c r="K50" s="15"/>
      <c r="L50" s="19" t="str">
        <f aca="false">IF(A50="","",IF(NOT(ISNUMBER(K50)),"ISI KAS FISIK",K50-J50))</f>
        <v/>
      </c>
      <c r="M50" s="18" t="str">
        <f aca="false">IF(A50="","",IF(NOT(ISNUMBER(L50)),"BELUM TUTUP",IF(L50=0,"Pas",IF(L50&gt;0,"Lebih","Kurang"))))</f>
        <v/>
      </c>
      <c r="N50" s="14"/>
      <c r="O50" s="14"/>
    </row>
    <row r="51" customFormat="false" ht="27" hidden="false" customHeight="true" outlineLevel="0" collapsed="false">
      <c r="A51" s="14"/>
      <c r="B51" s="16"/>
      <c r="C51" s="14"/>
      <c r="D51" s="26"/>
      <c r="E51" s="26"/>
      <c r="F51" s="15"/>
      <c r="G51" s="19" t="str">
        <f aca="false">IF(A51="","",SUMIFS('TRANSAKSI PENJUALAN'!$K$5:$K$504,'TRANSAKSI PENJUALAN'!$B$5:$B$504,B51,'TRANSAKSI PENJUALAN'!$E$5:$E$504,C51,'TRANSAKSI PENJUALAN'!$L$5:$L$504,"Tunai",'TRANSAKSI PENJUALAN'!$M$5:$M$504,"Lunas"))</f>
        <v/>
      </c>
      <c r="H51" s="15"/>
      <c r="I51" s="15"/>
      <c r="J51" s="19" t="str">
        <f aca="false">IF(A51="","",F51+G51+H51-I51)</f>
        <v/>
      </c>
      <c r="K51" s="15"/>
      <c r="L51" s="19" t="str">
        <f aca="false">IF(A51="","",IF(NOT(ISNUMBER(K51)),"ISI KAS FISIK",K51-J51))</f>
        <v/>
      </c>
      <c r="M51" s="18" t="str">
        <f aca="false">IF(A51="","",IF(NOT(ISNUMBER(L51)),"BELUM TUTUP",IF(L51=0,"Pas",IF(L51&gt;0,"Lebih","Kurang"))))</f>
        <v/>
      </c>
      <c r="N51" s="14"/>
      <c r="O51" s="14"/>
    </row>
    <row r="52" customFormat="false" ht="27" hidden="false" customHeight="true" outlineLevel="0" collapsed="false">
      <c r="A52" s="14"/>
      <c r="B52" s="16"/>
      <c r="C52" s="14"/>
      <c r="D52" s="26"/>
      <c r="E52" s="26"/>
      <c r="F52" s="15"/>
      <c r="G52" s="19" t="str">
        <f aca="false">IF(A52="","",SUMIFS('TRANSAKSI PENJUALAN'!$K$5:$K$504,'TRANSAKSI PENJUALAN'!$B$5:$B$504,B52,'TRANSAKSI PENJUALAN'!$E$5:$E$504,C52,'TRANSAKSI PENJUALAN'!$L$5:$L$504,"Tunai",'TRANSAKSI PENJUALAN'!$M$5:$M$504,"Lunas"))</f>
        <v/>
      </c>
      <c r="H52" s="15"/>
      <c r="I52" s="15"/>
      <c r="J52" s="19" t="str">
        <f aca="false">IF(A52="","",F52+G52+H52-I52)</f>
        <v/>
      </c>
      <c r="K52" s="15"/>
      <c r="L52" s="19" t="str">
        <f aca="false">IF(A52="","",IF(NOT(ISNUMBER(K52)),"ISI KAS FISIK",K52-J52))</f>
        <v/>
      </c>
      <c r="M52" s="18" t="str">
        <f aca="false">IF(A52="","",IF(NOT(ISNUMBER(L52)),"BELUM TUTUP",IF(L52=0,"Pas",IF(L52&gt;0,"Lebih","Kurang"))))</f>
        <v/>
      </c>
      <c r="N52" s="14"/>
      <c r="O52" s="14"/>
    </row>
    <row r="53" customFormat="false" ht="27" hidden="false" customHeight="true" outlineLevel="0" collapsed="false">
      <c r="A53" s="14"/>
      <c r="B53" s="16"/>
      <c r="C53" s="14"/>
      <c r="D53" s="26"/>
      <c r="E53" s="26"/>
      <c r="F53" s="15"/>
      <c r="G53" s="19" t="str">
        <f aca="false">IF(A53="","",SUMIFS('TRANSAKSI PENJUALAN'!$K$5:$K$504,'TRANSAKSI PENJUALAN'!$B$5:$B$504,B53,'TRANSAKSI PENJUALAN'!$E$5:$E$504,C53,'TRANSAKSI PENJUALAN'!$L$5:$L$504,"Tunai",'TRANSAKSI PENJUALAN'!$M$5:$M$504,"Lunas"))</f>
        <v/>
      </c>
      <c r="H53" s="15"/>
      <c r="I53" s="15"/>
      <c r="J53" s="19" t="str">
        <f aca="false">IF(A53="","",F53+G53+H53-I53)</f>
        <v/>
      </c>
      <c r="K53" s="15"/>
      <c r="L53" s="19" t="str">
        <f aca="false">IF(A53="","",IF(NOT(ISNUMBER(K53)),"ISI KAS FISIK",K53-J53))</f>
        <v/>
      </c>
      <c r="M53" s="18" t="str">
        <f aca="false">IF(A53="","",IF(NOT(ISNUMBER(L53)),"BELUM TUTUP",IF(L53=0,"Pas",IF(L53&gt;0,"Lebih","Kurang"))))</f>
        <v/>
      </c>
      <c r="N53" s="14"/>
      <c r="O53" s="14"/>
    </row>
    <row r="54" customFormat="false" ht="27" hidden="false" customHeight="true" outlineLevel="0" collapsed="false">
      <c r="A54" s="14"/>
      <c r="B54" s="16"/>
      <c r="C54" s="14"/>
      <c r="D54" s="26"/>
      <c r="E54" s="26"/>
      <c r="F54" s="15"/>
      <c r="G54" s="19" t="str">
        <f aca="false">IF(A54="","",SUMIFS('TRANSAKSI PENJUALAN'!$K$5:$K$504,'TRANSAKSI PENJUALAN'!$B$5:$B$504,B54,'TRANSAKSI PENJUALAN'!$E$5:$E$504,C54,'TRANSAKSI PENJUALAN'!$L$5:$L$504,"Tunai",'TRANSAKSI PENJUALAN'!$M$5:$M$504,"Lunas"))</f>
        <v/>
      </c>
      <c r="H54" s="15"/>
      <c r="I54" s="15"/>
      <c r="J54" s="19" t="str">
        <f aca="false">IF(A54="","",F54+G54+H54-I54)</f>
        <v/>
      </c>
      <c r="K54" s="15"/>
      <c r="L54" s="19" t="str">
        <f aca="false">IF(A54="","",IF(NOT(ISNUMBER(K54)),"ISI KAS FISIK",K54-J54))</f>
        <v/>
      </c>
      <c r="M54" s="18" t="str">
        <f aca="false">IF(A54="","",IF(NOT(ISNUMBER(L54)),"BELUM TUTUP",IF(L54=0,"Pas",IF(L54&gt;0,"Lebih","Kurang"))))</f>
        <v/>
      </c>
      <c r="N54" s="14"/>
      <c r="O54" s="14"/>
    </row>
    <row r="55" customFormat="false" ht="27" hidden="false" customHeight="true" outlineLevel="0" collapsed="false">
      <c r="A55" s="14"/>
      <c r="B55" s="16"/>
      <c r="C55" s="14"/>
      <c r="D55" s="26"/>
      <c r="E55" s="26"/>
      <c r="F55" s="15"/>
      <c r="G55" s="19" t="str">
        <f aca="false">IF(A55="","",SUMIFS('TRANSAKSI PENJUALAN'!$K$5:$K$504,'TRANSAKSI PENJUALAN'!$B$5:$B$504,B55,'TRANSAKSI PENJUALAN'!$E$5:$E$504,C55,'TRANSAKSI PENJUALAN'!$L$5:$L$504,"Tunai",'TRANSAKSI PENJUALAN'!$M$5:$M$504,"Lunas"))</f>
        <v/>
      </c>
      <c r="H55" s="15"/>
      <c r="I55" s="15"/>
      <c r="J55" s="19" t="str">
        <f aca="false">IF(A55="","",F55+G55+H55-I55)</f>
        <v/>
      </c>
      <c r="K55" s="15"/>
      <c r="L55" s="19" t="str">
        <f aca="false">IF(A55="","",IF(NOT(ISNUMBER(K55)),"ISI KAS FISIK",K55-J55))</f>
        <v/>
      </c>
      <c r="M55" s="18" t="str">
        <f aca="false">IF(A55="","",IF(NOT(ISNUMBER(L55)),"BELUM TUTUP",IF(L55=0,"Pas",IF(L55&gt;0,"Lebih","Kurang"))))</f>
        <v/>
      </c>
      <c r="N55" s="14"/>
      <c r="O55" s="14"/>
    </row>
    <row r="56" customFormat="false" ht="27" hidden="false" customHeight="true" outlineLevel="0" collapsed="false">
      <c r="A56" s="14"/>
      <c r="B56" s="16"/>
      <c r="C56" s="14"/>
      <c r="D56" s="26"/>
      <c r="E56" s="26"/>
      <c r="F56" s="15"/>
      <c r="G56" s="19" t="str">
        <f aca="false">IF(A56="","",SUMIFS('TRANSAKSI PENJUALAN'!$K$5:$K$504,'TRANSAKSI PENJUALAN'!$B$5:$B$504,B56,'TRANSAKSI PENJUALAN'!$E$5:$E$504,C56,'TRANSAKSI PENJUALAN'!$L$5:$L$504,"Tunai",'TRANSAKSI PENJUALAN'!$M$5:$M$504,"Lunas"))</f>
        <v/>
      </c>
      <c r="H56" s="15"/>
      <c r="I56" s="15"/>
      <c r="J56" s="19" t="str">
        <f aca="false">IF(A56="","",F56+G56+H56-I56)</f>
        <v/>
      </c>
      <c r="K56" s="15"/>
      <c r="L56" s="19" t="str">
        <f aca="false">IF(A56="","",IF(NOT(ISNUMBER(K56)),"ISI KAS FISIK",K56-J56))</f>
        <v/>
      </c>
      <c r="M56" s="18" t="str">
        <f aca="false">IF(A56="","",IF(NOT(ISNUMBER(L56)),"BELUM TUTUP",IF(L56=0,"Pas",IF(L56&gt;0,"Lebih","Kurang"))))</f>
        <v/>
      </c>
      <c r="N56" s="14"/>
      <c r="O56" s="14"/>
    </row>
    <row r="57" customFormat="false" ht="27" hidden="false" customHeight="true" outlineLevel="0" collapsed="false">
      <c r="A57" s="14"/>
      <c r="B57" s="16"/>
      <c r="C57" s="14"/>
      <c r="D57" s="26"/>
      <c r="E57" s="26"/>
      <c r="F57" s="15"/>
      <c r="G57" s="19" t="str">
        <f aca="false">IF(A57="","",SUMIFS('TRANSAKSI PENJUALAN'!$K$5:$K$504,'TRANSAKSI PENJUALAN'!$B$5:$B$504,B57,'TRANSAKSI PENJUALAN'!$E$5:$E$504,C57,'TRANSAKSI PENJUALAN'!$L$5:$L$504,"Tunai",'TRANSAKSI PENJUALAN'!$M$5:$M$504,"Lunas"))</f>
        <v/>
      </c>
      <c r="H57" s="15"/>
      <c r="I57" s="15"/>
      <c r="J57" s="19" t="str">
        <f aca="false">IF(A57="","",F57+G57+H57-I57)</f>
        <v/>
      </c>
      <c r="K57" s="15"/>
      <c r="L57" s="19" t="str">
        <f aca="false">IF(A57="","",IF(NOT(ISNUMBER(K57)),"ISI KAS FISIK",K57-J57))</f>
        <v/>
      </c>
      <c r="M57" s="18" t="str">
        <f aca="false">IF(A57="","",IF(NOT(ISNUMBER(L57)),"BELUM TUTUP",IF(L57=0,"Pas",IF(L57&gt;0,"Lebih","Kurang"))))</f>
        <v/>
      </c>
      <c r="N57" s="14"/>
      <c r="O57" s="14"/>
    </row>
    <row r="58" customFormat="false" ht="27" hidden="false" customHeight="true" outlineLevel="0" collapsed="false">
      <c r="A58" s="14"/>
      <c r="B58" s="16"/>
      <c r="C58" s="14"/>
      <c r="D58" s="26"/>
      <c r="E58" s="26"/>
      <c r="F58" s="15"/>
      <c r="G58" s="19" t="str">
        <f aca="false">IF(A58="","",SUMIFS('TRANSAKSI PENJUALAN'!$K$5:$K$504,'TRANSAKSI PENJUALAN'!$B$5:$B$504,B58,'TRANSAKSI PENJUALAN'!$E$5:$E$504,C58,'TRANSAKSI PENJUALAN'!$L$5:$L$504,"Tunai",'TRANSAKSI PENJUALAN'!$M$5:$M$504,"Lunas"))</f>
        <v/>
      </c>
      <c r="H58" s="15"/>
      <c r="I58" s="15"/>
      <c r="J58" s="19" t="str">
        <f aca="false">IF(A58="","",F58+G58+H58-I58)</f>
        <v/>
      </c>
      <c r="K58" s="15"/>
      <c r="L58" s="19" t="str">
        <f aca="false">IF(A58="","",IF(NOT(ISNUMBER(K58)),"ISI KAS FISIK",K58-J58))</f>
        <v/>
      </c>
      <c r="M58" s="18" t="str">
        <f aca="false">IF(A58="","",IF(NOT(ISNUMBER(L58)),"BELUM TUTUP",IF(L58=0,"Pas",IF(L58&gt;0,"Lebih","Kurang"))))</f>
        <v/>
      </c>
      <c r="N58" s="14"/>
      <c r="O58" s="14"/>
    </row>
    <row r="59" customFormat="false" ht="27" hidden="false" customHeight="true" outlineLevel="0" collapsed="false">
      <c r="A59" s="14"/>
      <c r="B59" s="16"/>
      <c r="C59" s="14"/>
      <c r="D59" s="26"/>
      <c r="E59" s="26"/>
      <c r="F59" s="15"/>
      <c r="G59" s="19" t="str">
        <f aca="false">IF(A59="","",SUMIFS('TRANSAKSI PENJUALAN'!$K$5:$K$504,'TRANSAKSI PENJUALAN'!$B$5:$B$504,B59,'TRANSAKSI PENJUALAN'!$E$5:$E$504,C59,'TRANSAKSI PENJUALAN'!$L$5:$L$504,"Tunai",'TRANSAKSI PENJUALAN'!$M$5:$M$504,"Lunas"))</f>
        <v/>
      </c>
      <c r="H59" s="15"/>
      <c r="I59" s="15"/>
      <c r="J59" s="19" t="str">
        <f aca="false">IF(A59="","",F59+G59+H59-I59)</f>
        <v/>
      </c>
      <c r="K59" s="15"/>
      <c r="L59" s="19" t="str">
        <f aca="false">IF(A59="","",IF(NOT(ISNUMBER(K59)),"ISI KAS FISIK",K59-J59))</f>
        <v/>
      </c>
      <c r="M59" s="18" t="str">
        <f aca="false">IF(A59="","",IF(NOT(ISNUMBER(L59)),"BELUM TUTUP",IF(L59=0,"Pas",IF(L59&gt;0,"Lebih","Kurang"))))</f>
        <v/>
      </c>
      <c r="N59" s="14"/>
      <c r="O59" s="14"/>
    </row>
    <row r="60" customFormat="false" ht="27" hidden="false" customHeight="true" outlineLevel="0" collapsed="false">
      <c r="A60" s="14"/>
      <c r="B60" s="16"/>
      <c r="C60" s="14"/>
      <c r="D60" s="26"/>
      <c r="E60" s="26"/>
      <c r="F60" s="15"/>
      <c r="G60" s="19" t="str">
        <f aca="false">IF(A60="","",SUMIFS('TRANSAKSI PENJUALAN'!$K$5:$K$504,'TRANSAKSI PENJUALAN'!$B$5:$B$504,B60,'TRANSAKSI PENJUALAN'!$E$5:$E$504,C60,'TRANSAKSI PENJUALAN'!$L$5:$L$504,"Tunai",'TRANSAKSI PENJUALAN'!$M$5:$M$504,"Lunas"))</f>
        <v/>
      </c>
      <c r="H60" s="15"/>
      <c r="I60" s="15"/>
      <c r="J60" s="19" t="str">
        <f aca="false">IF(A60="","",F60+G60+H60-I60)</f>
        <v/>
      </c>
      <c r="K60" s="15"/>
      <c r="L60" s="19" t="str">
        <f aca="false">IF(A60="","",IF(NOT(ISNUMBER(K60)),"ISI KAS FISIK",K60-J60))</f>
        <v/>
      </c>
      <c r="M60" s="18" t="str">
        <f aca="false">IF(A60="","",IF(NOT(ISNUMBER(L60)),"BELUM TUTUP",IF(L60=0,"Pas",IF(L60&gt;0,"Lebih","Kurang"))))</f>
        <v/>
      </c>
      <c r="N60" s="14"/>
      <c r="O60" s="14"/>
    </row>
    <row r="61" customFormat="false" ht="27" hidden="false" customHeight="true" outlineLevel="0" collapsed="false">
      <c r="A61" s="14"/>
      <c r="B61" s="16"/>
      <c r="C61" s="14"/>
      <c r="D61" s="26"/>
      <c r="E61" s="26"/>
      <c r="F61" s="15"/>
      <c r="G61" s="19" t="str">
        <f aca="false">IF(A61="","",SUMIFS('TRANSAKSI PENJUALAN'!$K$5:$K$504,'TRANSAKSI PENJUALAN'!$B$5:$B$504,B61,'TRANSAKSI PENJUALAN'!$E$5:$E$504,C61,'TRANSAKSI PENJUALAN'!$L$5:$L$504,"Tunai",'TRANSAKSI PENJUALAN'!$M$5:$M$504,"Lunas"))</f>
        <v/>
      </c>
      <c r="H61" s="15"/>
      <c r="I61" s="15"/>
      <c r="J61" s="19" t="str">
        <f aca="false">IF(A61="","",F61+G61+H61-I61)</f>
        <v/>
      </c>
      <c r="K61" s="15"/>
      <c r="L61" s="19" t="str">
        <f aca="false">IF(A61="","",IF(NOT(ISNUMBER(K61)),"ISI KAS FISIK",K61-J61))</f>
        <v/>
      </c>
      <c r="M61" s="18" t="str">
        <f aca="false">IF(A61="","",IF(NOT(ISNUMBER(L61)),"BELUM TUTUP",IF(L61=0,"Pas",IF(L61&gt;0,"Lebih","Kurang"))))</f>
        <v/>
      </c>
      <c r="N61" s="14"/>
      <c r="O61" s="14"/>
    </row>
    <row r="62" customFormat="false" ht="27" hidden="false" customHeight="true" outlineLevel="0" collapsed="false">
      <c r="A62" s="14"/>
      <c r="B62" s="16"/>
      <c r="C62" s="14"/>
      <c r="D62" s="26"/>
      <c r="E62" s="26"/>
      <c r="F62" s="15"/>
      <c r="G62" s="19" t="str">
        <f aca="false">IF(A62="","",SUMIFS('TRANSAKSI PENJUALAN'!$K$5:$K$504,'TRANSAKSI PENJUALAN'!$B$5:$B$504,B62,'TRANSAKSI PENJUALAN'!$E$5:$E$504,C62,'TRANSAKSI PENJUALAN'!$L$5:$L$504,"Tunai",'TRANSAKSI PENJUALAN'!$M$5:$M$504,"Lunas"))</f>
        <v/>
      </c>
      <c r="H62" s="15"/>
      <c r="I62" s="15"/>
      <c r="J62" s="19" t="str">
        <f aca="false">IF(A62="","",F62+G62+H62-I62)</f>
        <v/>
      </c>
      <c r="K62" s="15"/>
      <c r="L62" s="19" t="str">
        <f aca="false">IF(A62="","",IF(NOT(ISNUMBER(K62)),"ISI KAS FISIK",K62-J62))</f>
        <v/>
      </c>
      <c r="M62" s="18" t="str">
        <f aca="false">IF(A62="","",IF(NOT(ISNUMBER(L62)),"BELUM TUTUP",IF(L62=0,"Pas",IF(L62&gt;0,"Lebih","Kurang"))))</f>
        <v/>
      </c>
      <c r="N62" s="14"/>
      <c r="O62" s="14"/>
    </row>
    <row r="63" customFormat="false" ht="27" hidden="false" customHeight="true" outlineLevel="0" collapsed="false">
      <c r="A63" s="14"/>
      <c r="B63" s="16"/>
      <c r="C63" s="14"/>
      <c r="D63" s="26"/>
      <c r="E63" s="26"/>
      <c r="F63" s="15"/>
      <c r="G63" s="19" t="str">
        <f aca="false">IF(A63="","",SUMIFS('TRANSAKSI PENJUALAN'!$K$5:$K$504,'TRANSAKSI PENJUALAN'!$B$5:$B$504,B63,'TRANSAKSI PENJUALAN'!$E$5:$E$504,C63,'TRANSAKSI PENJUALAN'!$L$5:$L$504,"Tunai",'TRANSAKSI PENJUALAN'!$M$5:$M$504,"Lunas"))</f>
        <v/>
      </c>
      <c r="H63" s="15"/>
      <c r="I63" s="15"/>
      <c r="J63" s="19" t="str">
        <f aca="false">IF(A63="","",F63+G63+H63-I63)</f>
        <v/>
      </c>
      <c r="K63" s="15"/>
      <c r="L63" s="19" t="str">
        <f aca="false">IF(A63="","",IF(NOT(ISNUMBER(K63)),"ISI KAS FISIK",K63-J63))</f>
        <v/>
      </c>
      <c r="M63" s="18" t="str">
        <f aca="false">IF(A63="","",IF(NOT(ISNUMBER(L63)),"BELUM TUTUP",IF(L63=0,"Pas",IF(L63&gt;0,"Lebih","Kurang"))))</f>
        <v/>
      </c>
      <c r="N63" s="14"/>
      <c r="O63" s="14"/>
    </row>
    <row r="64" customFormat="false" ht="27" hidden="false" customHeight="true" outlineLevel="0" collapsed="false">
      <c r="A64" s="14"/>
      <c r="B64" s="16"/>
      <c r="C64" s="14"/>
      <c r="D64" s="26"/>
      <c r="E64" s="26"/>
      <c r="F64" s="15"/>
      <c r="G64" s="19" t="str">
        <f aca="false">IF(A64="","",SUMIFS('TRANSAKSI PENJUALAN'!$K$5:$K$504,'TRANSAKSI PENJUALAN'!$B$5:$B$504,B64,'TRANSAKSI PENJUALAN'!$E$5:$E$504,C64,'TRANSAKSI PENJUALAN'!$L$5:$L$504,"Tunai",'TRANSAKSI PENJUALAN'!$M$5:$M$504,"Lunas"))</f>
        <v/>
      </c>
      <c r="H64" s="15"/>
      <c r="I64" s="15"/>
      <c r="J64" s="19" t="str">
        <f aca="false">IF(A64="","",F64+G64+H64-I64)</f>
        <v/>
      </c>
      <c r="K64" s="15"/>
      <c r="L64" s="19" t="str">
        <f aca="false">IF(A64="","",IF(NOT(ISNUMBER(K64)),"ISI KAS FISIK",K64-J64))</f>
        <v/>
      </c>
      <c r="M64" s="18" t="str">
        <f aca="false">IF(A64="","",IF(NOT(ISNUMBER(L64)),"BELUM TUTUP",IF(L64=0,"Pas",IF(L64&gt;0,"Lebih","Kurang"))))</f>
        <v/>
      </c>
      <c r="N64" s="14"/>
      <c r="O64" s="14"/>
    </row>
    <row r="65" customFormat="false" ht="15" hidden="false" customHeight="false" outlineLevel="0" collapsed="false">
      <c r="G65" s="0" t="str">
        <f aca="false">IF(A65="","",SUMIFS('TRANSAKSI PENJUALAN'!$K$5:$K$504,'TRANSAKSI PENJUALAN'!$B$5:$B$504,B65,'TRANSAKSI PENJUALAN'!$E$5:$E$504,C65,'TRANSAKSI PENJUALAN'!$L$5:$L$504,"Tunai",'TRANSAKSI PENJUALAN'!$M$5:$M$504,"Lunas"))</f>
        <v/>
      </c>
      <c r="J65" s="0" t="str">
        <f aca="false">IF(A65="","",F65+G65+H65-I65)</f>
        <v/>
      </c>
      <c r="L65" s="0" t="str">
        <f aca="false">IF(A65="","",IF(NOT(ISNUMBER(K65)),"ISI KAS FISIK",K65-J65))</f>
        <v/>
      </c>
      <c r="M65" s="0" t="str">
        <f aca="false">IF(A65="","",IF(NOT(ISNUMBER(L65)),"BELUM TUTUP",IF(L65=0,"Pas",IF(L65&gt;0,"Lebih","Kurang"))))</f>
        <v/>
      </c>
    </row>
    <row r="66" customFormat="false" ht="15" hidden="false" customHeight="false" outlineLevel="0" collapsed="false">
      <c r="G66" s="0" t="str">
        <f aca="false">IF(A66="","",SUMIFS('TRANSAKSI PENJUALAN'!$K$5:$K$504,'TRANSAKSI PENJUALAN'!$B$5:$B$504,B66,'TRANSAKSI PENJUALAN'!$E$5:$E$504,C66,'TRANSAKSI PENJUALAN'!$L$5:$L$504,"Tunai",'TRANSAKSI PENJUALAN'!$M$5:$M$504,"Lunas"))</f>
        <v/>
      </c>
      <c r="J66" s="0" t="str">
        <f aca="false">IF(A66="","",F66+G66+H66-I66)</f>
        <v/>
      </c>
      <c r="L66" s="0" t="str">
        <f aca="false">IF(A66="","",IF(NOT(ISNUMBER(K66)),"ISI KAS FISIK",K66-J66))</f>
        <v/>
      </c>
      <c r="M66" s="0" t="str">
        <f aca="false">IF(A66="","",IF(NOT(ISNUMBER(L66)),"BELUM TUTUP",IF(L66=0,"Pas",IF(L66&gt;0,"Lebih","Kurang"))))</f>
        <v/>
      </c>
    </row>
    <row r="67" customFormat="false" ht="15" hidden="false" customHeight="false" outlineLevel="0" collapsed="false">
      <c r="G67" s="0" t="str">
        <f aca="false">IF(A67="","",SUMIFS('TRANSAKSI PENJUALAN'!$K$5:$K$504,'TRANSAKSI PENJUALAN'!$B$5:$B$504,B67,'TRANSAKSI PENJUALAN'!$E$5:$E$504,C67,'TRANSAKSI PENJUALAN'!$L$5:$L$504,"Tunai",'TRANSAKSI PENJUALAN'!$M$5:$M$504,"Lunas"))</f>
        <v/>
      </c>
      <c r="J67" s="0" t="str">
        <f aca="false">IF(A67="","",F67+G67+H67-I67)</f>
        <v/>
      </c>
      <c r="L67" s="0" t="str">
        <f aca="false">IF(A67="","",IF(NOT(ISNUMBER(K67)),"ISI KAS FISIK",K67-J67))</f>
        <v/>
      </c>
      <c r="M67" s="0" t="str">
        <f aca="false">IF(A67="","",IF(NOT(ISNUMBER(L67)),"BELUM TUTUP",IF(L67=0,"Pas",IF(L67&gt;0,"Lebih","Kurang"))))</f>
        <v/>
      </c>
    </row>
    <row r="68" customFormat="false" ht="15" hidden="false" customHeight="false" outlineLevel="0" collapsed="false">
      <c r="G68" s="0" t="str">
        <f aca="false">IF(A68="","",SUMIFS('TRANSAKSI PENJUALAN'!$K$5:$K$504,'TRANSAKSI PENJUALAN'!$B$5:$B$504,B68,'TRANSAKSI PENJUALAN'!$E$5:$E$504,C68,'TRANSAKSI PENJUALAN'!$L$5:$L$504,"Tunai",'TRANSAKSI PENJUALAN'!$M$5:$M$504,"Lunas"))</f>
        <v/>
      </c>
      <c r="J68" s="0" t="str">
        <f aca="false">IF(A68="","",F68+G68+H68-I68)</f>
        <v/>
      </c>
      <c r="L68" s="0" t="str">
        <f aca="false">IF(A68="","",IF(NOT(ISNUMBER(K68)),"ISI KAS FISIK",K68-J68))</f>
        <v/>
      </c>
      <c r="M68" s="0" t="str">
        <f aca="false">IF(A68="","",IF(NOT(ISNUMBER(L68)),"BELUM TUTUP",IF(L68=0,"Pas",IF(L68&gt;0,"Lebih","Kurang"))))</f>
        <v/>
      </c>
    </row>
    <row r="69" customFormat="false" ht="15" hidden="false" customHeight="false" outlineLevel="0" collapsed="false">
      <c r="G69" s="0" t="str">
        <f aca="false">IF(A69="","",SUMIFS('TRANSAKSI PENJUALAN'!$K$5:$K$504,'TRANSAKSI PENJUALAN'!$B$5:$B$504,B69,'TRANSAKSI PENJUALAN'!$E$5:$E$504,C69,'TRANSAKSI PENJUALAN'!$L$5:$L$504,"Tunai",'TRANSAKSI PENJUALAN'!$M$5:$M$504,"Lunas"))</f>
        <v/>
      </c>
      <c r="J69" s="0" t="str">
        <f aca="false">IF(A69="","",F69+G69+H69-I69)</f>
        <v/>
      </c>
      <c r="L69" s="0" t="str">
        <f aca="false">IF(A69="","",IF(NOT(ISNUMBER(K69)),"ISI KAS FISIK",K69-J69))</f>
        <v/>
      </c>
      <c r="M69" s="0" t="str">
        <f aca="false">IF(A69="","",IF(NOT(ISNUMBER(L69)),"BELUM TUTUP",IF(L69=0,"Pas",IF(L69&gt;0,"Lebih","Kurang"))))</f>
        <v/>
      </c>
    </row>
    <row r="70" customFormat="false" ht="15" hidden="false" customHeight="false" outlineLevel="0" collapsed="false">
      <c r="G70" s="0" t="str">
        <f aca="false">IF(A70="","",SUMIFS('TRANSAKSI PENJUALAN'!$K$5:$K$504,'TRANSAKSI PENJUALAN'!$B$5:$B$504,B70,'TRANSAKSI PENJUALAN'!$E$5:$E$504,C70,'TRANSAKSI PENJUALAN'!$L$5:$L$504,"Tunai",'TRANSAKSI PENJUALAN'!$M$5:$M$504,"Lunas"))</f>
        <v/>
      </c>
      <c r="J70" s="0" t="str">
        <f aca="false">IF(A70="","",F70+G70+H70-I70)</f>
        <v/>
      </c>
      <c r="L70" s="0" t="str">
        <f aca="false">IF(A70="","",IF(NOT(ISNUMBER(K70)),"ISI KAS FISIK",K70-J70))</f>
        <v/>
      </c>
      <c r="M70" s="0" t="str">
        <f aca="false">IF(A70="","",IF(NOT(ISNUMBER(L70)),"BELUM TUTUP",IF(L70=0,"Pas",IF(L70&gt;0,"Lebih","Kurang"))))</f>
        <v/>
      </c>
    </row>
    <row r="71" customFormat="false" ht="15" hidden="false" customHeight="false" outlineLevel="0" collapsed="false">
      <c r="G71" s="0" t="str">
        <f aca="false">IF(A71="","",SUMIFS('TRANSAKSI PENJUALAN'!$K$5:$K$504,'TRANSAKSI PENJUALAN'!$B$5:$B$504,B71,'TRANSAKSI PENJUALAN'!$E$5:$E$504,C71,'TRANSAKSI PENJUALAN'!$L$5:$L$504,"Tunai",'TRANSAKSI PENJUALAN'!$M$5:$M$504,"Lunas"))</f>
        <v/>
      </c>
      <c r="J71" s="0" t="str">
        <f aca="false">IF(A71="","",F71+G71+H71-I71)</f>
        <v/>
      </c>
      <c r="L71" s="0" t="str">
        <f aca="false">IF(A71="","",IF(NOT(ISNUMBER(K71)),"ISI KAS FISIK",K71-J71))</f>
        <v/>
      </c>
      <c r="M71" s="0" t="str">
        <f aca="false">IF(A71="","",IF(NOT(ISNUMBER(L71)),"BELUM TUTUP",IF(L71=0,"Pas",IF(L71&gt;0,"Lebih","Kurang"))))</f>
        <v/>
      </c>
    </row>
    <row r="72" customFormat="false" ht="15" hidden="false" customHeight="false" outlineLevel="0" collapsed="false">
      <c r="G72" s="0" t="str">
        <f aca="false">IF(A72="","",SUMIFS('TRANSAKSI PENJUALAN'!$K$5:$K$504,'TRANSAKSI PENJUALAN'!$B$5:$B$504,B72,'TRANSAKSI PENJUALAN'!$E$5:$E$504,C72,'TRANSAKSI PENJUALAN'!$L$5:$L$504,"Tunai",'TRANSAKSI PENJUALAN'!$M$5:$M$504,"Lunas"))</f>
        <v/>
      </c>
      <c r="J72" s="0" t="str">
        <f aca="false">IF(A72="","",F72+G72+H72-I72)</f>
        <v/>
      </c>
      <c r="L72" s="0" t="str">
        <f aca="false">IF(A72="","",IF(NOT(ISNUMBER(K72)),"ISI KAS FISIK",K72-J72))</f>
        <v/>
      </c>
      <c r="M72" s="0" t="str">
        <f aca="false">IF(A72="","",IF(NOT(ISNUMBER(L72)),"BELUM TUTUP",IF(L72=0,"Pas",IF(L72&gt;0,"Lebih","Kurang"))))</f>
        <v/>
      </c>
    </row>
    <row r="73" customFormat="false" ht="15" hidden="false" customHeight="false" outlineLevel="0" collapsed="false">
      <c r="G73" s="0" t="str">
        <f aca="false">IF(A73="","",SUMIFS('TRANSAKSI PENJUALAN'!$K$5:$K$504,'TRANSAKSI PENJUALAN'!$B$5:$B$504,B73,'TRANSAKSI PENJUALAN'!$E$5:$E$504,C73,'TRANSAKSI PENJUALAN'!$L$5:$L$504,"Tunai",'TRANSAKSI PENJUALAN'!$M$5:$M$504,"Lunas"))</f>
        <v/>
      </c>
      <c r="J73" s="0" t="str">
        <f aca="false">IF(A73="","",F73+G73+H73-I73)</f>
        <v/>
      </c>
      <c r="L73" s="0" t="str">
        <f aca="false">IF(A73="","",IF(NOT(ISNUMBER(K73)),"ISI KAS FISIK",K73-J73))</f>
        <v/>
      </c>
      <c r="M73" s="0" t="str">
        <f aca="false">IF(A73="","",IF(NOT(ISNUMBER(L73)),"BELUM TUTUP",IF(L73=0,"Pas",IF(L73&gt;0,"Lebih","Kurang"))))</f>
        <v/>
      </c>
    </row>
    <row r="74" customFormat="false" ht="15" hidden="false" customHeight="false" outlineLevel="0" collapsed="false">
      <c r="G74" s="0" t="str">
        <f aca="false">IF(A74="","",SUMIFS('TRANSAKSI PENJUALAN'!$K$5:$K$504,'TRANSAKSI PENJUALAN'!$B$5:$B$504,B74,'TRANSAKSI PENJUALAN'!$E$5:$E$504,C74,'TRANSAKSI PENJUALAN'!$L$5:$L$504,"Tunai",'TRANSAKSI PENJUALAN'!$M$5:$M$504,"Lunas"))</f>
        <v/>
      </c>
      <c r="J74" s="0" t="str">
        <f aca="false">IF(A74="","",F74+G74+H74-I74)</f>
        <v/>
      </c>
      <c r="L74" s="0" t="str">
        <f aca="false">IF(A74="","",IF(NOT(ISNUMBER(K74)),"ISI KAS FISIK",K74-J74))</f>
        <v/>
      </c>
      <c r="M74" s="0" t="str">
        <f aca="false">IF(A74="","",IF(NOT(ISNUMBER(L74)),"BELUM TUTUP",IF(L74=0,"Pas",IF(L74&gt;0,"Lebih","Kurang"))))</f>
        <v/>
      </c>
    </row>
    <row r="75" customFormat="false" ht="15" hidden="false" customHeight="false" outlineLevel="0" collapsed="false">
      <c r="G75" s="0" t="str">
        <f aca="false">IF(A75="","",SUMIFS('TRANSAKSI PENJUALAN'!$K$5:$K$504,'TRANSAKSI PENJUALAN'!$B$5:$B$504,B75,'TRANSAKSI PENJUALAN'!$E$5:$E$504,C75,'TRANSAKSI PENJUALAN'!$L$5:$L$504,"Tunai",'TRANSAKSI PENJUALAN'!$M$5:$M$504,"Lunas"))</f>
        <v/>
      </c>
      <c r="J75" s="0" t="str">
        <f aca="false">IF(A75="","",F75+G75+H75-I75)</f>
        <v/>
      </c>
      <c r="L75" s="0" t="str">
        <f aca="false">IF(A75="","",IF(NOT(ISNUMBER(K75)),"ISI KAS FISIK",K75-J75))</f>
        <v/>
      </c>
      <c r="M75" s="0" t="str">
        <f aca="false">IF(A75="","",IF(NOT(ISNUMBER(L75)),"BELUM TUTUP",IF(L75=0,"Pas",IF(L75&gt;0,"Lebih","Kurang"))))</f>
        <v/>
      </c>
    </row>
    <row r="76" customFormat="false" ht="15" hidden="false" customHeight="false" outlineLevel="0" collapsed="false">
      <c r="G76" s="0" t="str">
        <f aca="false">IF(A76="","",SUMIFS('TRANSAKSI PENJUALAN'!$K$5:$K$504,'TRANSAKSI PENJUALAN'!$B$5:$B$504,B76,'TRANSAKSI PENJUALAN'!$E$5:$E$504,C76,'TRANSAKSI PENJUALAN'!$L$5:$L$504,"Tunai",'TRANSAKSI PENJUALAN'!$M$5:$M$504,"Lunas"))</f>
        <v/>
      </c>
      <c r="J76" s="0" t="str">
        <f aca="false">IF(A76="","",F76+G76+H76-I76)</f>
        <v/>
      </c>
      <c r="L76" s="0" t="str">
        <f aca="false">IF(A76="","",IF(NOT(ISNUMBER(K76)),"ISI KAS FISIK",K76-J76))</f>
        <v/>
      </c>
      <c r="M76" s="0" t="str">
        <f aca="false">IF(A76="","",IF(NOT(ISNUMBER(L76)),"BELUM TUTUP",IF(L76=0,"Pas",IF(L76&gt;0,"Lebih","Kurang"))))</f>
        <v/>
      </c>
    </row>
    <row r="77" customFormat="false" ht="15" hidden="false" customHeight="false" outlineLevel="0" collapsed="false">
      <c r="G77" s="0" t="str">
        <f aca="false">IF(A77="","",SUMIFS('TRANSAKSI PENJUALAN'!$K$5:$K$504,'TRANSAKSI PENJUALAN'!$B$5:$B$504,B77,'TRANSAKSI PENJUALAN'!$E$5:$E$504,C77,'TRANSAKSI PENJUALAN'!$L$5:$L$504,"Tunai",'TRANSAKSI PENJUALAN'!$M$5:$M$504,"Lunas"))</f>
        <v/>
      </c>
      <c r="J77" s="0" t="str">
        <f aca="false">IF(A77="","",F77+G77+H77-I77)</f>
        <v/>
      </c>
      <c r="L77" s="0" t="str">
        <f aca="false">IF(A77="","",IF(NOT(ISNUMBER(K77)),"ISI KAS FISIK",K77-J77))</f>
        <v/>
      </c>
      <c r="M77" s="0" t="str">
        <f aca="false">IF(A77="","",IF(NOT(ISNUMBER(L77)),"BELUM TUTUP",IF(L77=0,"Pas",IF(L77&gt;0,"Lebih","Kurang"))))</f>
        <v/>
      </c>
    </row>
    <row r="78" customFormat="false" ht="15" hidden="false" customHeight="false" outlineLevel="0" collapsed="false">
      <c r="G78" s="0" t="str">
        <f aca="false">IF(A78="","",SUMIFS('TRANSAKSI PENJUALAN'!$K$5:$K$504,'TRANSAKSI PENJUALAN'!$B$5:$B$504,B78,'TRANSAKSI PENJUALAN'!$E$5:$E$504,C78,'TRANSAKSI PENJUALAN'!$L$5:$L$504,"Tunai",'TRANSAKSI PENJUALAN'!$M$5:$M$504,"Lunas"))</f>
        <v/>
      </c>
      <c r="J78" s="0" t="str">
        <f aca="false">IF(A78="","",F78+G78+H78-I78)</f>
        <v/>
      </c>
      <c r="L78" s="0" t="str">
        <f aca="false">IF(A78="","",IF(NOT(ISNUMBER(K78)),"ISI KAS FISIK",K78-J78))</f>
        <v/>
      </c>
      <c r="M78" s="0" t="str">
        <f aca="false">IF(A78="","",IF(NOT(ISNUMBER(L78)),"BELUM TUTUP",IF(L78=0,"Pas",IF(L78&gt;0,"Lebih","Kurang"))))</f>
        <v/>
      </c>
    </row>
    <row r="79" customFormat="false" ht="15" hidden="false" customHeight="false" outlineLevel="0" collapsed="false">
      <c r="G79" s="0" t="str">
        <f aca="false">IF(A79="","",SUMIFS('TRANSAKSI PENJUALAN'!$K$5:$K$504,'TRANSAKSI PENJUALAN'!$B$5:$B$504,B79,'TRANSAKSI PENJUALAN'!$E$5:$E$504,C79,'TRANSAKSI PENJUALAN'!$L$5:$L$504,"Tunai",'TRANSAKSI PENJUALAN'!$M$5:$M$504,"Lunas"))</f>
        <v/>
      </c>
      <c r="J79" s="0" t="str">
        <f aca="false">IF(A79="","",F79+G79+H79-I79)</f>
        <v/>
      </c>
      <c r="L79" s="0" t="str">
        <f aca="false">IF(A79="","",IF(NOT(ISNUMBER(K79)),"ISI KAS FISIK",K79-J79))</f>
        <v/>
      </c>
      <c r="M79" s="0" t="str">
        <f aca="false">IF(A79="","",IF(NOT(ISNUMBER(L79)),"BELUM TUTUP",IF(L79=0,"Pas",IF(L79&gt;0,"Lebih","Kurang"))))</f>
        <v/>
      </c>
    </row>
    <row r="80" customFormat="false" ht="15" hidden="false" customHeight="false" outlineLevel="0" collapsed="false">
      <c r="G80" s="0" t="str">
        <f aca="false">IF(A80="","",SUMIFS('TRANSAKSI PENJUALAN'!$K$5:$K$504,'TRANSAKSI PENJUALAN'!$B$5:$B$504,B80,'TRANSAKSI PENJUALAN'!$E$5:$E$504,C80,'TRANSAKSI PENJUALAN'!$L$5:$L$504,"Tunai",'TRANSAKSI PENJUALAN'!$M$5:$M$504,"Lunas"))</f>
        <v/>
      </c>
      <c r="J80" s="0" t="str">
        <f aca="false">IF(A80="","",F80+G80+H80-I80)</f>
        <v/>
      </c>
      <c r="L80" s="0" t="str">
        <f aca="false">IF(A80="","",IF(NOT(ISNUMBER(K80)),"ISI KAS FISIK",K80-J80))</f>
        <v/>
      </c>
      <c r="M80" s="0" t="str">
        <f aca="false">IF(A80="","",IF(NOT(ISNUMBER(L80)),"BELUM TUTUP",IF(L80=0,"Pas",IF(L80&gt;0,"Lebih","Kurang"))))</f>
        <v/>
      </c>
    </row>
    <row r="81" customFormat="false" ht="15" hidden="false" customHeight="false" outlineLevel="0" collapsed="false">
      <c r="G81" s="0" t="str">
        <f aca="false">IF(A81="","",SUMIFS('TRANSAKSI PENJUALAN'!$K$5:$K$504,'TRANSAKSI PENJUALAN'!$B$5:$B$504,B81,'TRANSAKSI PENJUALAN'!$E$5:$E$504,C81,'TRANSAKSI PENJUALAN'!$L$5:$L$504,"Tunai",'TRANSAKSI PENJUALAN'!$M$5:$M$504,"Lunas"))</f>
        <v/>
      </c>
      <c r="J81" s="0" t="str">
        <f aca="false">IF(A81="","",F81+G81+H81-I81)</f>
        <v/>
      </c>
      <c r="L81" s="0" t="str">
        <f aca="false">IF(A81="","",IF(NOT(ISNUMBER(K81)),"ISI KAS FISIK",K81-J81))</f>
        <v/>
      </c>
      <c r="M81" s="0" t="str">
        <f aca="false">IF(A81="","",IF(NOT(ISNUMBER(L81)),"BELUM TUTUP",IF(L81=0,"Pas",IF(L81&gt;0,"Lebih","Kurang"))))</f>
        <v/>
      </c>
    </row>
    <row r="82" customFormat="false" ht="15" hidden="false" customHeight="false" outlineLevel="0" collapsed="false">
      <c r="G82" s="0" t="str">
        <f aca="false">IF(A82="","",SUMIFS('TRANSAKSI PENJUALAN'!$K$5:$K$504,'TRANSAKSI PENJUALAN'!$B$5:$B$504,B82,'TRANSAKSI PENJUALAN'!$E$5:$E$504,C82,'TRANSAKSI PENJUALAN'!$L$5:$L$504,"Tunai",'TRANSAKSI PENJUALAN'!$M$5:$M$504,"Lunas"))</f>
        <v/>
      </c>
      <c r="J82" s="0" t="str">
        <f aca="false">IF(A82="","",F82+G82+H82-I82)</f>
        <v/>
      </c>
      <c r="L82" s="0" t="str">
        <f aca="false">IF(A82="","",IF(NOT(ISNUMBER(K82)),"ISI KAS FISIK",K82-J82))</f>
        <v/>
      </c>
      <c r="M82" s="0" t="str">
        <f aca="false">IF(A82="","",IF(NOT(ISNUMBER(L82)),"BELUM TUTUP",IF(L82=0,"Pas",IF(L82&gt;0,"Lebih","Kurang"))))</f>
        <v/>
      </c>
    </row>
    <row r="83" customFormat="false" ht="15" hidden="false" customHeight="false" outlineLevel="0" collapsed="false">
      <c r="G83" s="0" t="str">
        <f aca="false">IF(A83="","",SUMIFS('TRANSAKSI PENJUALAN'!$K$5:$K$504,'TRANSAKSI PENJUALAN'!$B$5:$B$504,B83,'TRANSAKSI PENJUALAN'!$E$5:$E$504,C83,'TRANSAKSI PENJUALAN'!$L$5:$L$504,"Tunai",'TRANSAKSI PENJUALAN'!$M$5:$M$504,"Lunas"))</f>
        <v/>
      </c>
      <c r="J83" s="0" t="str">
        <f aca="false">IF(A83="","",F83+G83+H83-I83)</f>
        <v/>
      </c>
      <c r="L83" s="0" t="str">
        <f aca="false">IF(A83="","",IF(NOT(ISNUMBER(K83)),"ISI KAS FISIK",K83-J83))</f>
        <v/>
      </c>
      <c r="M83" s="0" t="str">
        <f aca="false">IF(A83="","",IF(NOT(ISNUMBER(L83)),"BELUM TUTUP",IF(L83=0,"Pas",IF(L83&gt;0,"Lebih","Kurang"))))</f>
        <v/>
      </c>
    </row>
    <row r="84" customFormat="false" ht="15" hidden="false" customHeight="false" outlineLevel="0" collapsed="false">
      <c r="G84" s="0" t="str">
        <f aca="false">IF(A84="","",SUMIFS('TRANSAKSI PENJUALAN'!$K$5:$K$504,'TRANSAKSI PENJUALAN'!$B$5:$B$504,B84,'TRANSAKSI PENJUALAN'!$E$5:$E$504,C84,'TRANSAKSI PENJUALAN'!$L$5:$L$504,"Tunai",'TRANSAKSI PENJUALAN'!$M$5:$M$504,"Lunas"))</f>
        <v/>
      </c>
      <c r="J84" s="0" t="str">
        <f aca="false">IF(A84="","",F84+G84+H84-I84)</f>
        <v/>
      </c>
      <c r="L84" s="0" t="str">
        <f aca="false">IF(A84="","",IF(NOT(ISNUMBER(K84)),"ISI KAS FISIK",K84-J84))</f>
        <v/>
      </c>
      <c r="M84" s="0" t="str">
        <f aca="false">IF(A84="","",IF(NOT(ISNUMBER(L84)),"BELUM TUTUP",IF(L84=0,"Pas",IF(L84&gt;0,"Lebih","Kurang"))))</f>
        <v/>
      </c>
    </row>
    <row r="85" customFormat="false" ht="15" hidden="false" customHeight="false" outlineLevel="0" collapsed="false">
      <c r="G85" s="0" t="str">
        <f aca="false">IF(A85="","",SUMIFS('TRANSAKSI PENJUALAN'!$K$5:$K$504,'TRANSAKSI PENJUALAN'!$B$5:$B$504,B85,'TRANSAKSI PENJUALAN'!$E$5:$E$504,C85,'TRANSAKSI PENJUALAN'!$L$5:$L$504,"Tunai",'TRANSAKSI PENJUALAN'!$M$5:$M$504,"Lunas"))</f>
        <v/>
      </c>
      <c r="J85" s="0" t="str">
        <f aca="false">IF(A85="","",F85+G85+H85-I85)</f>
        <v/>
      </c>
      <c r="L85" s="0" t="str">
        <f aca="false">IF(A85="","",IF(NOT(ISNUMBER(K85)),"ISI KAS FISIK",K85-J85))</f>
        <v/>
      </c>
      <c r="M85" s="0" t="str">
        <f aca="false">IF(A85="","",IF(NOT(ISNUMBER(L85)),"BELUM TUTUP",IF(L85=0,"Pas",IF(L85&gt;0,"Lebih","Kurang"))))</f>
        <v/>
      </c>
    </row>
    <row r="86" customFormat="false" ht="15" hidden="false" customHeight="false" outlineLevel="0" collapsed="false">
      <c r="G86" s="0" t="str">
        <f aca="false">IF(A86="","",SUMIFS('TRANSAKSI PENJUALAN'!$K$5:$K$504,'TRANSAKSI PENJUALAN'!$B$5:$B$504,B86,'TRANSAKSI PENJUALAN'!$E$5:$E$504,C86,'TRANSAKSI PENJUALAN'!$L$5:$L$504,"Tunai",'TRANSAKSI PENJUALAN'!$M$5:$M$504,"Lunas"))</f>
        <v/>
      </c>
      <c r="J86" s="0" t="str">
        <f aca="false">IF(A86="","",F86+G86+H86-I86)</f>
        <v/>
      </c>
      <c r="L86" s="0" t="str">
        <f aca="false">IF(A86="","",IF(NOT(ISNUMBER(K86)),"ISI KAS FISIK",K86-J86))</f>
        <v/>
      </c>
      <c r="M86" s="0" t="str">
        <f aca="false">IF(A86="","",IF(NOT(ISNUMBER(L86)),"BELUM TUTUP",IF(L86=0,"Pas",IF(L86&gt;0,"Lebih","Kurang"))))</f>
        <v/>
      </c>
    </row>
    <row r="87" customFormat="false" ht="15" hidden="false" customHeight="false" outlineLevel="0" collapsed="false">
      <c r="G87" s="0" t="str">
        <f aca="false">IF(A87="","",SUMIFS('TRANSAKSI PENJUALAN'!$K$5:$K$504,'TRANSAKSI PENJUALAN'!$B$5:$B$504,B87,'TRANSAKSI PENJUALAN'!$E$5:$E$504,C87,'TRANSAKSI PENJUALAN'!$L$5:$L$504,"Tunai",'TRANSAKSI PENJUALAN'!$M$5:$M$504,"Lunas"))</f>
        <v/>
      </c>
      <c r="J87" s="0" t="str">
        <f aca="false">IF(A87="","",F87+G87+H87-I87)</f>
        <v/>
      </c>
      <c r="L87" s="0" t="str">
        <f aca="false">IF(A87="","",IF(NOT(ISNUMBER(K87)),"ISI KAS FISIK",K87-J87))</f>
        <v/>
      </c>
      <c r="M87" s="0" t="str">
        <f aca="false">IF(A87="","",IF(NOT(ISNUMBER(L87)),"BELUM TUTUP",IF(L87=0,"Pas",IF(L87&gt;0,"Lebih","Kurang"))))</f>
        <v/>
      </c>
    </row>
    <row r="88" customFormat="false" ht="15" hidden="false" customHeight="false" outlineLevel="0" collapsed="false">
      <c r="G88" s="0" t="str">
        <f aca="false">IF(A88="","",SUMIFS('TRANSAKSI PENJUALAN'!$K$5:$K$504,'TRANSAKSI PENJUALAN'!$B$5:$B$504,B88,'TRANSAKSI PENJUALAN'!$E$5:$E$504,C88,'TRANSAKSI PENJUALAN'!$L$5:$L$504,"Tunai",'TRANSAKSI PENJUALAN'!$M$5:$M$504,"Lunas"))</f>
        <v/>
      </c>
      <c r="J88" s="0" t="str">
        <f aca="false">IF(A88="","",F88+G88+H88-I88)</f>
        <v/>
      </c>
      <c r="L88" s="0" t="str">
        <f aca="false">IF(A88="","",IF(NOT(ISNUMBER(K88)),"ISI KAS FISIK",K88-J88))</f>
        <v/>
      </c>
      <c r="M88" s="0" t="str">
        <f aca="false">IF(A88="","",IF(NOT(ISNUMBER(L88)),"BELUM TUTUP",IF(L88=0,"Pas",IF(L88&gt;0,"Lebih","Kurang"))))</f>
        <v/>
      </c>
    </row>
    <row r="89" customFormat="false" ht="15" hidden="false" customHeight="false" outlineLevel="0" collapsed="false">
      <c r="G89" s="0" t="str">
        <f aca="false">IF(A89="","",SUMIFS('TRANSAKSI PENJUALAN'!$K$5:$K$504,'TRANSAKSI PENJUALAN'!$B$5:$B$504,B89,'TRANSAKSI PENJUALAN'!$E$5:$E$504,C89,'TRANSAKSI PENJUALAN'!$L$5:$L$504,"Tunai",'TRANSAKSI PENJUALAN'!$M$5:$M$504,"Lunas"))</f>
        <v/>
      </c>
      <c r="J89" s="0" t="str">
        <f aca="false">IF(A89="","",F89+G89+H89-I89)</f>
        <v/>
      </c>
      <c r="L89" s="0" t="str">
        <f aca="false">IF(A89="","",IF(NOT(ISNUMBER(K89)),"ISI KAS FISIK",K89-J89))</f>
        <v/>
      </c>
      <c r="M89" s="0" t="str">
        <f aca="false">IF(A89="","",IF(NOT(ISNUMBER(L89)),"BELUM TUTUP",IF(L89=0,"Pas",IF(L89&gt;0,"Lebih","Kurang"))))</f>
        <v/>
      </c>
    </row>
    <row r="90" customFormat="false" ht="15" hidden="false" customHeight="false" outlineLevel="0" collapsed="false">
      <c r="G90" s="0" t="str">
        <f aca="false">IF(A90="","",SUMIFS('TRANSAKSI PENJUALAN'!$K$5:$K$504,'TRANSAKSI PENJUALAN'!$B$5:$B$504,B90,'TRANSAKSI PENJUALAN'!$E$5:$E$504,C90,'TRANSAKSI PENJUALAN'!$L$5:$L$504,"Tunai",'TRANSAKSI PENJUALAN'!$M$5:$M$504,"Lunas"))</f>
        <v/>
      </c>
      <c r="J90" s="0" t="str">
        <f aca="false">IF(A90="","",F90+G90+H90-I90)</f>
        <v/>
      </c>
      <c r="L90" s="0" t="str">
        <f aca="false">IF(A90="","",IF(NOT(ISNUMBER(K90)),"ISI KAS FISIK",K90-J90))</f>
        <v/>
      </c>
      <c r="M90" s="0" t="str">
        <f aca="false">IF(A90="","",IF(NOT(ISNUMBER(L90)),"BELUM TUTUP",IF(L90=0,"Pas",IF(L90&gt;0,"Lebih","Kurang"))))</f>
        <v/>
      </c>
    </row>
    <row r="91" customFormat="false" ht="15" hidden="false" customHeight="false" outlineLevel="0" collapsed="false">
      <c r="G91" s="0" t="str">
        <f aca="false">IF(A91="","",SUMIFS('TRANSAKSI PENJUALAN'!$K$5:$K$504,'TRANSAKSI PENJUALAN'!$B$5:$B$504,B91,'TRANSAKSI PENJUALAN'!$E$5:$E$504,C91,'TRANSAKSI PENJUALAN'!$L$5:$L$504,"Tunai",'TRANSAKSI PENJUALAN'!$M$5:$M$504,"Lunas"))</f>
        <v/>
      </c>
      <c r="J91" s="0" t="str">
        <f aca="false">IF(A91="","",F91+G91+H91-I91)</f>
        <v/>
      </c>
      <c r="L91" s="0" t="str">
        <f aca="false">IF(A91="","",IF(NOT(ISNUMBER(K91)),"ISI KAS FISIK",K91-J91))</f>
        <v/>
      </c>
      <c r="M91" s="0" t="str">
        <f aca="false">IF(A91="","",IF(NOT(ISNUMBER(L91)),"BELUM TUTUP",IF(L91=0,"Pas",IF(L91&gt;0,"Lebih","Kurang"))))</f>
        <v/>
      </c>
    </row>
    <row r="92" customFormat="false" ht="15" hidden="false" customHeight="false" outlineLevel="0" collapsed="false">
      <c r="G92" s="0" t="str">
        <f aca="false">IF(A92="","",SUMIFS('TRANSAKSI PENJUALAN'!$K$5:$K$504,'TRANSAKSI PENJUALAN'!$B$5:$B$504,B92,'TRANSAKSI PENJUALAN'!$E$5:$E$504,C92,'TRANSAKSI PENJUALAN'!$L$5:$L$504,"Tunai",'TRANSAKSI PENJUALAN'!$M$5:$M$504,"Lunas"))</f>
        <v/>
      </c>
      <c r="J92" s="0" t="str">
        <f aca="false">IF(A92="","",F92+G92+H92-I92)</f>
        <v/>
      </c>
      <c r="L92" s="0" t="str">
        <f aca="false">IF(A92="","",IF(NOT(ISNUMBER(K92)),"ISI KAS FISIK",K92-J92))</f>
        <v/>
      </c>
      <c r="M92" s="0" t="str">
        <f aca="false">IF(A92="","",IF(NOT(ISNUMBER(L92)),"BELUM TUTUP",IF(L92=0,"Pas",IF(L92&gt;0,"Lebih","Kurang"))))</f>
        <v/>
      </c>
    </row>
    <row r="93" customFormat="false" ht="15" hidden="false" customHeight="false" outlineLevel="0" collapsed="false">
      <c r="G93" s="0" t="str">
        <f aca="false">IF(A93="","",SUMIFS('TRANSAKSI PENJUALAN'!$K$5:$K$504,'TRANSAKSI PENJUALAN'!$B$5:$B$504,B93,'TRANSAKSI PENJUALAN'!$E$5:$E$504,C93,'TRANSAKSI PENJUALAN'!$L$5:$L$504,"Tunai",'TRANSAKSI PENJUALAN'!$M$5:$M$504,"Lunas"))</f>
        <v/>
      </c>
      <c r="J93" s="0" t="str">
        <f aca="false">IF(A93="","",F93+G93+H93-I93)</f>
        <v/>
      </c>
      <c r="L93" s="0" t="str">
        <f aca="false">IF(A93="","",IF(NOT(ISNUMBER(K93)),"ISI KAS FISIK",K93-J93))</f>
        <v/>
      </c>
      <c r="M93" s="0" t="str">
        <f aca="false">IF(A93="","",IF(NOT(ISNUMBER(L93)),"BELUM TUTUP",IF(L93=0,"Pas",IF(L93&gt;0,"Lebih","Kurang"))))</f>
        <v/>
      </c>
    </row>
    <row r="94" customFormat="false" ht="15" hidden="false" customHeight="false" outlineLevel="0" collapsed="false">
      <c r="G94" s="0" t="str">
        <f aca="false">IF(A94="","",SUMIFS('TRANSAKSI PENJUALAN'!$K$5:$K$504,'TRANSAKSI PENJUALAN'!$B$5:$B$504,B94,'TRANSAKSI PENJUALAN'!$E$5:$E$504,C94,'TRANSAKSI PENJUALAN'!$L$5:$L$504,"Tunai",'TRANSAKSI PENJUALAN'!$M$5:$M$504,"Lunas"))</f>
        <v/>
      </c>
      <c r="J94" s="0" t="str">
        <f aca="false">IF(A94="","",F94+G94+H94-I94)</f>
        <v/>
      </c>
      <c r="L94" s="0" t="str">
        <f aca="false">IF(A94="","",IF(NOT(ISNUMBER(K94)),"ISI KAS FISIK",K94-J94))</f>
        <v/>
      </c>
      <c r="M94" s="0" t="str">
        <f aca="false">IF(A94="","",IF(NOT(ISNUMBER(L94)),"BELUM TUTUP",IF(L94=0,"Pas",IF(L94&gt;0,"Lebih","Kurang"))))</f>
        <v/>
      </c>
    </row>
    <row r="95" customFormat="false" ht="15" hidden="false" customHeight="false" outlineLevel="0" collapsed="false">
      <c r="G95" s="0" t="str">
        <f aca="false">IF(A95="","",SUMIFS('TRANSAKSI PENJUALAN'!$K$5:$K$504,'TRANSAKSI PENJUALAN'!$B$5:$B$504,B95,'TRANSAKSI PENJUALAN'!$E$5:$E$504,C95,'TRANSAKSI PENJUALAN'!$L$5:$L$504,"Tunai",'TRANSAKSI PENJUALAN'!$M$5:$M$504,"Lunas"))</f>
        <v/>
      </c>
      <c r="J95" s="0" t="str">
        <f aca="false">IF(A95="","",F95+G95+H95-I95)</f>
        <v/>
      </c>
      <c r="L95" s="0" t="str">
        <f aca="false">IF(A95="","",IF(NOT(ISNUMBER(K95)),"ISI KAS FISIK",K95-J95))</f>
        <v/>
      </c>
      <c r="M95" s="0" t="str">
        <f aca="false">IF(A95="","",IF(NOT(ISNUMBER(L95)),"BELUM TUTUP",IF(L95=0,"Pas",IF(L95&gt;0,"Lebih","Kurang"))))</f>
        <v/>
      </c>
    </row>
    <row r="96" customFormat="false" ht="15" hidden="false" customHeight="false" outlineLevel="0" collapsed="false">
      <c r="G96" s="0" t="str">
        <f aca="false">IF(A96="","",SUMIFS('TRANSAKSI PENJUALAN'!$K$5:$K$504,'TRANSAKSI PENJUALAN'!$B$5:$B$504,B96,'TRANSAKSI PENJUALAN'!$E$5:$E$504,C96,'TRANSAKSI PENJUALAN'!$L$5:$L$504,"Tunai",'TRANSAKSI PENJUALAN'!$M$5:$M$504,"Lunas"))</f>
        <v/>
      </c>
      <c r="J96" s="0" t="str">
        <f aca="false">IF(A96="","",F96+G96+H96-I96)</f>
        <v/>
      </c>
      <c r="L96" s="0" t="str">
        <f aca="false">IF(A96="","",IF(NOT(ISNUMBER(K96)),"ISI KAS FISIK",K96-J96))</f>
        <v/>
      </c>
      <c r="M96" s="0" t="str">
        <f aca="false">IF(A96="","",IF(NOT(ISNUMBER(L96)),"BELUM TUTUP",IF(L96=0,"Pas",IF(L96&gt;0,"Lebih","Kurang"))))</f>
        <v/>
      </c>
    </row>
    <row r="97" customFormat="false" ht="15" hidden="false" customHeight="false" outlineLevel="0" collapsed="false">
      <c r="G97" s="0" t="str">
        <f aca="false">IF(A97="","",SUMIFS('TRANSAKSI PENJUALAN'!$K$5:$K$504,'TRANSAKSI PENJUALAN'!$B$5:$B$504,B97,'TRANSAKSI PENJUALAN'!$E$5:$E$504,C97,'TRANSAKSI PENJUALAN'!$L$5:$L$504,"Tunai",'TRANSAKSI PENJUALAN'!$M$5:$M$504,"Lunas"))</f>
        <v/>
      </c>
      <c r="J97" s="0" t="str">
        <f aca="false">IF(A97="","",F97+G97+H97-I97)</f>
        <v/>
      </c>
      <c r="L97" s="0" t="str">
        <f aca="false">IF(A97="","",IF(NOT(ISNUMBER(K97)),"ISI KAS FISIK",K97-J97))</f>
        <v/>
      </c>
      <c r="M97" s="0" t="str">
        <f aca="false">IF(A97="","",IF(NOT(ISNUMBER(L97)),"BELUM TUTUP",IF(L97=0,"Pas",IF(L97&gt;0,"Lebih","Kurang"))))</f>
        <v/>
      </c>
    </row>
    <row r="98" customFormat="false" ht="15" hidden="false" customHeight="false" outlineLevel="0" collapsed="false">
      <c r="G98" s="0" t="str">
        <f aca="false">IF(A98="","",SUMIFS('TRANSAKSI PENJUALAN'!$K$5:$K$504,'TRANSAKSI PENJUALAN'!$B$5:$B$504,B98,'TRANSAKSI PENJUALAN'!$E$5:$E$504,C98,'TRANSAKSI PENJUALAN'!$L$5:$L$504,"Tunai",'TRANSAKSI PENJUALAN'!$M$5:$M$504,"Lunas"))</f>
        <v/>
      </c>
      <c r="J98" s="0" t="str">
        <f aca="false">IF(A98="","",F98+G98+H98-I98)</f>
        <v/>
      </c>
      <c r="L98" s="0" t="str">
        <f aca="false">IF(A98="","",IF(NOT(ISNUMBER(K98)),"ISI KAS FISIK",K98-J98))</f>
        <v/>
      </c>
      <c r="M98" s="0" t="str">
        <f aca="false">IF(A98="","",IF(NOT(ISNUMBER(L98)),"BELUM TUTUP",IF(L98=0,"Pas",IF(L98&gt;0,"Lebih","Kurang"))))</f>
        <v/>
      </c>
    </row>
    <row r="99" customFormat="false" ht="15" hidden="false" customHeight="false" outlineLevel="0" collapsed="false">
      <c r="G99" s="0" t="str">
        <f aca="false">IF(A99="","",SUMIFS('TRANSAKSI PENJUALAN'!$K$5:$K$504,'TRANSAKSI PENJUALAN'!$B$5:$B$504,B99,'TRANSAKSI PENJUALAN'!$E$5:$E$504,C99,'TRANSAKSI PENJUALAN'!$L$5:$L$504,"Tunai",'TRANSAKSI PENJUALAN'!$M$5:$M$504,"Lunas"))</f>
        <v/>
      </c>
      <c r="J99" s="0" t="str">
        <f aca="false">IF(A99="","",F99+G99+H99-I99)</f>
        <v/>
      </c>
      <c r="L99" s="0" t="str">
        <f aca="false">IF(A99="","",IF(NOT(ISNUMBER(K99)),"ISI KAS FISIK",K99-J99))</f>
        <v/>
      </c>
      <c r="M99" s="0" t="str">
        <f aca="false">IF(A99="","",IF(NOT(ISNUMBER(L99)),"BELUM TUTUP",IF(L99=0,"Pas",IF(L99&gt;0,"Lebih","Kurang"))))</f>
        <v/>
      </c>
    </row>
    <row r="100" customFormat="false" ht="15" hidden="false" customHeight="false" outlineLevel="0" collapsed="false">
      <c r="G100" s="0" t="str">
        <f aca="false">IF(A100="","",SUMIFS('TRANSAKSI PENJUALAN'!$K$5:$K$504,'TRANSAKSI PENJUALAN'!$B$5:$B$504,B100,'TRANSAKSI PENJUALAN'!$E$5:$E$504,C100,'TRANSAKSI PENJUALAN'!$L$5:$L$504,"Tunai",'TRANSAKSI PENJUALAN'!$M$5:$M$504,"Lunas"))</f>
        <v/>
      </c>
      <c r="J100" s="0" t="str">
        <f aca="false">IF(A100="","",F100+G100+H100-I100)</f>
        <v/>
      </c>
      <c r="L100" s="0" t="str">
        <f aca="false">IF(A100="","",IF(NOT(ISNUMBER(K100)),"ISI KAS FISIK",K100-J100))</f>
        <v/>
      </c>
      <c r="M100" s="0" t="str">
        <f aca="false">IF(A100="","",IF(NOT(ISNUMBER(L100)),"BELUM TUTUP",IF(L100=0,"Pas",IF(L100&gt;0,"Lebih","Kurang"))))</f>
        <v/>
      </c>
    </row>
    <row r="101" customFormat="false" ht="15" hidden="false" customHeight="false" outlineLevel="0" collapsed="false">
      <c r="G101" s="0" t="str">
        <f aca="false">IF(A101="","",SUMIFS('TRANSAKSI PENJUALAN'!$K$5:$K$504,'TRANSAKSI PENJUALAN'!$B$5:$B$504,B101,'TRANSAKSI PENJUALAN'!$E$5:$E$504,C101,'TRANSAKSI PENJUALAN'!$L$5:$L$504,"Tunai",'TRANSAKSI PENJUALAN'!$M$5:$M$504,"Lunas"))</f>
        <v/>
      </c>
      <c r="J101" s="0" t="str">
        <f aca="false">IF(A101="","",F101+G101+H101-I101)</f>
        <v/>
      </c>
      <c r="L101" s="0" t="str">
        <f aca="false">IF(A101="","",IF(NOT(ISNUMBER(K101)),"ISI KAS FISIK",K101-J101))</f>
        <v/>
      </c>
      <c r="M101" s="0" t="str">
        <f aca="false">IF(A101="","",IF(NOT(ISNUMBER(L101)),"BELUM TUTUP",IF(L101=0,"Pas",IF(L101&gt;0,"Lebih","Kurang"))))</f>
        <v/>
      </c>
    </row>
    <row r="102" customFormat="false" ht="15" hidden="false" customHeight="false" outlineLevel="0" collapsed="false">
      <c r="G102" s="0" t="str">
        <f aca="false">IF(A102="","",SUMIFS('TRANSAKSI PENJUALAN'!$K$5:$K$504,'TRANSAKSI PENJUALAN'!$B$5:$B$504,B102,'TRANSAKSI PENJUALAN'!$E$5:$E$504,C102,'TRANSAKSI PENJUALAN'!$L$5:$L$504,"Tunai",'TRANSAKSI PENJUALAN'!$M$5:$M$504,"Lunas"))</f>
        <v/>
      </c>
      <c r="J102" s="0" t="str">
        <f aca="false">IF(A102="","",F102+G102+H102-I102)</f>
        <v/>
      </c>
      <c r="L102" s="0" t="str">
        <f aca="false">IF(A102="","",IF(NOT(ISNUMBER(K102)),"ISI KAS FISIK",K102-J102))</f>
        <v/>
      </c>
      <c r="M102" s="0" t="str">
        <f aca="false">IF(A102="","",IF(NOT(ISNUMBER(L102)),"BELUM TUTUP",IF(L102=0,"Pas",IF(L102&gt;0,"Lebih","Kurang"))))</f>
        <v/>
      </c>
    </row>
    <row r="103" customFormat="false" ht="15" hidden="false" customHeight="false" outlineLevel="0" collapsed="false">
      <c r="G103" s="0" t="str">
        <f aca="false">IF(A103="","",SUMIFS('TRANSAKSI PENJUALAN'!$K$5:$K$504,'TRANSAKSI PENJUALAN'!$B$5:$B$504,B103,'TRANSAKSI PENJUALAN'!$E$5:$E$504,C103,'TRANSAKSI PENJUALAN'!$L$5:$L$504,"Tunai",'TRANSAKSI PENJUALAN'!$M$5:$M$504,"Lunas"))</f>
        <v/>
      </c>
      <c r="J103" s="0" t="str">
        <f aca="false">IF(A103="","",F103+G103+H103-I103)</f>
        <v/>
      </c>
      <c r="L103" s="0" t="str">
        <f aca="false">IF(A103="","",IF(NOT(ISNUMBER(K103)),"ISI KAS FISIK",K103-J103))</f>
        <v/>
      </c>
      <c r="M103" s="0" t="str">
        <f aca="false">IF(A103="","",IF(NOT(ISNUMBER(L103)),"BELUM TUTUP",IF(L103=0,"Pas",IF(L103&gt;0,"Lebih","Kurang"))))</f>
        <v/>
      </c>
    </row>
    <row r="104" customFormat="false" ht="15" hidden="false" customHeight="false" outlineLevel="0" collapsed="false">
      <c r="G104" s="0" t="str">
        <f aca="false">IF(A104="","",SUMIFS('TRANSAKSI PENJUALAN'!$K$5:$K$504,'TRANSAKSI PENJUALAN'!$B$5:$B$504,B104,'TRANSAKSI PENJUALAN'!$E$5:$E$504,C104,'TRANSAKSI PENJUALAN'!$L$5:$L$504,"Tunai",'TRANSAKSI PENJUALAN'!$M$5:$M$504,"Lunas"))</f>
        <v/>
      </c>
      <c r="J104" s="0" t="str">
        <f aca="false">IF(A104="","",F104+G104+H104-I104)</f>
        <v/>
      </c>
      <c r="L104" s="0" t="str">
        <f aca="false">IF(A104="","",IF(NOT(ISNUMBER(K104)),"ISI KAS FISIK",K104-J104))</f>
        <v/>
      </c>
      <c r="M104" s="0" t="str">
        <f aca="false">IF(A104="","",IF(NOT(ISNUMBER(L104)),"BELUM TUTUP",IF(L104=0,"Pas",IF(L104&gt;0,"Lebih","Kurang"))))</f>
        <v/>
      </c>
    </row>
    <row r="105" customFormat="false" ht="15" hidden="false" customHeight="false" outlineLevel="0" collapsed="false">
      <c r="G105" s="0" t="str">
        <f aca="false">IF(A105="","",SUMIFS('TRANSAKSI PENJUALAN'!$K$5:$K$504,'TRANSAKSI PENJUALAN'!$B$5:$B$504,B105,'TRANSAKSI PENJUALAN'!$E$5:$E$504,C105,'TRANSAKSI PENJUALAN'!$L$5:$L$504,"Tunai",'TRANSAKSI PENJUALAN'!$M$5:$M$504,"Lunas"))</f>
        <v/>
      </c>
      <c r="J105" s="0" t="str">
        <f aca="false">IF(A105="","",F105+G105+H105-I105)</f>
        <v/>
      </c>
      <c r="L105" s="0" t="str">
        <f aca="false">IF(A105="","",IF(NOT(ISNUMBER(K105)),"ISI KAS FISIK",K105-J105))</f>
        <v/>
      </c>
      <c r="M105" s="0" t="str">
        <f aca="false">IF(A105="","",IF(NOT(ISNUMBER(L105)),"BELUM TUTUP",IF(L105=0,"Pas",IF(L105&gt;0,"Lebih","Kurang"))))</f>
        <v/>
      </c>
    </row>
    <row r="106" customFormat="false" ht="15" hidden="false" customHeight="false" outlineLevel="0" collapsed="false">
      <c r="G106" s="0" t="str">
        <f aca="false">IF(A106="","",SUMIFS('TRANSAKSI PENJUALAN'!$K$5:$K$504,'TRANSAKSI PENJUALAN'!$B$5:$B$504,B106,'TRANSAKSI PENJUALAN'!$E$5:$E$504,C106,'TRANSAKSI PENJUALAN'!$L$5:$L$504,"Tunai",'TRANSAKSI PENJUALAN'!$M$5:$M$504,"Lunas"))</f>
        <v/>
      </c>
      <c r="J106" s="0" t="str">
        <f aca="false">IF(A106="","",F106+G106+H106-I106)</f>
        <v/>
      </c>
      <c r="L106" s="0" t="str">
        <f aca="false">IF(A106="","",IF(NOT(ISNUMBER(K106)),"ISI KAS FISIK",K106-J106))</f>
        <v/>
      </c>
      <c r="M106" s="0" t="str">
        <f aca="false">IF(A106="","",IF(NOT(ISNUMBER(L106)),"BELUM TUTUP",IF(L106=0,"Pas",IF(L106&gt;0,"Lebih","Kurang"))))</f>
        <v/>
      </c>
    </row>
    <row r="107" customFormat="false" ht="15" hidden="false" customHeight="false" outlineLevel="0" collapsed="false">
      <c r="G107" s="0" t="str">
        <f aca="false">IF(A107="","",SUMIFS('TRANSAKSI PENJUALAN'!$K$5:$K$504,'TRANSAKSI PENJUALAN'!$B$5:$B$504,B107,'TRANSAKSI PENJUALAN'!$E$5:$E$504,C107,'TRANSAKSI PENJUALAN'!$L$5:$L$504,"Tunai",'TRANSAKSI PENJUALAN'!$M$5:$M$504,"Lunas"))</f>
        <v/>
      </c>
      <c r="J107" s="0" t="str">
        <f aca="false">IF(A107="","",F107+G107+H107-I107)</f>
        <v/>
      </c>
      <c r="L107" s="0" t="str">
        <f aca="false">IF(A107="","",IF(NOT(ISNUMBER(K107)),"ISI KAS FISIK",K107-J107))</f>
        <v/>
      </c>
      <c r="M107" s="0" t="str">
        <f aca="false">IF(A107="","",IF(NOT(ISNUMBER(L107)),"BELUM TUTUP",IF(L107=0,"Pas",IF(L107&gt;0,"Lebih","Kurang"))))</f>
        <v/>
      </c>
    </row>
    <row r="108" customFormat="false" ht="15" hidden="false" customHeight="false" outlineLevel="0" collapsed="false">
      <c r="G108" s="0" t="str">
        <f aca="false">IF(A108="","",SUMIFS('TRANSAKSI PENJUALAN'!$K$5:$K$504,'TRANSAKSI PENJUALAN'!$B$5:$B$504,B108,'TRANSAKSI PENJUALAN'!$E$5:$E$504,C108,'TRANSAKSI PENJUALAN'!$L$5:$L$504,"Tunai",'TRANSAKSI PENJUALAN'!$M$5:$M$504,"Lunas"))</f>
        <v/>
      </c>
      <c r="J108" s="0" t="str">
        <f aca="false">IF(A108="","",F108+G108+H108-I108)</f>
        <v/>
      </c>
      <c r="L108" s="0" t="str">
        <f aca="false">IF(A108="","",IF(NOT(ISNUMBER(K108)),"ISI KAS FISIK",K108-J108))</f>
        <v/>
      </c>
      <c r="M108" s="0" t="str">
        <f aca="false">IF(A108="","",IF(NOT(ISNUMBER(L108)),"BELUM TUTUP",IF(L108=0,"Pas",IF(L108&gt;0,"Lebih","Kurang"))))</f>
        <v/>
      </c>
    </row>
    <row r="109" customFormat="false" ht="15" hidden="false" customHeight="false" outlineLevel="0" collapsed="false">
      <c r="G109" s="0" t="str">
        <f aca="false">IF(A109="","",SUMIFS('TRANSAKSI PENJUALAN'!$K$5:$K$504,'TRANSAKSI PENJUALAN'!$B$5:$B$504,B109,'TRANSAKSI PENJUALAN'!$E$5:$E$504,C109,'TRANSAKSI PENJUALAN'!$L$5:$L$504,"Tunai",'TRANSAKSI PENJUALAN'!$M$5:$M$504,"Lunas"))</f>
        <v/>
      </c>
      <c r="J109" s="0" t="str">
        <f aca="false">IF(A109="","",F109+G109+H109-I109)</f>
        <v/>
      </c>
      <c r="L109" s="0" t="str">
        <f aca="false">IF(A109="","",IF(NOT(ISNUMBER(K109)),"ISI KAS FISIK",K109-J109))</f>
        <v/>
      </c>
      <c r="M109" s="0" t="str">
        <f aca="false">IF(A109="","",IF(NOT(ISNUMBER(L109)),"BELUM TUTUP",IF(L109=0,"Pas",IF(L109&gt;0,"Lebih","Kurang"))))</f>
        <v/>
      </c>
    </row>
    <row r="110" customFormat="false" ht="15" hidden="false" customHeight="false" outlineLevel="0" collapsed="false">
      <c r="G110" s="0" t="str">
        <f aca="false">IF(A110="","",SUMIFS('TRANSAKSI PENJUALAN'!$K$5:$K$504,'TRANSAKSI PENJUALAN'!$B$5:$B$504,B110,'TRANSAKSI PENJUALAN'!$E$5:$E$504,C110,'TRANSAKSI PENJUALAN'!$L$5:$L$504,"Tunai",'TRANSAKSI PENJUALAN'!$M$5:$M$504,"Lunas"))</f>
        <v/>
      </c>
      <c r="J110" s="0" t="str">
        <f aca="false">IF(A110="","",F110+G110+H110-I110)</f>
        <v/>
      </c>
      <c r="L110" s="0" t="str">
        <f aca="false">IF(A110="","",IF(NOT(ISNUMBER(K110)),"ISI KAS FISIK",K110-J110))</f>
        <v/>
      </c>
      <c r="M110" s="0" t="str">
        <f aca="false">IF(A110="","",IF(NOT(ISNUMBER(L110)),"BELUM TUTUP",IF(L110=0,"Pas",IF(L110&gt;0,"Lebih","Kurang"))))</f>
        <v/>
      </c>
    </row>
    <row r="111" customFormat="false" ht="15" hidden="false" customHeight="false" outlineLevel="0" collapsed="false">
      <c r="G111" s="0" t="str">
        <f aca="false">IF(A111="","",SUMIFS('TRANSAKSI PENJUALAN'!$K$5:$K$504,'TRANSAKSI PENJUALAN'!$B$5:$B$504,B111,'TRANSAKSI PENJUALAN'!$E$5:$E$504,C111,'TRANSAKSI PENJUALAN'!$L$5:$L$504,"Tunai",'TRANSAKSI PENJUALAN'!$M$5:$M$504,"Lunas"))</f>
        <v/>
      </c>
      <c r="J111" s="0" t="str">
        <f aca="false">IF(A111="","",F111+G111+H111-I111)</f>
        <v/>
      </c>
      <c r="L111" s="0" t="str">
        <f aca="false">IF(A111="","",IF(NOT(ISNUMBER(K111)),"ISI KAS FISIK",K111-J111))</f>
        <v/>
      </c>
      <c r="M111" s="0" t="str">
        <f aca="false">IF(A111="","",IF(NOT(ISNUMBER(L111)),"BELUM TUTUP",IF(L111=0,"Pas",IF(L111&gt;0,"Lebih","Kurang"))))</f>
        <v/>
      </c>
    </row>
    <row r="112" customFormat="false" ht="15" hidden="false" customHeight="false" outlineLevel="0" collapsed="false">
      <c r="G112" s="0" t="str">
        <f aca="false">IF(A112="","",SUMIFS('TRANSAKSI PENJUALAN'!$K$5:$K$504,'TRANSAKSI PENJUALAN'!$B$5:$B$504,B112,'TRANSAKSI PENJUALAN'!$E$5:$E$504,C112,'TRANSAKSI PENJUALAN'!$L$5:$L$504,"Tunai",'TRANSAKSI PENJUALAN'!$M$5:$M$504,"Lunas"))</f>
        <v/>
      </c>
      <c r="J112" s="0" t="str">
        <f aca="false">IF(A112="","",F112+G112+H112-I112)</f>
        <v/>
      </c>
      <c r="L112" s="0" t="str">
        <f aca="false">IF(A112="","",IF(NOT(ISNUMBER(K112)),"ISI KAS FISIK",K112-J112))</f>
        <v/>
      </c>
      <c r="M112" s="0" t="str">
        <f aca="false">IF(A112="","",IF(NOT(ISNUMBER(L112)),"BELUM TUTUP",IF(L112=0,"Pas",IF(L112&gt;0,"Lebih","Kurang"))))</f>
        <v/>
      </c>
    </row>
    <row r="113" customFormat="false" ht="15" hidden="false" customHeight="false" outlineLevel="0" collapsed="false">
      <c r="G113" s="0" t="str">
        <f aca="false">IF(A113="","",SUMIFS('TRANSAKSI PENJUALAN'!$K$5:$K$504,'TRANSAKSI PENJUALAN'!$B$5:$B$504,B113,'TRANSAKSI PENJUALAN'!$E$5:$E$504,C113,'TRANSAKSI PENJUALAN'!$L$5:$L$504,"Tunai",'TRANSAKSI PENJUALAN'!$M$5:$M$504,"Lunas"))</f>
        <v/>
      </c>
      <c r="J113" s="0" t="str">
        <f aca="false">IF(A113="","",F113+G113+H113-I113)</f>
        <v/>
      </c>
      <c r="L113" s="0" t="str">
        <f aca="false">IF(A113="","",IF(NOT(ISNUMBER(K113)),"ISI KAS FISIK",K113-J113))</f>
        <v/>
      </c>
      <c r="M113" s="0" t="str">
        <f aca="false">IF(A113="","",IF(NOT(ISNUMBER(L113)),"BELUM TUTUP",IF(L113=0,"Pas",IF(L113&gt;0,"Lebih","Kurang"))))</f>
        <v/>
      </c>
    </row>
    <row r="114" customFormat="false" ht="15" hidden="false" customHeight="false" outlineLevel="0" collapsed="false">
      <c r="G114" s="0" t="str">
        <f aca="false">IF(A114="","",SUMIFS('TRANSAKSI PENJUALAN'!$K$5:$K$504,'TRANSAKSI PENJUALAN'!$B$5:$B$504,B114,'TRANSAKSI PENJUALAN'!$E$5:$E$504,C114,'TRANSAKSI PENJUALAN'!$L$5:$L$504,"Tunai",'TRANSAKSI PENJUALAN'!$M$5:$M$504,"Lunas"))</f>
        <v/>
      </c>
      <c r="J114" s="0" t="str">
        <f aca="false">IF(A114="","",F114+G114+H114-I114)</f>
        <v/>
      </c>
      <c r="L114" s="0" t="str">
        <f aca="false">IF(A114="","",IF(NOT(ISNUMBER(K114)),"ISI KAS FISIK",K114-J114))</f>
        <v/>
      </c>
      <c r="M114" s="0" t="str">
        <f aca="false">IF(A114="","",IF(NOT(ISNUMBER(L114)),"BELUM TUTUP",IF(L114=0,"Pas",IF(L114&gt;0,"Lebih","Kurang"))))</f>
        <v/>
      </c>
    </row>
    <row r="115" customFormat="false" ht="15" hidden="false" customHeight="false" outlineLevel="0" collapsed="false">
      <c r="G115" s="0" t="str">
        <f aca="false">IF(A115="","",SUMIFS('TRANSAKSI PENJUALAN'!$K$5:$K$504,'TRANSAKSI PENJUALAN'!$B$5:$B$504,B115,'TRANSAKSI PENJUALAN'!$E$5:$E$504,C115,'TRANSAKSI PENJUALAN'!$L$5:$L$504,"Tunai",'TRANSAKSI PENJUALAN'!$M$5:$M$504,"Lunas"))</f>
        <v/>
      </c>
      <c r="J115" s="0" t="str">
        <f aca="false">IF(A115="","",F115+G115+H115-I115)</f>
        <v/>
      </c>
      <c r="L115" s="0" t="str">
        <f aca="false">IF(A115="","",IF(NOT(ISNUMBER(K115)),"ISI KAS FISIK",K115-J115))</f>
        <v/>
      </c>
      <c r="M115" s="0" t="str">
        <f aca="false">IF(A115="","",IF(NOT(ISNUMBER(L115)),"BELUM TUTUP",IF(L115=0,"Pas",IF(L115&gt;0,"Lebih","Kurang"))))</f>
        <v/>
      </c>
    </row>
    <row r="116" customFormat="false" ht="15" hidden="false" customHeight="false" outlineLevel="0" collapsed="false">
      <c r="G116" s="0" t="str">
        <f aca="false">IF(A116="","",SUMIFS('TRANSAKSI PENJUALAN'!$K$5:$K$504,'TRANSAKSI PENJUALAN'!$B$5:$B$504,B116,'TRANSAKSI PENJUALAN'!$E$5:$E$504,C116,'TRANSAKSI PENJUALAN'!$L$5:$L$504,"Tunai",'TRANSAKSI PENJUALAN'!$M$5:$M$504,"Lunas"))</f>
        <v/>
      </c>
      <c r="J116" s="0" t="str">
        <f aca="false">IF(A116="","",F116+G116+H116-I116)</f>
        <v/>
      </c>
      <c r="L116" s="0" t="str">
        <f aca="false">IF(A116="","",IF(NOT(ISNUMBER(K116)),"ISI KAS FISIK",K116-J116))</f>
        <v/>
      </c>
      <c r="M116" s="0" t="str">
        <f aca="false">IF(A116="","",IF(NOT(ISNUMBER(L116)),"BELUM TUTUP",IF(L116=0,"Pas",IF(L116&gt;0,"Lebih","Kurang"))))</f>
        <v/>
      </c>
    </row>
    <row r="117" customFormat="false" ht="15" hidden="false" customHeight="false" outlineLevel="0" collapsed="false">
      <c r="G117" s="0" t="str">
        <f aca="false">IF(A117="","",SUMIFS('TRANSAKSI PENJUALAN'!$K$5:$K$504,'TRANSAKSI PENJUALAN'!$B$5:$B$504,B117,'TRANSAKSI PENJUALAN'!$E$5:$E$504,C117,'TRANSAKSI PENJUALAN'!$L$5:$L$504,"Tunai",'TRANSAKSI PENJUALAN'!$M$5:$M$504,"Lunas"))</f>
        <v/>
      </c>
      <c r="J117" s="0" t="str">
        <f aca="false">IF(A117="","",F117+G117+H117-I117)</f>
        <v/>
      </c>
      <c r="L117" s="0" t="str">
        <f aca="false">IF(A117="","",IF(NOT(ISNUMBER(K117)),"ISI KAS FISIK",K117-J117))</f>
        <v/>
      </c>
      <c r="M117" s="0" t="str">
        <f aca="false">IF(A117="","",IF(NOT(ISNUMBER(L117)),"BELUM TUTUP",IF(L117=0,"Pas",IF(L117&gt;0,"Lebih","Kurang"))))</f>
        <v/>
      </c>
    </row>
    <row r="118" customFormat="false" ht="15" hidden="false" customHeight="false" outlineLevel="0" collapsed="false">
      <c r="G118" s="0" t="str">
        <f aca="false">IF(A118="","",SUMIFS('TRANSAKSI PENJUALAN'!$K$5:$K$504,'TRANSAKSI PENJUALAN'!$B$5:$B$504,B118,'TRANSAKSI PENJUALAN'!$E$5:$E$504,C118,'TRANSAKSI PENJUALAN'!$L$5:$L$504,"Tunai",'TRANSAKSI PENJUALAN'!$M$5:$M$504,"Lunas"))</f>
        <v/>
      </c>
      <c r="J118" s="0" t="str">
        <f aca="false">IF(A118="","",F118+G118+H118-I118)</f>
        <v/>
      </c>
      <c r="L118" s="0" t="str">
        <f aca="false">IF(A118="","",IF(NOT(ISNUMBER(K118)),"ISI KAS FISIK",K118-J118))</f>
        <v/>
      </c>
      <c r="M118" s="0" t="str">
        <f aca="false">IF(A118="","",IF(NOT(ISNUMBER(L118)),"BELUM TUTUP",IF(L118=0,"Pas",IF(L118&gt;0,"Lebih","Kurang"))))</f>
        <v/>
      </c>
    </row>
    <row r="119" customFormat="false" ht="15" hidden="false" customHeight="false" outlineLevel="0" collapsed="false">
      <c r="G119" s="0" t="str">
        <f aca="false">IF(A119="","",SUMIFS('TRANSAKSI PENJUALAN'!$K$5:$K$504,'TRANSAKSI PENJUALAN'!$B$5:$B$504,B119,'TRANSAKSI PENJUALAN'!$E$5:$E$504,C119,'TRANSAKSI PENJUALAN'!$L$5:$L$504,"Tunai",'TRANSAKSI PENJUALAN'!$M$5:$M$504,"Lunas"))</f>
        <v/>
      </c>
      <c r="J119" s="0" t="str">
        <f aca="false">IF(A119="","",F119+G119+H119-I119)</f>
        <v/>
      </c>
      <c r="L119" s="0" t="str">
        <f aca="false">IF(A119="","",IF(NOT(ISNUMBER(K119)),"ISI KAS FISIK",K119-J119))</f>
        <v/>
      </c>
      <c r="M119" s="0" t="str">
        <f aca="false">IF(A119="","",IF(NOT(ISNUMBER(L119)),"BELUM TUTUP",IF(L119=0,"Pas",IF(L119&gt;0,"Lebih","Kurang"))))</f>
        <v/>
      </c>
    </row>
    <row r="120" customFormat="false" ht="15" hidden="false" customHeight="false" outlineLevel="0" collapsed="false">
      <c r="G120" s="0" t="str">
        <f aca="false">IF(A120="","",SUMIFS('TRANSAKSI PENJUALAN'!$K$5:$K$504,'TRANSAKSI PENJUALAN'!$B$5:$B$504,B120,'TRANSAKSI PENJUALAN'!$E$5:$E$504,C120,'TRANSAKSI PENJUALAN'!$L$5:$L$504,"Tunai",'TRANSAKSI PENJUALAN'!$M$5:$M$504,"Lunas"))</f>
        <v/>
      </c>
      <c r="J120" s="0" t="str">
        <f aca="false">IF(A120="","",F120+G120+H120-I120)</f>
        <v/>
      </c>
      <c r="L120" s="0" t="str">
        <f aca="false">IF(A120="","",IF(NOT(ISNUMBER(K120)),"ISI KAS FISIK",K120-J120))</f>
        <v/>
      </c>
      <c r="M120" s="0" t="str">
        <f aca="false">IF(A120="","",IF(NOT(ISNUMBER(L120)),"BELUM TUTUP",IF(L120=0,"Pas",IF(L120&gt;0,"Lebih","Kurang"))))</f>
        <v/>
      </c>
    </row>
    <row r="121" customFormat="false" ht="15" hidden="false" customHeight="false" outlineLevel="0" collapsed="false">
      <c r="G121" s="0" t="str">
        <f aca="false">IF(A121="","",SUMIFS('TRANSAKSI PENJUALAN'!$K$5:$K$504,'TRANSAKSI PENJUALAN'!$B$5:$B$504,B121,'TRANSAKSI PENJUALAN'!$E$5:$E$504,C121,'TRANSAKSI PENJUALAN'!$L$5:$L$504,"Tunai",'TRANSAKSI PENJUALAN'!$M$5:$M$504,"Lunas"))</f>
        <v/>
      </c>
      <c r="J121" s="0" t="str">
        <f aca="false">IF(A121="","",F121+G121+H121-I121)</f>
        <v/>
      </c>
      <c r="L121" s="0" t="str">
        <f aca="false">IF(A121="","",IF(NOT(ISNUMBER(K121)),"ISI KAS FISIK",K121-J121))</f>
        <v/>
      </c>
      <c r="M121" s="0" t="str">
        <f aca="false">IF(A121="","",IF(NOT(ISNUMBER(L121)),"BELUM TUTUP",IF(L121=0,"Pas",IF(L121&gt;0,"Lebih","Kurang"))))</f>
        <v/>
      </c>
    </row>
    <row r="122" customFormat="false" ht="15" hidden="false" customHeight="false" outlineLevel="0" collapsed="false">
      <c r="G122" s="0" t="str">
        <f aca="false">IF(A122="","",SUMIFS('TRANSAKSI PENJUALAN'!$K$5:$K$504,'TRANSAKSI PENJUALAN'!$B$5:$B$504,B122,'TRANSAKSI PENJUALAN'!$E$5:$E$504,C122,'TRANSAKSI PENJUALAN'!$L$5:$L$504,"Tunai",'TRANSAKSI PENJUALAN'!$M$5:$M$504,"Lunas"))</f>
        <v/>
      </c>
      <c r="J122" s="0" t="str">
        <f aca="false">IF(A122="","",F122+G122+H122-I122)</f>
        <v/>
      </c>
      <c r="L122" s="0" t="str">
        <f aca="false">IF(A122="","",IF(NOT(ISNUMBER(K122)),"ISI KAS FISIK",K122-J122))</f>
        <v/>
      </c>
      <c r="M122" s="0" t="str">
        <f aca="false">IF(A122="","",IF(NOT(ISNUMBER(L122)),"BELUM TUTUP",IF(L122=0,"Pas",IF(L122&gt;0,"Lebih","Kurang"))))</f>
        <v/>
      </c>
    </row>
    <row r="123" customFormat="false" ht="15" hidden="false" customHeight="false" outlineLevel="0" collapsed="false">
      <c r="G123" s="0" t="str">
        <f aca="false">IF(A123="","",SUMIFS('TRANSAKSI PENJUALAN'!$K$5:$K$504,'TRANSAKSI PENJUALAN'!$B$5:$B$504,B123,'TRANSAKSI PENJUALAN'!$E$5:$E$504,C123,'TRANSAKSI PENJUALAN'!$L$5:$L$504,"Tunai",'TRANSAKSI PENJUALAN'!$M$5:$M$504,"Lunas"))</f>
        <v/>
      </c>
      <c r="J123" s="0" t="str">
        <f aca="false">IF(A123="","",F123+G123+H123-I123)</f>
        <v/>
      </c>
      <c r="L123" s="0" t="str">
        <f aca="false">IF(A123="","",IF(NOT(ISNUMBER(K123)),"ISI KAS FISIK",K123-J123))</f>
        <v/>
      </c>
      <c r="M123" s="0" t="str">
        <f aca="false">IF(A123="","",IF(NOT(ISNUMBER(L123)),"BELUM TUTUP",IF(L123=0,"Pas",IF(L123&gt;0,"Lebih","Kurang"))))</f>
        <v/>
      </c>
    </row>
    <row r="124" customFormat="false" ht="15" hidden="false" customHeight="false" outlineLevel="0" collapsed="false">
      <c r="G124" s="0" t="str">
        <f aca="false">IF(A124="","",SUMIFS('TRANSAKSI PENJUALAN'!$K$5:$K$504,'TRANSAKSI PENJUALAN'!$B$5:$B$504,B124,'TRANSAKSI PENJUALAN'!$E$5:$E$504,C124,'TRANSAKSI PENJUALAN'!$L$5:$L$504,"Tunai",'TRANSAKSI PENJUALAN'!$M$5:$M$504,"Lunas"))</f>
        <v/>
      </c>
      <c r="J124" s="0" t="str">
        <f aca="false">IF(A124="","",F124+G124+H124-I124)</f>
        <v/>
      </c>
      <c r="L124" s="0" t="str">
        <f aca="false">IF(A124="","",IF(NOT(ISNUMBER(K124)),"ISI KAS FISIK",K124-J124))</f>
        <v/>
      </c>
      <c r="M124" s="0" t="str">
        <f aca="false">IF(A124="","",IF(NOT(ISNUMBER(L124)),"BELUM TUTUP",IF(L124=0,"Pas",IF(L124&gt;0,"Lebih","Kurang"))))</f>
        <v/>
      </c>
    </row>
    <row r="125" customFormat="false" ht="15" hidden="false" customHeight="false" outlineLevel="0" collapsed="false">
      <c r="G125" s="0" t="str">
        <f aca="false">IF(A125="","",SUMIFS('TRANSAKSI PENJUALAN'!$K$5:$K$504,'TRANSAKSI PENJUALAN'!$B$5:$B$504,B125,'TRANSAKSI PENJUALAN'!$E$5:$E$504,C125,'TRANSAKSI PENJUALAN'!$L$5:$L$504,"Tunai",'TRANSAKSI PENJUALAN'!$M$5:$M$504,"Lunas"))</f>
        <v/>
      </c>
      <c r="J125" s="0" t="str">
        <f aca="false">IF(A125="","",F125+G125+H125-I125)</f>
        <v/>
      </c>
      <c r="L125" s="0" t="str">
        <f aca="false">IF(A125="","",IF(NOT(ISNUMBER(K125)),"ISI KAS FISIK",K125-J125))</f>
        <v/>
      </c>
      <c r="M125" s="0" t="str">
        <f aca="false">IF(A125="","",IF(NOT(ISNUMBER(L125)),"BELUM TUTUP",IF(L125=0,"Pas",IF(L125&gt;0,"Lebih","Kurang"))))</f>
        <v/>
      </c>
    </row>
    <row r="126" customFormat="false" ht="15" hidden="false" customHeight="false" outlineLevel="0" collapsed="false">
      <c r="G126" s="0" t="str">
        <f aca="false">IF(A126="","",SUMIFS('TRANSAKSI PENJUALAN'!$K$5:$K$504,'TRANSAKSI PENJUALAN'!$B$5:$B$504,B126,'TRANSAKSI PENJUALAN'!$E$5:$E$504,C126,'TRANSAKSI PENJUALAN'!$L$5:$L$504,"Tunai",'TRANSAKSI PENJUALAN'!$M$5:$M$504,"Lunas"))</f>
        <v/>
      </c>
      <c r="J126" s="0" t="str">
        <f aca="false">IF(A126="","",F126+G126+H126-I126)</f>
        <v/>
      </c>
      <c r="L126" s="0" t="str">
        <f aca="false">IF(A126="","",IF(NOT(ISNUMBER(K126)),"ISI KAS FISIK",K126-J126))</f>
        <v/>
      </c>
      <c r="M126" s="0" t="str">
        <f aca="false">IF(A126="","",IF(NOT(ISNUMBER(L126)),"BELUM TUTUP",IF(L126=0,"Pas",IF(L126&gt;0,"Lebih","Kurang"))))</f>
        <v/>
      </c>
    </row>
    <row r="127" customFormat="false" ht="15" hidden="false" customHeight="false" outlineLevel="0" collapsed="false">
      <c r="G127" s="0" t="str">
        <f aca="false">IF(A127="","",SUMIFS('TRANSAKSI PENJUALAN'!$K$5:$K$504,'TRANSAKSI PENJUALAN'!$B$5:$B$504,B127,'TRANSAKSI PENJUALAN'!$E$5:$E$504,C127,'TRANSAKSI PENJUALAN'!$L$5:$L$504,"Tunai",'TRANSAKSI PENJUALAN'!$M$5:$M$504,"Lunas"))</f>
        <v/>
      </c>
      <c r="J127" s="0" t="str">
        <f aca="false">IF(A127="","",F127+G127+H127-I127)</f>
        <v/>
      </c>
      <c r="L127" s="0" t="str">
        <f aca="false">IF(A127="","",IF(NOT(ISNUMBER(K127)),"ISI KAS FISIK",K127-J127))</f>
        <v/>
      </c>
      <c r="M127" s="0" t="str">
        <f aca="false">IF(A127="","",IF(NOT(ISNUMBER(L127)),"BELUM TUTUP",IF(L127=0,"Pas",IF(L127&gt;0,"Lebih","Kurang"))))</f>
        <v/>
      </c>
    </row>
    <row r="128" customFormat="false" ht="15" hidden="false" customHeight="false" outlineLevel="0" collapsed="false">
      <c r="G128" s="0" t="str">
        <f aca="false">IF(A128="","",SUMIFS('TRANSAKSI PENJUALAN'!$K$5:$K$504,'TRANSAKSI PENJUALAN'!$B$5:$B$504,B128,'TRANSAKSI PENJUALAN'!$E$5:$E$504,C128,'TRANSAKSI PENJUALAN'!$L$5:$L$504,"Tunai",'TRANSAKSI PENJUALAN'!$M$5:$M$504,"Lunas"))</f>
        <v/>
      </c>
      <c r="J128" s="0" t="str">
        <f aca="false">IF(A128="","",F128+G128+H128-I128)</f>
        <v/>
      </c>
      <c r="L128" s="0" t="str">
        <f aca="false">IF(A128="","",IF(NOT(ISNUMBER(K128)),"ISI KAS FISIK",K128-J128))</f>
        <v/>
      </c>
      <c r="M128" s="0" t="str">
        <f aca="false">IF(A128="","",IF(NOT(ISNUMBER(L128)),"BELUM TUTUP",IF(L128=0,"Pas",IF(L128&gt;0,"Lebih","Kurang"))))</f>
        <v/>
      </c>
    </row>
    <row r="129" customFormat="false" ht="15" hidden="false" customHeight="false" outlineLevel="0" collapsed="false">
      <c r="G129" s="0" t="str">
        <f aca="false">IF(A129="","",SUMIFS('TRANSAKSI PENJUALAN'!$K$5:$K$504,'TRANSAKSI PENJUALAN'!$B$5:$B$504,B129,'TRANSAKSI PENJUALAN'!$E$5:$E$504,C129,'TRANSAKSI PENJUALAN'!$L$5:$L$504,"Tunai",'TRANSAKSI PENJUALAN'!$M$5:$M$504,"Lunas"))</f>
        <v/>
      </c>
      <c r="J129" s="0" t="str">
        <f aca="false">IF(A129="","",F129+G129+H129-I129)</f>
        <v/>
      </c>
      <c r="L129" s="0" t="str">
        <f aca="false">IF(A129="","",IF(NOT(ISNUMBER(K129)),"ISI KAS FISIK",K129-J129))</f>
        <v/>
      </c>
      <c r="M129" s="0" t="str">
        <f aca="false">IF(A129="","",IF(NOT(ISNUMBER(L129)),"BELUM TUTUP",IF(L129=0,"Pas",IF(L129&gt;0,"Lebih","Kurang"))))</f>
        <v/>
      </c>
    </row>
    <row r="130" customFormat="false" ht="15" hidden="false" customHeight="false" outlineLevel="0" collapsed="false">
      <c r="G130" s="0" t="str">
        <f aca="false">IF(A130="","",SUMIFS('TRANSAKSI PENJUALAN'!$K$5:$K$504,'TRANSAKSI PENJUALAN'!$B$5:$B$504,B130,'TRANSAKSI PENJUALAN'!$E$5:$E$504,C130,'TRANSAKSI PENJUALAN'!$L$5:$L$504,"Tunai",'TRANSAKSI PENJUALAN'!$M$5:$M$504,"Lunas"))</f>
        <v/>
      </c>
      <c r="J130" s="0" t="str">
        <f aca="false">IF(A130="","",F130+G130+H130-I130)</f>
        <v/>
      </c>
      <c r="L130" s="0" t="str">
        <f aca="false">IF(A130="","",IF(NOT(ISNUMBER(K130)),"ISI KAS FISIK",K130-J130))</f>
        <v/>
      </c>
      <c r="M130" s="0" t="str">
        <f aca="false">IF(A130="","",IF(NOT(ISNUMBER(L130)),"BELUM TUTUP",IF(L130=0,"Pas",IF(L130&gt;0,"Lebih","Kurang"))))</f>
        <v/>
      </c>
    </row>
    <row r="131" customFormat="false" ht="15" hidden="false" customHeight="false" outlineLevel="0" collapsed="false">
      <c r="G131" s="0" t="str">
        <f aca="false">IF(A131="","",SUMIFS('TRANSAKSI PENJUALAN'!$K$5:$K$504,'TRANSAKSI PENJUALAN'!$B$5:$B$504,B131,'TRANSAKSI PENJUALAN'!$E$5:$E$504,C131,'TRANSAKSI PENJUALAN'!$L$5:$L$504,"Tunai",'TRANSAKSI PENJUALAN'!$M$5:$M$504,"Lunas"))</f>
        <v/>
      </c>
      <c r="J131" s="0" t="str">
        <f aca="false">IF(A131="","",F131+G131+H131-I131)</f>
        <v/>
      </c>
      <c r="L131" s="0" t="str">
        <f aca="false">IF(A131="","",IF(NOT(ISNUMBER(K131)),"ISI KAS FISIK",K131-J131))</f>
        <v/>
      </c>
      <c r="M131" s="0" t="str">
        <f aca="false">IF(A131="","",IF(NOT(ISNUMBER(L131)),"BELUM TUTUP",IF(L131=0,"Pas",IF(L131&gt;0,"Lebih","Kurang"))))</f>
        <v/>
      </c>
    </row>
    <row r="132" customFormat="false" ht="15" hidden="false" customHeight="false" outlineLevel="0" collapsed="false">
      <c r="G132" s="0" t="str">
        <f aca="false">IF(A132="","",SUMIFS('TRANSAKSI PENJUALAN'!$K$5:$K$504,'TRANSAKSI PENJUALAN'!$B$5:$B$504,B132,'TRANSAKSI PENJUALAN'!$E$5:$E$504,C132,'TRANSAKSI PENJUALAN'!$L$5:$L$504,"Tunai",'TRANSAKSI PENJUALAN'!$M$5:$M$504,"Lunas"))</f>
        <v/>
      </c>
      <c r="J132" s="0" t="str">
        <f aca="false">IF(A132="","",F132+G132+H132-I132)</f>
        <v/>
      </c>
      <c r="L132" s="0" t="str">
        <f aca="false">IF(A132="","",IF(NOT(ISNUMBER(K132)),"ISI KAS FISIK",K132-J132))</f>
        <v/>
      </c>
      <c r="M132" s="0" t="str">
        <f aca="false">IF(A132="","",IF(NOT(ISNUMBER(L132)),"BELUM TUTUP",IF(L132=0,"Pas",IF(L132&gt;0,"Lebih","Kurang"))))</f>
        <v/>
      </c>
    </row>
    <row r="133" customFormat="false" ht="15" hidden="false" customHeight="false" outlineLevel="0" collapsed="false">
      <c r="G133" s="0" t="str">
        <f aca="false">IF(A133="","",SUMIFS('TRANSAKSI PENJUALAN'!$K$5:$K$504,'TRANSAKSI PENJUALAN'!$B$5:$B$504,B133,'TRANSAKSI PENJUALAN'!$E$5:$E$504,C133,'TRANSAKSI PENJUALAN'!$L$5:$L$504,"Tunai",'TRANSAKSI PENJUALAN'!$M$5:$M$504,"Lunas"))</f>
        <v/>
      </c>
      <c r="J133" s="0" t="str">
        <f aca="false">IF(A133="","",F133+G133+H133-I133)</f>
        <v/>
      </c>
      <c r="L133" s="0" t="str">
        <f aca="false">IF(A133="","",IF(NOT(ISNUMBER(K133)),"ISI KAS FISIK",K133-J133))</f>
        <v/>
      </c>
      <c r="M133" s="0" t="str">
        <f aca="false">IF(A133="","",IF(NOT(ISNUMBER(L133)),"BELUM TUTUP",IF(L133=0,"Pas",IF(L133&gt;0,"Lebih","Kurang"))))</f>
        <v/>
      </c>
    </row>
    <row r="134" customFormat="false" ht="15" hidden="false" customHeight="false" outlineLevel="0" collapsed="false">
      <c r="G134" s="0" t="str">
        <f aca="false">IF(A134="","",SUMIFS('TRANSAKSI PENJUALAN'!$K$5:$K$504,'TRANSAKSI PENJUALAN'!$B$5:$B$504,B134,'TRANSAKSI PENJUALAN'!$E$5:$E$504,C134,'TRANSAKSI PENJUALAN'!$L$5:$L$504,"Tunai",'TRANSAKSI PENJUALAN'!$M$5:$M$504,"Lunas"))</f>
        <v/>
      </c>
      <c r="J134" s="0" t="str">
        <f aca="false">IF(A134="","",F134+G134+H134-I134)</f>
        <v/>
      </c>
      <c r="L134" s="0" t="str">
        <f aca="false">IF(A134="","",IF(NOT(ISNUMBER(K134)),"ISI KAS FISIK",K134-J134))</f>
        <v/>
      </c>
      <c r="M134" s="0" t="str">
        <f aca="false">IF(A134="","",IF(NOT(ISNUMBER(L134)),"BELUM TUTUP",IF(L134=0,"Pas",IF(L134&gt;0,"Lebih","Kurang"))))</f>
        <v/>
      </c>
    </row>
    <row r="135" customFormat="false" ht="15" hidden="false" customHeight="false" outlineLevel="0" collapsed="false">
      <c r="G135" s="0" t="str">
        <f aca="false">IF(A135="","",SUMIFS('TRANSAKSI PENJUALAN'!$K$5:$K$504,'TRANSAKSI PENJUALAN'!$B$5:$B$504,B135,'TRANSAKSI PENJUALAN'!$E$5:$E$504,C135,'TRANSAKSI PENJUALAN'!$L$5:$L$504,"Tunai",'TRANSAKSI PENJUALAN'!$M$5:$M$504,"Lunas"))</f>
        <v/>
      </c>
      <c r="J135" s="0" t="str">
        <f aca="false">IF(A135="","",F135+G135+H135-I135)</f>
        <v/>
      </c>
      <c r="L135" s="0" t="str">
        <f aca="false">IF(A135="","",IF(NOT(ISNUMBER(K135)),"ISI KAS FISIK",K135-J135))</f>
        <v/>
      </c>
      <c r="M135" s="0" t="str">
        <f aca="false">IF(A135="","",IF(NOT(ISNUMBER(L135)),"BELUM TUTUP",IF(L135=0,"Pas",IF(L135&gt;0,"Lebih","Kurang"))))</f>
        <v/>
      </c>
    </row>
    <row r="136" customFormat="false" ht="15" hidden="false" customHeight="false" outlineLevel="0" collapsed="false">
      <c r="G136" s="0" t="str">
        <f aca="false">IF(A136="","",SUMIFS('TRANSAKSI PENJUALAN'!$K$5:$K$504,'TRANSAKSI PENJUALAN'!$B$5:$B$504,B136,'TRANSAKSI PENJUALAN'!$E$5:$E$504,C136,'TRANSAKSI PENJUALAN'!$L$5:$L$504,"Tunai",'TRANSAKSI PENJUALAN'!$M$5:$M$504,"Lunas"))</f>
        <v/>
      </c>
      <c r="J136" s="0" t="str">
        <f aca="false">IF(A136="","",F136+G136+H136-I136)</f>
        <v/>
      </c>
      <c r="L136" s="0" t="str">
        <f aca="false">IF(A136="","",IF(NOT(ISNUMBER(K136)),"ISI KAS FISIK",K136-J136))</f>
        <v/>
      </c>
      <c r="M136" s="0" t="str">
        <f aca="false">IF(A136="","",IF(NOT(ISNUMBER(L136)),"BELUM TUTUP",IF(L136=0,"Pas",IF(L136&gt;0,"Lebih","Kurang"))))</f>
        <v/>
      </c>
    </row>
    <row r="137" customFormat="false" ht="15" hidden="false" customHeight="false" outlineLevel="0" collapsed="false">
      <c r="G137" s="0" t="str">
        <f aca="false">IF(A137="","",SUMIFS('TRANSAKSI PENJUALAN'!$K$5:$K$504,'TRANSAKSI PENJUALAN'!$B$5:$B$504,B137,'TRANSAKSI PENJUALAN'!$E$5:$E$504,C137,'TRANSAKSI PENJUALAN'!$L$5:$L$504,"Tunai",'TRANSAKSI PENJUALAN'!$M$5:$M$504,"Lunas"))</f>
        <v/>
      </c>
      <c r="J137" s="0" t="str">
        <f aca="false">IF(A137="","",F137+G137+H137-I137)</f>
        <v/>
      </c>
      <c r="L137" s="0" t="str">
        <f aca="false">IF(A137="","",IF(NOT(ISNUMBER(K137)),"ISI KAS FISIK",K137-J137))</f>
        <v/>
      </c>
      <c r="M137" s="0" t="str">
        <f aca="false">IF(A137="","",IF(NOT(ISNUMBER(L137)),"BELUM TUTUP",IF(L137=0,"Pas",IF(L137&gt;0,"Lebih","Kurang"))))</f>
        <v/>
      </c>
    </row>
    <row r="138" customFormat="false" ht="15" hidden="false" customHeight="false" outlineLevel="0" collapsed="false">
      <c r="G138" s="0" t="str">
        <f aca="false">IF(A138="","",SUMIFS('TRANSAKSI PENJUALAN'!$K$5:$K$504,'TRANSAKSI PENJUALAN'!$B$5:$B$504,B138,'TRANSAKSI PENJUALAN'!$E$5:$E$504,C138,'TRANSAKSI PENJUALAN'!$L$5:$L$504,"Tunai",'TRANSAKSI PENJUALAN'!$M$5:$M$504,"Lunas"))</f>
        <v/>
      </c>
      <c r="J138" s="0" t="str">
        <f aca="false">IF(A138="","",F138+G138+H138-I138)</f>
        <v/>
      </c>
      <c r="L138" s="0" t="str">
        <f aca="false">IF(A138="","",IF(NOT(ISNUMBER(K138)),"ISI KAS FISIK",K138-J138))</f>
        <v/>
      </c>
      <c r="M138" s="0" t="str">
        <f aca="false">IF(A138="","",IF(NOT(ISNUMBER(L138)),"BELUM TUTUP",IF(L138=0,"Pas",IF(L138&gt;0,"Lebih","Kurang"))))</f>
        <v/>
      </c>
    </row>
    <row r="139" customFormat="false" ht="15" hidden="false" customHeight="false" outlineLevel="0" collapsed="false">
      <c r="G139" s="0" t="str">
        <f aca="false">IF(A139="","",SUMIFS('TRANSAKSI PENJUALAN'!$K$5:$K$504,'TRANSAKSI PENJUALAN'!$B$5:$B$504,B139,'TRANSAKSI PENJUALAN'!$E$5:$E$504,C139,'TRANSAKSI PENJUALAN'!$L$5:$L$504,"Tunai",'TRANSAKSI PENJUALAN'!$M$5:$M$504,"Lunas"))</f>
        <v/>
      </c>
      <c r="J139" s="0" t="str">
        <f aca="false">IF(A139="","",F139+G139+H139-I139)</f>
        <v/>
      </c>
      <c r="L139" s="0" t="str">
        <f aca="false">IF(A139="","",IF(NOT(ISNUMBER(K139)),"ISI KAS FISIK",K139-J139))</f>
        <v/>
      </c>
      <c r="M139" s="0" t="str">
        <f aca="false">IF(A139="","",IF(NOT(ISNUMBER(L139)),"BELUM TUTUP",IF(L139=0,"Pas",IF(L139&gt;0,"Lebih","Kurang"))))</f>
        <v/>
      </c>
    </row>
    <row r="140" customFormat="false" ht="15" hidden="false" customHeight="false" outlineLevel="0" collapsed="false">
      <c r="G140" s="0" t="str">
        <f aca="false">IF(A140="","",SUMIFS('TRANSAKSI PENJUALAN'!$K$5:$K$504,'TRANSAKSI PENJUALAN'!$B$5:$B$504,B140,'TRANSAKSI PENJUALAN'!$E$5:$E$504,C140,'TRANSAKSI PENJUALAN'!$L$5:$L$504,"Tunai",'TRANSAKSI PENJUALAN'!$M$5:$M$504,"Lunas"))</f>
        <v/>
      </c>
      <c r="J140" s="0" t="str">
        <f aca="false">IF(A140="","",F140+G140+H140-I140)</f>
        <v/>
      </c>
      <c r="L140" s="0" t="str">
        <f aca="false">IF(A140="","",IF(NOT(ISNUMBER(K140)),"ISI KAS FISIK",K140-J140))</f>
        <v/>
      </c>
      <c r="M140" s="0" t="str">
        <f aca="false">IF(A140="","",IF(NOT(ISNUMBER(L140)),"BELUM TUTUP",IF(L140=0,"Pas",IF(L140&gt;0,"Lebih","Kurang"))))</f>
        <v/>
      </c>
    </row>
    <row r="141" customFormat="false" ht="15" hidden="false" customHeight="false" outlineLevel="0" collapsed="false">
      <c r="G141" s="0" t="str">
        <f aca="false">IF(A141="","",SUMIFS('TRANSAKSI PENJUALAN'!$K$5:$K$504,'TRANSAKSI PENJUALAN'!$B$5:$B$504,B141,'TRANSAKSI PENJUALAN'!$E$5:$E$504,C141,'TRANSAKSI PENJUALAN'!$L$5:$L$504,"Tunai",'TRANSAKSI PENJUALAN'!$M$5:$M$504,"Lunas"))</f>
        <v/>
      </c>
      <c r="J141" s="0" t="str">
        <f aca="false">IF(A141="","",F141+G141+H141-I141)</f>
        <v/>
      </c>
      <c r="L141" s="0" t="str">
        <f aca="false">IF(A141="","",IF(NOT(ISNUMBER(K141)),"ISI KAS FISIK",K141-J141))</f>
        <v/>
      </c>
      <c r="M141" s="0" t="str">
        <f aca="false">IF(A141="","",IF(NOT(ISNUMBER(L141)),"BELUM TUTUP",IF(L141=0,"Pas",IF(L141&gt;0,"Lebih","Kurang"))))</f>
        <v/>
      </c>
    </row>
    <row r="142" customFormat="false" ht="15" hidden="false" customHeight="false" outlineLevel="0" collapsed="false">
      <c r="G142" s="0" t="str">
        <f aca="false">IF(A142="","",SUMIFS('TRANSAKSI PENJUALAN'!$K$5:$K$504,'TRANSAKSI PENJUALAN'!$B$5:$B$504,B142,'TRANSAKSI PENJUALAN'!$E$5:$E$504,C142,'TRANSAKSI PENJUALAN'!$L$5:$L$504,"Tunai",'TRANSAKSI PENJUALAN'!$M$5:$M$504,"Lunas"))</f>
        <v/>
      </c>
      <c r="J142" s="0" t="str">
        <f aca="false">IF(A142="","",F142+G142+H142-I142)</f>
        <v/>
      </c>
      <c r="L142" s="0" t="str">
        <f aca="false">IF(A142="","",IF(NOT(ISNUMBER(K142)),"ISI KAS FISIK",K142-J142))</f>
        <v/>
      </c>
      <c r="M142" s="0" t="str">
        <f aca="false">IF(A142="","",IF(NOT(ISNUMBER(L142)),"BELUM TUTUP",IF(L142=0,"Pas",IF(L142&gt;0,"Lebih","Kurang"))))</f>
        <v/>
      </c>
    </row>
    <row r="143" customFormat="false" ht="15" hidden="false" customHeight="false" outlineLevel="0" collapsed="false">
      <c r="G143" s="0" t="str">
        <f aca="false">IF(A143="","",SUMIFS('TRANSAKSI PENJUALAN'!$K$5:$K$504,'TRANSAKSI PENJUALAN'!$B$5:$B$504,B143,'TRANSAKSI PENJUALAN'!$E$5:$E$504,C143,'TRANSAKSI PENJUALAN'!$L$5:$L$504,"Tunai",'TRANSAKSI PENJUALAN'!$M$5:$M$504,"Lunas"))</f>
        <v/>
      </c>
      <c r="J143" s="0" t="str">
        <f aca="false">IF(A143="","",F143+G143+H143-I143)</f>
        <v/>
      </c>
      <c r="L143" s="0" t="str">
        <f aca="false">IF(A143="","",IF(NOT(ISNUMBER(K143)),"ISI KAS FISIK",K143-J143))</f>
        <v/>
      </c>
      <c r="M143" s="0" t="str">
        <f aca="false">IF(A143="","",IF(NOT(ISNUMBER(L143)),"BELUM TUTUP",IF(L143=0,"Pas",IF(L143&gt;0,"Lebih","Kurang"))))</f>
        <v/>
      </c>
    </row>
    <row r="144" customFormat="false" ht="15" hidden="false" customHeight="false" outlineLevel="0" collapsed="false">
      <c r="G144" s="0" t="str">
        <f aca="false">IF(A144="","",SUMIFS('TRANSAKSI PENJUALAN'!$K$5:$K$504,'TRANSAKSI PENJUALAN'!$B$5:$B$504,B144,'TRANSAKSI PENJUALAN'!$E$5:$E$504,C144,'TRANSAKSI PENJUALAN'!$L$5:$L$504,"Tunai",'TRANSAKSI PENJUALAN'!$M$5:$M$504,"Lunas"))</f>
        <v/>
      </c>
      <c r="J144" s="0" t="str">
        <f aca="false">IF(A144="","",F144+G144+H144-I144)</f>
        <v/>
      </c>
      <c r="L144" s="0" t="str">
        <f aca="false">IF(A144="","",IF(NOT(ISNUMBER(K144)),"ISI KAS FISIK",K144-J144))</f>
        <v/>
      </c>
      <c r="M144" s="0" t="str">
        <f aca="false">IF(A144="","",IF(NOT(ISNUMBER(L144)),"BELUM TUTUP",IF(L144=0,"Pas",IF(L144&gt;0,"Lebih","Kurang"))))</f>
        <v/>
      </c>
    </row>
    <row r="145" customFormat="false" ht="15" hidden="false" customHeight="false" outlineLevel="0" collapsed="false">
      <c r="G145" s="0" t="str">
        <f aca="false">IF(A145="","",SUMIFS('TRANSAKSI PENJUALAN'!$K$5:$K$504,'TRANSAKSI PENJUALAN'!$B$5:$B$504,B145,'TRANSAKSI PENJUALAN'!$E$5:$E$504,C145,'TRANSAKSI PENJUALAN'!$L$5:$L$504,"Tunai",'TRANSAKSI PENJUALAN'!$M$5:$M$504,"Lunas"))</f>
        <v/>
      </c>
      <c r="J145" s="0" t="str">
        <f aca="false">IF(A145="","",F145+G145+H145-I145)</f>
        <v/>
      </c>
      <c r="L145" s="0" t="str">
        <f aca="false">IF(A145="","",IF(NOT(ISNUMBER(K145)),"ISI KAS FISIK",K145-J145))</f>
        <v/>
      </c>
      <c r="M145" s="0" t="str">
        <f aca="false">IF(A145="","",IF(NOT(ISNUMBER(L145)),"BELUM TUTUP",IF(L145=0,"Pas",IF(L145&gt;0,"Lebih","Kurang"))))</f>
        <v/>
      </c>
    </row>
    <row r="146" customFormat="false" ht="15" hidden="false" customHeight="false" outlineLevel="0" collapsed="false">
      <c r="G146" s="0" t="str">
        <f aca="false">IF(A146="","",SUMIFS('TRANSAKSI PENJUALAN'!$K$5:$K$504,'TRANSAKSI PENJUALAN'!$B$5:$B$504,B146,'TRANSAKSI PENJUALAN'!$E$5:$E$504,C146,'TRANSAKSI PENJUALAN'!$L$5:$L$504,"Tunai",'TRANSAKSI PENJUALAN'!$M$5:$M$504,"Lunas"))</f>
        <v/>
      </c>
      <c r="J146" s="0" t="str">
        <f aca="false">IF(A146="","",F146+G146+H146-I146)</f>
        <v/>
      </c>
      <c r="L146" s="0" t="str">
        <f aca="false">IF(A146="","",IF(NOT(ISNUMBER(K146)),"ISI KAS FISIK",K146-J146))</f>
        <v/>
      </c>
      <c r="M146" s="0" t="str">
        <f aca="false">IF(A146="","",IF(NOT(ISNUMBER(L146)),"BELUM TUTUP",IF(L146=0,"Pas",IF(L146&gt;0,"Lebih","Kurang"))))</f>
        <v/>
      </c>
    </row>
    <row r="147" customFormat="false" ht="15" hidden="false" customHeight="false" outlineLevel="0" collapsed="false">
      <c r="G147" s="0" t="str">
        <f aca="false">IF(A147="","",SUMIFS('TRANSAKSI PENJUALAN'!$K$5:$K$504,'TRANSAKSI PENJUALAN'!$B$5:$B$504,B147,'TRANSAKSI PENJUALAN'!$E$5:$E$504,C147,'TRANSAKSI PENJUALAN'!$L$5:$L$504,"Tunai",'TRANSAKSI PENJUALAN'!$M$5:$M$504,"Lunas"))</f>
        <v/>
      </c>
      <c r="J147" s="0" t="str">
        <f aca="false">IF(A147="","",F147+G147+H147-I147)</f>
        <v/>
      </c>
      <c r="L147" s="0" t="str">
        <f aca="false">IF(A147="","",IF(NOT(ISNUMBER(K147)),"ISI KAS FISIK",K147-J147))</f>
        <v/>
      </c>
      <c r="M147" s="0" t="str">
        <f aca="false">IF(A147="","",IF(NOT(ISNUMBER(L147)),"BELUM TUTUP",IF(L147=0,"Pas",IF(L147&gt;0,"Lebih","Kurang"))))</f>
        <v/>
      </c>
    </row>
    <row r="148" customFormat="false" ht="15" hidden="false" customHeight="false" outlineLevel="0" collapsed="false">
      <c r="G148" s="0" t="str">
        <f aca="false">IF(A148="","",SUMIFS('TRANSAKSI PENJUALAN'!$K$5:$K$504,'TRANSAKSI PENJUALAN'!$B$5:$B$504,B148,'TRANSAKSI PENJUALAN'!$E$5:$E$504,C148,'TRANSAKSI PENJUALAN'!$L$5:$L$504,"Tunai",'TRANSAKSI PENJUALAN'!$M$5:$M$504,"Lunas"))</f>
        <v/>
      </c>
      <c r="J148" s="0" t="str">
        <f aca="false">IF(A148="","",F148+G148+H148-I148)</f>
        <v/>
      </c>
      <c r="L148" s="0" t="str">
        <f aca="false">IF(A148="","",IF(NOT(ISNUMBER(K148)),"ISI KAS FISIK",K148-J148))</f>
        <v/>
      </c>
      <c r="M148" s="0" t="str">
        <f aca="false">IF(A148="","",IF(NOT(ISNUMBER(L148)),"BELUM TUTUP",IF(L148=0,"Pas",IF(L148&gt;0,"Lebih","Kurang"))))</f>
        <v/>
      </c>
    </row>
    <row r="149" customFormat="false" ht="15" hidden="false" customHeight="false" outlineLevel="0" collapsed="false">
      <c r="G149" s="0" t="str">
        <f aca="false">IF(A149="","",SUMIFS('TRANSAKSI PENJUALAN'!$K$5:$K$504,'TRANSAKSI PENJUALAN'!$B$5:$B$504,B149,'TRANSAKSI PENJUALAN'!$E$5:$E$504,C149,'TRANSAKSI PENJUALAN'!$L$5:$L$504,"Tunai",'TRANSAKSI PENJUALAN'!$M$5:$M$504,"Lunas"))</f>
        <v/>
      </c>
      <c r="J149" s="0" t="str">
        <f aca="false">IF(A149="","",F149+G149+H149-I149)</f>
        <v/>
      </c>
      <c r="L149" s="0" t="str">
        <f aca="false">IF(A149="","",IF(NOT(ISNUMBER(K149)),"ISI KAS FISIK",K149-J149))</f>
        <v/>
      </c>
      <c r="M149" s="0" t="str">
        <f aca="false">IF(A149="","",IF(NOT(ISNUMBER(L149)),"BELUM TUTUP",IF(L149=0,"Pas",IF(L149&gt;0,"Lebih","Kurang"))))</f>
        <v/>
      </c>
    </row>
    <row r="150" customFormat="false" ht="15" hidden="false" customHeight="false" outlineLevel="0" collapsed="false">
      <c r="G150" s="0" t="str">
        <f aca="false">IF(A150="","",SUMIFS('TRANSAKSI PENJUALAN'!$K$5:$K$504,'TRANSAKSI PENJUALAN'!$B$5:$B$504,B150,'TRANSAKSI PENJUALAN'!$E$5:$E$504,C150,'TRANSAKSI PENJUALAN'!$L$5:$L$504,"Tunai",'TRANSAKSI PENJUALAN'!$M$5:$M$504,"Lunas"))</f>
        <v/>
      </c>
      <c r="J150" s="0" t="str">
        <f aca="false">IF(A150="","",F150+G150+H150-I150)</f>
        <v/>
      </c>
      <c r="L150" s="0" t="str">
        <f aca="false">IF(A150="","",IF(NOT(ISNUMBER(K150)),"ISI KAS FISIK",K150-J150))</f>
        <v/>
      </c>
      <c r="M150" s="0" t="str">
        <f aca="false">IF(A150="","",IF(NOT(ISNUMBER(L150)),"BELUM TUTUP",IF(L150=0,"Pas",IF(L150&gt;0,"Lebih","Kurang"))))</f>
        <v/>
      </c>
    </row>
    <row r="151" customFormat="false" ht="15" hidden="false" customHeight="false" outlineLevel="0" collapsed="false">
      <c r="G151" s="0" t="str">
        <f aca="false">IF(A151="","",SUMIFS('TRANSAKSI PENJUALAN'!$K$5:$K$504,'TRANSAKSI PENJUALAN'!$B$5:$B$504,B151,'TRANSAKSI PENJUALAN'!$E$5:$E$504,C151,'TRANSAKSI PENJUALAN'!$L$5:$L$504,"Tunai",'TRANSAKSI PENJUALAN'!$M$5:$M$504,"Lunas"))</f>
        <v/>
      </c>
      <c r="J151" s="0" t="str">
        <f aca="false">IF(A151="","",F151+G151+H151-I151)</f>
        <v/>
      </c>
      <c r="L151" s="0" t="str">
        <f aca="false">IF(A151="","",IF(NOT(ISNUMBER(K151)),"ISI KAS FISIK",K151-J151))</f>
        <v/>
      </c>
      <c r="M151" s="0" t="str">
        <f aca="false">IF(A151="","",IF(NOT(ISNUMBER(L151)),"BELUM TUTUP",IF(L151=0,"Pas",IF(L151&gt;0,"Lebih","Kurang"))))</f>
        <v/>
      </c>
    </row>
    <row r="152" customFormat="false" ht="15" hidden="false" customHeight="false" outlineLevel="0" collapsed="false">
      <c r="G152" s="0" t="str">
        <f aca="false">IF(A152="","",SUMIFS('TRANSAKSI PENJUALAN'!$K$5:$K$504,'TRANSAKSI PENJUALAN'!$B$5:$B$504,B152,'TRANSAKSI PENJUALAN'!$E$5:$E$504,C152,'TRANSAKSI PENJUALAN'!$L$5:$L$504,"Tunai",'TRANSAKSI PENJUALAN'!$M$5:$M$504,"Lunas"))</f>
        <v/>
      </c>
      <c r="J152" s="0" t="str">
        <f aca="false">IF(A152="","",F152+G152+H152-I152)</f>
        <v/>
      </c>
      <c r="L152" s="0" t="str">
        <f aca="false">IF(A152="","",IF(NOT(ISNUMBER(K152)),"ISI KAS FISIK",K152-J152))</f>
        <v/>
      </c>
      <c r="M152" s="0" t="str">
        <f aca="false">IF(A152="","",IF(NOT(ISNUMBER(L152)),"BELUM TUTUP",IF(L152=0,"Pas",IF(L152&gt;0,"Lebih","Kurang"))))</f>
        <v/>
      </c>
    </row>
    <row r="153" customFormat="false" ht="15" hidden="false" customHeight="false" outlineLevel="0" collapsed="false">
      <c r="G153" s="0" t="str">
        <f aca="false">IF(A153="","",SUMIFS('TRANSAKSI PENJUALAN'!$K$5:$K$504,'TRANSAKSI PENJUALAN'!$B$5:$B$504,B153,'TRANSAKSI PENJUALAN'!$E$5:$E$504,C153,'TRANSAKSI PENJUALAN'!$L$5:$L$504,"Tunai",'TRANSAKSI PENJUALAN'!$M$5:$M$504,"Lunas"))</f>
        <v/>
      </c>
      <c r="J153" s="0" t="str">
        <f aca="false">IF(A153="","",F153+G153+H153-I153)</f>
        <v/>
      </c>
      <c r="L153" s="0" t="str">
        <f aca="false">IF(A153="","",IF(NOT(ISNUMBER(K153)),"ISI KAS FISIK",K153-J153))</f>
        <v/>
      </c>
      <c r="M153" s="0" t="str">
        <f aca="false">IF(A153="","",IF(NOT(ISNUMBER(L153)),"BELUM TUTUP",IF(L153=0,"Pas",IF(L153&gt;0,"Lebih","Kurang"))))</f>
        <v/>
      </c>
    </row>
    <row r="154" customFormat="false" ht="15" hidden="false" customHeight="false" outlineLevel="0" collapsed="false">
      <c r="G154" s="0" t="str">
        <f aca="false">IF(A154="","",SUMIFS('TRANSAKSI PENJUALAN'!$K$5:$K$504,'TRANSAKSI PENJUALAN'!$B$5:$B$504,B154,'TRANSAKSI PENJUALAN'!$E$5:$E$504,C154,'TRANSAKSI PENJUALAN'!$L$5:$L$504,"Tunai",'TRANSAKSI PENJUALAN'!$M$5:$M$504,"Lunas"))</f>
        <v/>
      </c>
      <c r="J154" s="0" t="str">
        <f aca="false">IF(A154="","",F154+G154+H154-I154)</f>
        <v/>
      </c>
      <c r="L154" s="0" t="str">
        <f aca="false">IF(A154="","",IF(NOT(ISNUMBER(K154)),"ISI KAS FISIK",K154-J154))</f>
        <v/>
      </c>
      <c r="M154" s="0" t="str">
        <f aca="false">IF(A154="","",IF(NOT(ISNUMBER(L154)),"BELUM TUTUP",IF(L154=0,"Pas",IF(L154&gt;0,"Lebih","Kurang"))))</f>
        <v/>
      </c>
    </row>
    <row r="155" customFormat="false" ht="15" hidden="false" customHeight="false" outlineLevel="0" collapsed="false">
      <c r="G155" s="0" t="str">
        <f aca="false">IF(A155="","",SUMIFS('TRANSAKSI PENJUALAN'!$K$5:$K$504,'TRANSAKSI PENJUALAN'!$B$5:$B$504,B155,'TRANSAKSI PENJUALAN'!$E$5:$E$504,C155,'TRANSAKSI PENJUALAN'!$L$5:$L$504,"Tunai",'TRANSAKSI PENJUALAN'!$M$5:$M$504,"Lunas"))</f>
        <v/>
      </c>
      <c r="J155" s="0" t="str">
        <f aca="false">IF(A155="","",F155+G155+H155-I155)</f>
        <v/>
      </c>
      <c r="L155" s="0" t="str">
        <f aca="false">IF(A155="","",IF(NOT(ISNUMBER(K155)),"ISI KAS FISIK",K155-J155))</f>
        <v/>
      </c>
      <c r="M155" s="0" t="str">
        <f aca="false">IF(A155="","",IF(NOT(ISNUMBER(L155)),"BELUM TUTUP",IF(L155=0,"Pas",IF(L155&gt;0,"Lebih","Kurang"))))</f>
        <v/>
      </c>
    </row>
    <row r="156" customFormat="false" ht="15" hidden="false" customHeight="false" outlineLevel="0" collapsed="false">
      <c r="G156" s="0" t="str">
        <f aca="false">IF(A156="","",SUMIFS('TRANSAKSI PENJUALAN'!$K$5:$K$504,'TRANSAKSI PENJUALAN'!$B$5:$B$504,B156,'TRANSAKSI PENJUALAN'!$E$5:$E$504,C156,'TRANSAKSI PENJUALAN'!$L$5:$L$504,"Tunai",'TRANSAKSI PENJUALAN'!$M$5:$M$504,"Lunas"))</f>
        <v/>
      </c>
      <c r="J156" s="0" t="str">
        <f aca="false">IF(A156="","",F156+G156+H156-I156)</f>
        <v/>
      </c>
      <c r="L156" s="0" t="str">
        <f aca="false">IF(A156="","",IF(NOT(ISNUMBER(K156)),"ISI KAS FISIK",K156-J156))</f>
        <v/>
      </c>
      <c r="M156" s="0" t="str">
        <f aca="false">IF(A156="","",IF(NOT(ISNUMBER(L156)),"BELUM TUTUP",IF(L156=0,"Pas",IF(L156&gt;0,"Lebih","Kurang"))))</f>
        <v/>
      </c>
    </row>
    <row r="157" customFormat="false" ht="15" hidden="false" customHeight="false" outlineLevel="0" collapsed="false">
      <c r="G157" s="0" t="str">
        <f aca="false">IF(A157="","",SUMIFS('TRANSAKSI PENJUALAN'!$K$5:$K$504,'TRANSAKSI PENJUALAN'!$B$5:$B$504,B157,'TRANSAKSI PENJUALAN'!$E$5:$E$504,C157,'TRANSAKSI PENJUALAN'!$L$5:$L$504,"Tunai",'TRANSAKSI PENJUALAN'!$M$5:$M$504,"Lunas"))</f>
        <v/>
      </c>
      <c r="J157" s="0" t="str">
        <f aca="false">IF(A157="","",F157+G157+H157-I157)</f>
        <v/>
      </c>
      <c r="L157" s="0" t="str">
        <f aca="false">IF(A157="","",IF(NOT(ISNUMBER(K157)),"ISI KAS FISIK",K157-J157))</f>
        <v/>
      </c>
      <c r="M157" s="0" t="str">
        <f aca="false">IF(A157="","",IF(NOT(ISNUMBER(L157)),"BELUM TUTUP",IF(L157=0,"Pas",IF(L157&gt;0,"Lebih","Kurang"))))</f>
        <v/>
      </c>
    </row>
    <row r="158" customFormat="false" ht="15" hidden="false" customHeight="false" outlineLevel="0" collapsed="false">
      <c r="G158" s="0" t="str">
        <f aca="false">IF(A158="","",SUMIFS('TRANSAKSI PENJUALAN'!$K$5:$K$504,'TRANSAKSI PENJUALAN'!$B$5:$B$504,B158,'TRANSAKSI PENJUALAN'!$E$5:$E$504,C158,'TRANSAKSI PENJUALAN'!$L$5:$L$504,"Tunai",'TRANSAKSI PENJUALAN'!$M$5:$M$504,"Lunas"))</f>
        <v/>
      </c>
      <c r="J158" s="0" t="str">
        <f aca="false">IF(A158="","",F158+G158+H158-I158)</f>
        <v/>
      </c>
      <c r="L158" s="0" t="str">
        <f aca="false">IF(A158="","",IF(NOT(ISNUMBER(K158)),"ISI KAS FISIK",K158-J158))</f>
        <v/>
      </c>
      <c r="M158" s="0" t="str">
        <f aca="false">IF(A158="","",IF(NOT(ISNUMBER(L158)),"BELUM TUTUP",IF(L158=0,"Pas",IF(L158&gt;0,"Lebih","Kurang"))))</f>
        <v/>
      </c>
    </row>
    <row r="159" customFormat="false" ht="15" hidden="false" customHeight="false" outlineLevel="0" collapsed="false">
      <c r="G159" s="0" t="str">
        <f aca="false">IF(A159="","",SUMIFS('TRANSAKSI PENJUALAN'!$K$5:$K$504,'TRANSAKSI PENJUALAN'!$B$5:$B$504,B159,'TRANSAKSI PENJUALAN'!$E$5:$E$504,C159,'TRANSAKSI PENJUALAN'!$L$5:$L$504,"Tunai",'TRANSAKSI PENJUALAN'!$M$5:$M$504,"Lunas"))</f>
        <v/>
      </c>
      <c r="J159" s="0" t="str">
        <f aca="false">IF(A159="","",F159+G159+H159-I159)</f>
        <v/>
      </c>
      <c r="L159" s="0" t="str">
        <f aca="false">IF(A159="","",IF(NOT(ISNUMBER(K159)),"ISI KAS FISIK",K159-J159))</f>
        <v/>
      </c>
      <c r="M159" s="0" t="str">
        <f aca="false">IF(A159="","",IF(NOT(ISNUMBER(L159)),"BELUM TUTUP",IF(L159=0,"Pas",IF(L159&gt;0,"Lebih","Kurang"))))</f>
        <v/>
      </c>
    </row>
    <row r="160" customFormat="false" ht="15" hidden="false" customHeight="false" outlineLevel="0" collapsed="false">
      <c r="G160" s="0" t="str">
        <f aca="false">IF(A160="","",SUMIFS('TRANSAKSI PENJUALAN'!$K$5:$K$504,'TRANSAKSI PENJUALAN'!$B$5:$B$504,B160,'TRANSAKSI PENJUALAN'!$E$5:$E$504,C160,'TRANSAKSI PENJUALAN'!$L$5:$L$504,"Tunai",'TRANSAKSI PENJUALAN'!$M$5:$M$504,"Lunas"))</f>
        <v/>
      </c>
      <c r="J160" s="0" t="str">
        <f aca="false">IF(A160="","",F160+G160+H160-I160)</f>
        <v/>
      </c>
      <c r="L160" s="0" t="str">
        <f aca="false">IF(A160="","",IF(NOT(ISNUMBER(K160)),"ISI KAS FISIK",K160-J160))</f>
        <v/>
      </c>
      <c r="M160" s="0" t="str">
        <f aca="false">IF(A160="","",IF(NOT(ISNUMBER(L160)),"BELUM TUTUP",IF(L160=0,"Pas",IF(L160&gt;0,"Lebih","Kurang"))))</f>
        <v/>
      </c>
    </row>
    <row r="161" customFormat="false" ht="15" hidden="false" customHeight="false" outlineLevel="0" collapsed="false">
      <c r="G161" s="0" t="str">
        <f aca="false">IF(A161="","",SUMIFS('TRANSAKSI PENJUALAN'!$K$5:$K$504,'TRANSAKSI PENJUALAN'!$B$5:$B$504,B161,'TRANSAKSI PENJUALAN'!$E$5:$E$504,C161,'TRANSAKSI PENJUALAN'!$L$5:$L$504,"Tunai",'TRANSAKSI PENJUALAN'!$M$5:$M$504,"Lunas"))</f>
        <v/>
      </c>
      <c r="J161" s="0" t="str">
        <f aca="false">IF(A161="","",F161+G161+H161-I161)</f>
        <v/>
      </c>
      <c r="L161" s="0" t="str">
        <f aca="false">IF(A161="","",IF(NOT(ISNUMBER(K161)),"ISI KAS FISIK",K161-J161))</f>
        <v/>
      </c>
      <c r="M161" s="0" t="str">
        <f aca="false">IF(A161="","",IF(NOT(ISNUMBER(L161)),"BELUM TUTUP",IF(L161=0,"Pas",IF(L161&gt;0,"Lebih","Kurang"))))</f>
        <v/>
      </c>
    </row>
    <row r="162" customFormat="false" ht="15" hidden="false" customHeight="false" outlineLevel="0" collapsed="false">
      <c r="G162" s="0" t="str">
        <f aca="false">IF(A162="","",SUMIFS('TRANSAKSI PENJUALAN'!$K$5:$K$504,'TRANSAKSI PENJUALAN'!$B$5:$B$504,B162,'TRANSAKSI PENJUALAN'!$E$5:$E$504,C162,'TRANSAKSI PENJUALAN'!$L$5:$L$504,"Tunai",'TRANSAKSI PENJUALAN'!$M$5:$M$504,"Lunas"))</f>
        <v/>
      </c>
      <c r="J162" s="0" t="str">
        <f aca="false">IF(A162="","",F162+G162+H162-I162)</f>
        <v/>
      </c>
      <c r="L162" s="0" t="str">
        <f aca="false">IF(A162="","",IF(NOT(ISNUMBER(K162)),"ISI KAS FISIK",K162-J162))</f>
        <v/>
      </c>
      <c r="M162" s="0" t="str">
        <f aca="false">IF(A162="","",IF(NOT(ISNUMBER(L162)),"BELUM TUTUP",IF(L162=0,"Pas",IF(L162&gt;0,"Lebih","Kurang"))))</f>
        <v/>
      </c>
    </row>
    <row r="163" customFormat="false" ht="15" hidden="false" customHeight="false" outlineLevel="0" collapsed="false">
      <c r="G163" s="0" t="str">
        <f aca="false">IF(A163="","",SUMIFS('TRANSAKSI PENJUALAN'!$K$5:$K$504,'TRANSAKSI PENJUALAN'!$B$5:$B$504,B163,'TRANSAKSI PENJUALAN'!$E$5:$E$504,C163,'TRANSAKSI PENJUALAN'!$L$5:$L$504,"Tunai",'TRANSAKSI PENJUALAN'!$M$5:$M$504,"Lunas"))</f>
        <v/>
      </c>
      <c r="J163" s="0" t="str">
        <f aca="false">IF(A163="","",F163+G163+H163-I163)</f>
        <v/>
      </c>
      <c r="L163" s="0" t="str">
        <f aca="false">IF(A163="","",IF(NOT(ISNUMBER(K163)),"ISI KAS FISIK",K163-J163))</f>
        <v/>
      </c>
      <c r="M163" s="0" t="str">
        <f aca="false">IF(A163="","",IF(NOT(ISNUMBER(L163)),"BELUM TUTUP",IF(L163=0,"Pas",IF(L163&gt;0,"Lebih","Kurang"))))</f>
        <v/>
      </c>
    </row>
    <row r="164" customFormat="false" ht="15" hidden="false" customHeight="false" outlineLevel="0" collapsed="false">
      <c r="G164" s="0" t="str">
        <f aca="false">IF(A164="","",SUMIFS('TRANSAKSI PENJUALAN'!$K$5:$K$504,'TRANSAKSI PENJUALAN'!$B$5:$B$504,B164,'TRANSAKSI PENJUALAN'!$E$5:$E$504,C164,'TRANSAKSI PENJUALAN'!$L$5:$L$504,"Tunai",'TRANSAKSI PENJUALAN'!$M$5:$M$504,"Lunas"))</f>
        <v/>
      </c>
      <c r="J164" s="0" t="str">
        <f aca="false">IF(A164="","",F164+G164+H164-I164)</f>
        <v/>
      </c>
      <c r="L164" s="0" t="str">
        <f aca="false">IF(A164="","",IF(NOT(ISNUMBER(K164)),"ISI KAS FISIK",K164-J164))</f>
        <v/>
      </c>
      <c r="M164" s="0" t="str">
        <f aca="false">IF(A164="","",IF(NOT(ISNUMBER(L164)),"BELUM TUTUP",IF(L164=0,"Pas",IF(L164&gt;0,"Lebih","Kurang"))))</f>
        <v/>
      </c>
    </row>
    <row r="165" customFormat="false" ht="15" hidden="false" customHeight="false" outlineLevel="0" collapsed="false">
      <c r="G165" s="0" t="str">
        <f aca="false">IF(A165="","",SUMIFS('TRANSAKSI PENJUALAN'!$K$5:$K$504,'TRANSAKSI PENJUALAN'!$B$5:$B$504,B165,'TRANSAKSI PENJUALAN'!$E$5:$E$504,C165,'TRANSAKSI PENJUALAN'!$L$5:$L$504,"Tunai",'TRANSAKSI PENJUALAN'!$M$5:$M$504,"Lunas"))</f>
        <v/>
      </c>
      <c r="J165" s="0" t="str">
        <f aca="false">IF(A165="","",F165+G165+H165-I165)</f>
        <v/>
      </c>
      <c r="L165" s="0" t="str">
        <f aca="false">IF(A165="","",IF(NOT(ISNUMBER(K165)),"ISI KAS FISIK",K165-J165))</f>
        <v/>
      </c>
      <c r="M165" s="0" t="str">
        <f aca="false">IF(A165="","",IF(NOT(ISNUMBER(L165)),"BELUM TUTUP",IF(L165=0,"Pas",IF(L165&gt;0,"Lebih","Kurang"))))</f>
        <v/>
      </c>
    </row>
    <row r="166" customFormat="false" ht="15" hidden="false" customHeight="false" outlineLevel="0" collapsed="false">
      <c r="G166" s="0" t="str">
        <f aca="false">IF(A166="","",SUMIFS('TRANSAKSI PENJUALAN'!$K$5:$K$504,'TRANSAKSI PENJUALAN'!$B$5:$B$504,B166,'TRANSAKSI PENJUALAN'!$E$5:$E$504,C166,'TRANSAKSI PENJUALAN'!$L$5:$L$504,"Tunai",'TRANSAKSI PENJUALAN'!$M$5:$M$504,"Lunas"))</f>
        <v/>
      </c>
      <c r="J166" s="0" t="str">
        <f aca="false">IF(A166="","",F166+G166+H166-I166)</f>
        <v/>
      </c>
      <c r="L166" s="0" t="str">
        <f aca="false">IF(A166="","",IF(NOT(ISNUMBER(K166)),"ISI KAS FISIK",K166-J166))</f>
        <v/>
      </c>
      <c r="M166" s="0" t="str">
        <f aca="false">IF(A166="","",IF(NOT(ISNUMBER(L166)),"BELUM TUTUP",IF(L166=0,"Pas",IF(L166&gt;0,"Lebih","Kurang"))))</f>
        <v/>
      </c>
    </row>
    <row r="167" customFormat="false" ht="15" hidden="false" customHeight="false" outlineLevel="0" collapsed="false">
      <c r="G167" s="0" t="str">
        <f aca="false">IF(A167="","",SUMIFS('TRANSAKSI PENJUALAN'!$K$5:$K$504,'TRANSAKSI PENJUALAN'!$B$5:$B$504,B167,'TRANSAKSI PENJUALAN'!$E$5:$E$504,C167,'TRANSAKSI PENJUALAN'!$L$5:$L$504,"Tunai",'TRANSAKSI PENJUALAN'!$M$5:$M$504,"Lunas"))</f>
        <v/>
      </c>
      <c r="J167" s="0" t="str">
        <f aca="false">IF(A167="","",F167+G167+H167-I167)</f>
        <v/>
      </c>
      <c r="L167" s="0" t="str">
        <f aca="false">IF(A167="","",IF(NOT(ISNUMBER(K167)),"ISI KAS FISIK",K167-J167))</f>
        <v/>
      </c>
      <c r="M167" s="0" t="str">
        <f aca="false">IF(A167="","",IF(NOT(ISNUMBER(L167)),"BELUM TUTUP",IF(L167=0,"Pas",IF(L167&gt;0,"Lebih","Kurang"))))</f>
        <v/>
      </c>
    </row>
    <row r="168" customFormat="false" ht="15" hidden="false" customHeight="false" outlineLevel="0" collapsed="false">
      <c r="G168" s="0" t="str">
        <f aca="false">IF(A168="","",SUMIFS('TRANSAKSI PENJUALAN'!$K$5:$K$504,'TRANSAKSI PENJUALAN'!$B$5:$B$504,B168,'TRANSAKSI PENJUALAN'!$E$5:$E$504,C168,'TRANSAKSI PENJUALAN'!$L$5:$L$504,"Tunai",'TRANSAKSI PENJUALAN'!$M$5:$M$504,"Lunas"))</f>
        <v/>
      </c>
      <c r="J168" s="0" t="str">
        <f aca="false">IF(A168="","",F168+G168+H168-I168)</f>
        <v/>
      </c>
      <c r="L168" s="0" t="str">
        <f aca="false">IF(A168="","",IF(NOT(ISNUMBER(K168)),"ISI KAS FISIK",K168-J168))</f>
        <v/>
      </c>
      <c r="M168" s="0" t="str">
        <f aca="false">IF(A168="","",IF(NOT(ISNUMBER(L168)),"BELUM TUTUP",IF(L168=0,"Pas",IF(L168&gt;0,"Lebih","Kurang"))))</f>
        <v/>
      </c>
    </row>
    <row r="169" customFormat="false" ht="15" hidden="false" customHeight="false" outlineLevel="0" collapsed="false">
      <c r="G169" s="0" t="str">
        <f aca="false">IF(A169="","",SUMIFS('TRANSAKSI PENJUALAN'!$K$5:$K$504,'TRANSAKSI PENJUALAN'!$B$5:$B$504,B169,'TRANSAKSI PENJUALAN'!$E$5:$E$504,C169,'TRANSAKSI PENJUALAN'!$L$5:$L$504,"Tunai",'TRANSAKSI PENJUALAN'!$M$5:$M$504,"Lunas"))</f>
        <v/>
      </c>
      <c r="J169" s="0" t="str">
        <f aca="false">IF(A169="","",F169+G169+H169-I169)</f>
        <v/>
      </c>
      <c r="L169" s="0" t="str">
        <f aca="false">IF(A169="","",IF(NOT(ISNUMBER(K169)),"ISI KAS FISIK",K169-J169))</f>
        <v/>
      </c>
      <c r="M169" s="0" t="str">
        <f aca="false">IF(A169="","",IF(NOT(ISNUMBER(L169)),"BELUM TUTUP",IF(L169=0,"Pas",IF(L169&gt;0,"Lebih","Kurang"))))</f>
        <v/>
      </c>
    </row>
    <row r="170" customFormat="false" ht="15" hidden="false" customHeight="false" outlineLevel="0" collapsed="false">
      <c r="G170" s="0" t="str">
        <f aca="false">IF(A170="","",SUMIFS('TRANSAKSI PENJUALAN'!$K$5:$K$504,'TRANSAKSI PENJUALAN'!$B$5:$B$504,B170,'TRANSAKSI PENJUALAN'!$E$5:$E$504,C170,'TRANSAKSI PENJUALAN'!$L$5:$L$504,"Tunai",'TRANSAKSI PENJUALAN'!$M$5:$M$504,"Lunas"))</f>
        <v/>
      </c>
      <c r="J170" s="0" t="str">
        <f aca="false">IF(A170="","",F170+G170+H170-I170)</f>
        <v/>
      </c>
      <c r="L170" s="0" t="str">
        <f aca="false">IF(A170="","",IF(NOT(ISNUMBER(K170)),"ISI KAS FISIK",K170-J170))</f>
        <v/>
      </c>
      <c r="M170" s="0" t="str">
        <f aca="false">IF(A170="","",IF(NOT(ISNUMBER(L170)),"BELUM TUTUP",IF(L170=0,"Pas",IF(L170&gt;0,"Lebih","Kurang"))))</f>
        <v/>
      </c>
    </row>
    <row r="171" customFormat="false" ht="15" hidden="false" customHeight="false" outlineLevel="0" collapsed="false">
      <c r="G171" s="0" t="str">
        <f aca="false">IF(A171="","",SUMIFS('TRANSAKSI PENJUALAN'!$K$5:$K$504,'TRANSAKSI PENJUALAN'!$B$5:$B$504,B171,'TRANSAKSI PENJUALAN'!$E$5:$E$504,C171,'TRANSAKSI PENJUALAN'!$L$5:$L$504,"Tunai",'TRANSAKSI PENJUALAN'!$M$5:$M$504,"Lunas"))</f>
        <v/>
      </c>
      <c r="J171" s="0" t="str">
        <f aca="false">IF(A171="","",F171+G171+H171-I171)</f>
        <v/>
      </c>
      <c r="L171" s="0" t="str">
        <f aca="false">IF(A171="","",IF(NOT(ISNUMBER(K171)),"ISI KAS FISIK",K171-J171))</f>
        <v/>
      </c>
      <c r="M171" s="0" t="str">
        <f aca="false">IF(A171="","",IF(NOT(ISNUMBER(L171)),"BELUM TUTUP",IF(L171=0,"Pas",IF(L171&gt;0,"Lebih","Kurang"))))</f>
        <v/>
      </c>
    </row>
    <row r="172" customFormat="false" ht="15" hidden="false" customHeight="false" outlineLevel="0" collapsed="false">
      <c r="G172" s="0" t="str">
        <f aca="false">IF(A172="","",SUMIFS('TRANSAKSI PENJUALAN'!$K$5:$K$504,'TRANSAKSI PENJUALAN'!$B$5:$B$504,B172,'TRANSAKSI PENJUALAN'!$E$5:$E$504,C172,'TRANSAKSI PENJUALAN'!$L$5:$L$504,"Tunai",'TRANSAKSI PENJUALAN'!$M$5:$M$504,"Lunas"))</f>
        <v/>
      </c>
      <c r="J172" s="0" t="str">
        <f aca="false">IF(A172="","",F172+G172+H172-I172)</f>
        <v/>
      </c>
      <c r="L172" s="0" t="str">
        <f aca="false">IF(A172="","",IF(NOT(ISNUMBER(K172)),"ISI KAS FISIK",K172-J172))</f>
        <v/>
      </c>
      <c r="M172" s="0" t="str">
        <f aca="false">IF(A172="","",IF(NOT(ISNUMBER(L172)),"BELUM TUTUP",IF(L172=0,"Pas",IF(L172&gt;0,"Lebih","Kurang"))))</f>
        <v/>
      </c>
    </row>
    <row r="173" customFormat="false" ht="15" hidden="false" customHeight="false" outlineLevel="0" collapsed="false">
      <c r="G173" s="0" t="str">
        <f aca="false">IF(A173="","",SUMIFS('TRANSAKSI PENJUALAN'!$K$5:$K$504,'TRANSAKSI PENJUALAN'!$B$5:$B$504,B173,'TRANSAKSI PENJUALAN'!$E$5:$E$504,C173,'TRANSAKSI PENJUALAN'!$L$5:$L$504,"Tunai",'TRANSAKSI PENJUALAN'!$M$5:$M$504,"Lunas"))</f>
        <v/>
      </c>
      <c r="J173" s="0" t="str">
        <f aca="false">IF(A173="","",F173+G173+H173-I173)</f>
        <v/>
      </c>
      <c r="L173" s="0" t="str">
        <f aca="false">IF(A173="","",IF(NOT(ISNUMBER(K173)),"ISI KAS FISIK",K173-J173))</f>
        <v/>
      </c>
      <c r="M173" s="0" t="str">
        <f aca="false">IF(A173="","",IF(NOT(ISNUMBER(L173)),"BELUM TUTUP",IF(L173=0,"Pas",IF(L173&gt;0,"Lebih","Kurang"))))</f>
        <v/>
      </c>
    </row>
    <row r="174" customFormat="false" ht="15" hidden="false" customHeight="false" outlineLevel="0" collapsed="false">
      <c r="G174" s="0" t="str">
        <f aca="false">IF(A174="","",SUMIFS('TRANSAKSI PENJUALAN'!$K$5:$K$504,'TRANSAKSI PENJUALAN'!$B$5:$B$504,B174,'TRANSAKSI PENJUALAN'!$E$5:$E$504,C174,'TRANSAKSI PENJUALAN'!$L$5:$L$504,"Tunai",'TRANSAKSI PENJUALAN'!$M$5:$M$504,"Lunas"))</f>
        <v/>
      </c>
      <c r="J174" s="0" t="str">
        <f aca="false">IF(A174="","",F174+G174+H174-I174)</f>
        <v/>
      </c>
      <c r="L174" s="0" t="str">
        <f aca="false">IF(A174="","",IF(NOT(ISNUMBER(K174)),"ISI KAS FISIK",K174-J174))</f>
        <v/>
      </c>
      <c r="M174" s="0" t="str">
        <f aca="false">IF(A174="","",IF(NOT(ISNUMBER(L174)),"BELUM TUTUP",IF(L174=0,"Pas",IF(L174&gt;0,"Lebih","Kurang"))))</f>
        <v/>
      </c>
    </row>
    <row r="175" customFormat="false" ht="15" hidden="false" customHeight="false" outlineLevel="0" collapsed="false">
      <c r="G175" s="0" t="str">
        <f aca="false">IF(A175="","",SUMIFS('TRANSAKSI PENJUALAN'!$K$5:$K$504,'TRANSAKSI PENJUALAN'!$B$5:$B$504,B175,'TRANSAKSI PENJUALAN'!$E$5:$E$504,C175,'TRANSAKSI PENJUALAN'!$L$5:$L$504,"Tunai",'TRANSAKSI PENJUALAN'!$M$5:$M$504,"Lunas"))</f>
        <v/>
      </c>
      <c r="J175" s="0" t="str">
        <f aca="false">IF(A175="","",F175+G175+H175-I175)</f>
        <v/>
      </c>
      <c r="L175" s="0" t="str">
        <f aca="false">IF(A175="","",IF(NOT(ISNUMBER(K175)),"ISI KAS FISIK",K175-J175))</f>
        <v/>
      </c>
      <c r="M175" s="0" t="str">
        <f aca="false">IF(A175="","",IF(NOT(ISNUMBER(L175)),"BELUM TUTUP",IF(L175=0,"Pas",IF(L175&gt;0,"Lebih","Kurang"))))</f>
        <v/>
      </c>
    </row>
    <row r="176" customFormat="false" ht="15" hidden="false" customHeight="false" outlineLevel="0" collapsed="false">
      <c r="G176" s="0" t="str">
        <f aca="false">IF(A176="","",SUMIFS('TRANSAKSI PENJUALAN'!$K$5:$K$504,'TRANSAKSI PENJUALAN'!$B$5:$B$504,B176,'TRANSAKSI PENJUALAN'!$E$5:$E$504,C176,'TRANSAKSI PENJUALAN'!$L$5:$L$504,"Tunai",'TRANSAKSI PENJUALAN'!$M$5:$M$504,"Lunas"))</f>
        <v/>
      </c>
      <c r="J176" s="0" t="str">
        <f aca="false">IF(A176="","",F176+G176+H176-I176)</f>
        <v/>
      </c>
      <c r="L176" s="0" t="str">
        <f aca="false">IF(A176="","",IF(NOT(ISNUMBER(K176)),"ISI KAS FISIK",K176-J176))</f>
        <v/>
      </c>
      <c r="M176" s="0" t="str">
        <f aca="false">IF(A176="","",IF(NOT(ISNUMBER(L176)),"BELUM TUTUP",IF(L176=0,"Pas",IF(L176&gt;0,"Lebih","Kurang"))))</f>
        <v/>
      </c>
    </row>
    <row r="177" customFormat="false" ht="15" hidden="false" customHeight="false" outlineLevel="0" collapsed="false">
      <c r="G177" s="0" t="str">
        <f aca="false">IF(A177="","",SUMIFS('TRANSAKSI PENJUALAN'!$K$5:$K$504,'TRANSAKSI PENJUALAN'!$B$5:$B$504,B177,'TRANSAKSI PENJUALAN'!$E$5:$E$504,C177,'TRANSAKSI PENJUALAN'!$L$5:$L$504,"Tunai",'TRANSAKSI PENJUALAN'!$M$5:$M$504,"Lunas"))</f>
        <v/>
      </c>
      <c r="J177" s="0" t="str">
        <f aca="false">IF(A177="","",F177+G177+H177-I177)</f>
        <v/>
      </c>
      <c r="L177" s="0" t="str">
        <f aca="false">IF(A177="","",IF(NOT(ISNUMBER(K177)),"ISI KAS FISIK",K177-J177))</f>
        <v/>
      </c>
      <c r="M177" s="0" t="str">
        <f aca="false">IF(A177="","",IF(NOT(ISNUMBER(L177)),"BELUM TUTUP",IF(L177=0,"Pas",IF(L177&gt;0,"Lebih","Kurang"))))</f>
        <v/>
      </c>
    </row>
    <row r="178" customFormat="false" ht="15" hidden="false" customHeight="false" outlineLevel="0" collapsed="false">
      <c r="G178" s="0" t="str">
        <f aca="false">IF(A178="","",SUMIFS('TRANSAKSI PENJUALAN'!$K$5:$K$504,'TRANSAKSI PENJUALAN'!$B$5:$B$504,B178,'TRANSAKSI PENJUALAN'!$E$5:$E$504,C178,'TRANSAKSI PENJUALAN'!$L$5:$L$504,"Tunai",'TRANSAKSI PENJUALAN'!$M$5:$M$504,"Lunas"))</f>
        <v/>
      </c>
      <c r="J178" s="0" t="str">
        <f aca="false">IF(A178="","",F178+G178+H178-I178)</f>
        <v/>
      </c>
      <c r="L178" s="0" t="str">
        <f aca="false">IF(A178="","",IF(NOT(ISNUMBER(K178)),"ISI KAS FISIK",K178-J178))</f>
        <v/>
      </c>
      <c r="M178" s="0" t="str">
        <f aca="false">IF(A178="","",IF(NOT(ISNUMBER(L178)),"BELUM TUTUP",IF(L178=0,"Pas",IF(L178&gt;0,"Lebih","Kurang"))))</f>
        <v/>
      </c>
    </row>
    <row r="179" customFormat="false" ht="15" hidden="false" customHeight="false" outlineLevel="0" collapsed="false">
      <c r="G179" s="0" t="str">
        <f aca="false">IF(A179="","",SUMIFS('TRANSAKSI PENJUALAN'!$K$5:$K$504,'TRANSAKSI PENJUALAN'!$B$5:$B$504,B179,'TRANSAKSI PENJUALAN'!$E$5:$E$504,C179,'TRANSAKSI PENJUALAN'!$L$5:$L$504,"Tunai",'TRANSAKSI PENJUALAN'!$M$5:$M$504,"Lunas"))</f>
        <v/>
      </c>
      <c r="J179" s="0" t="str">
        <f aca="false">IF(A179="","",F179+G179+H179-I179)</f>
        <v/>
      </c>
      <c r="L179" s="0" t="str">
        <f aca="false">IF(A179="","",IF(NOT(ISNUMBER(K179)),"ISI KAS FISIK",K179-J179))</f>
        <v/>
      </c>
      <c r="M179" s="0" t="str">
        <f aca="false">IF(A179="","",IF(NOT(ISNUMBER(L179)),"BELUM TUTUP",IF(L179=0,"Pas",IF(L179&gt;0,"Lebih","Kurang"))))</f>
        <v/>
      </c>
    </row>
    <row r="180" customFormat="false" ht="15" hidden="false" customHeight="false" outlineLevel="0" collapsed="false">
      <c r="G180" s="0" t="str">
        <f aca="false">IF(A180="","",SUMIFS('TRANSAKSI PENJUALAN'!$K$5:$K$504,'TRANSAKSI PENJUALAN'!$B$5:$B$504,B180,'TRANSAKSI PENJUALAN'!$E$5:$E$504,C180,'TRANSAKSI PENJUALAN'!$L$5:$L$504,"Tunai",'TRANSAKSI PENJUALAN'!$M$5:$M$504,"Lunas"))</f>
        <v/>
      </c>
      <c r="J180" s="0" t="str">
        <f aca="false">IF(A180="","",F180+G180+H180-I180)</f>
        <v/>
      </c>
      <c r="L180" s="0" t="str">
        <f aca="false">IF(A180="","",IF(NOT(ISNUMBER(K180)),"ISI KAS FISIK",K180-J180))</f>
        <v/>
      </c>
      <c r="M180" s="0" t="str">
        <f aca="false">IF(A180="","",IF(NOT(ISNUMBER(L180)),"BELUM TUTUP",IF(L180=0,"Pas",IF(L180&gt;0,"Lebih","Kurang"))))</f>
        <v/>
      </c>
    </row>
    <row r="181" customFormat="false" ht="15" hidden="false" customHeight="false" outlineLevel="0" collapsed="false">
      <c r="G181" s="0" t="str">
        <f aca="false">IF(A181="","",SUMIFS('TRANSAKSI PENJUALAN'!$K$5:$K$504,'TRANSAKSI PENJUALAN'!$B$5:$B$504,B181,'TRANSAKSI PENJUALAN'!$E$5:$E$504,C181,'TRANSAKSI PENJUALAN'!$L$5:$L$504,"Tunai",'TRANSAKSI PENJUALAN'!$M$5:$M$504,"Lunas"))</f>
        <v/>
      </c>
      <c r="J181" s="0" t="str">
        <f aca="false">IF(A181="","",F181+G181+H181-I181)</f>
        <v/>
      </c>
      <c r="L181" s="0" t="str">
        <f aca="false">IF(A181="","",IF(NOT(ISNUMBER(K181)),"ISI KAS FISIK",K181-J181))</f>
        <v/>
      </c>
      <c r="M181" s="0" t="str">
        <f aca="false">IF(A181="","",IF(NOT(ISNUMBER(L181)),"BELUM TUTUP",IF(L181=0,"Pas",IF(L181&gt;0,"Lebih","Kurang"))))</f>
        <v/>
      </c>
    </row>
    <row r="182" customFormat="false" ht="15" hidden="false" customHeight="false" outlineLevel="0" collapsed="false">
      <c r="G182" s="0" t="str">
        <f aca="false">IF(A182="","",SUMIFS('TRANSAKSI PENJUALAN'!$K$5:$K$504,'TRANSAKSI PENJUALAN'!$B$5:$B$504,B182,'TRANSAKSI PENJUALAN'!$E$5:$E$504,C182,'TRANSAKSI PENJUALAN'!$L$5:$L$504,"Tunai",'TRANSAKSI PENJUALAN'!$M$5:$M$504,"Lunas"))</f>
        <v/>
      </c>
      <c r="J182" s="0" t="str">
        <f aca="false">IF(A182="","",F182+G182+H182-I182)</f>
        <v/>
      </c>
      <c r="L182" s="0" t="str">
        <f aca="false">IF(A182="","",IF(NOT(ISNUMBER(K182)),"ISI KAS FISIK",K182-J182))</f>
        <v/>
      </c>
      <c r="M182" s="0" t="str">
        <f aca="false">IF(A182="","",IF(NOT(ISNUMBER(L182)),"BELUM TUTUP",IF(L182=0,"Pas",IF(L182&gt;0,"Lebih","Kurang"))))</f>
        <v/>
      </c>
    </row>
    <row r="183" customFormat="false" ht="15" hidden="false" customHeight="false" outlineLevel="0" collapsed="false">
      <c r="G183" s="0" t="str">
        <f aca="false">IF(A183="","",SUMIFS('TRANSAKSI PENJUALAN'!$K$5:$K$504,'TRANSAKSI PENJUALAN'!$B$5:$B$504,B183,'TRANSAKSI PENJUALAN'!$E$5:$E$504,C183,'TRANSAKSI PENJUALAN'!$L$5:$L$504,"Tunai",'TRANSAKSI PENJUALAN'!$M$5:$M$504,"Lunas"))</f>
        <v/>
      </c>
      <c r="J183" s="0" t="str">
        <f aca="false">IF(A183="","",F183+G183+H183-I183)</f>
        <v/>
      </c>
      <c r="L183" s="0" t="str">
        <f aca="false">IF(A183="","",IF(NOT(ISNUMBER(K183)),"ISI KAS FISIK",K183-J183))</f>
        <v/>
      </c>
      <c r="M183" s="0" t="str">
        <f aca="false">IF(A183="","",IF(NOT(ISNUMBER(L183)),"BELUM TUTUP",IF(L183=0,"Pas",IF(L183&gt;0,"Lebih","Kurang"))))</f>
        <v/>
      </c>
    </row>
    <row r="184" customFormat="false" ht="15" hidden="false" customHeight="false" outlineLevel="0" collapsed="false">
      <c r="G184" s="0" t="str">
        <f aca="false">IF(A184="","",SUMIFS('TRANSAKSI PENJUALAN'!$K$5:$K$504,'TRANSAKSI PENJUALAN'!$B$5:$B$504,B184,'TRANSAKSI PENJUALAN'!$E$5:$E$504,C184,'TRANSAKSI PENJUALAN'!$L$5:$L$504,"Tunai",'TRANSAKSI PENJUALAN'!$M$5:$M$504,"Lunas"))</f>
        <v/>
      </c>
      <c r="J184" s="0" t="str">
        <f aca="false">IF(A184="","",F184+G184+H184-I184)</f>
        <v/>
      </c>
      <c r="L184" s="0" t="str">
        <f aca="false">IF(A184="","",IF(NOT(ISNUMBER(K184)),"ISI KAS FISIK",K184-J184))</f>
        <v/>
      </c>
      <c r="M184" s="0" t="str">
        <f aca="false">IF(A184="","",IF(NOT(ISNUMBER(L184)),"BELUM TUTUP",IF(L184=0,"Pas",IF(L184&gt;0,"Lebih","Kurang"))))</f>
        <v/>
      </c>
    </row>
    <row r="185" customFormat="false" ht="15" hidden="false" customHeight="false" outlineLevel="0" collapsed="false">
      <c r="G185" s="0" t="str">
        <f aca="false">IF(A185="","",SUMIFS('TRANSAKSI PENJUALAN'!$K$5:$K$504,'TRANSAKSI PENJUALAN'!$B$5:$B$504,B185,'TRANSAKSI PENJUALAN'!$E$5:$E$504,C185,'TRANSAKSI PENJUALAN'!$L$5:$L$504,"Tunai",'TRANSAKSI PENJUALAN'!$M$5:$M$504,"Lunas"))</f>
        <v/>
      </c>
      <c r="J185" s="0" t="str">
        <f aca="false">IF(A185="","",F185+G185+H185-I185)</f>
        <v/>
      </c>
      <c r="L185" s="0" t="str">
        <f aca="false">IF(A185="","",IF(NOT(ISNUMBER(K185)),"ISI KAS FISIK",K185-J185))</f>
        <v/>
      </c>
      <c r="M185" s="0" t="str">
        <f aca="false">IF(A185="","",IF(NOT(ISNUMBER(L185)),"BELUM TUTUP",IF(L185=0,"Pas",IF(L185&gt;0,"Lebih","Kurang"))))</f>
        <v/>
      </c>
    </row>
    <row r="186" customFormat="false" ht="15" hidden="false" customHeight="false" outlineLevel="0" collapsed="false">
      <c r="G186" s="0" t="str">
        <f aca="false">IF(A186="","",SUMIFS('TRANSAKSI PENJUALAN'!$K$5:$K$504,'TRANSAKSI PENJUALAN'!$B$5:$B$504,B186,'TRANSAKSI PENJUALAN'!$E$5:$E$504,C186,'TRANSAKSI PENJUALAN'!$L$5:$L$504,"Tunai",'TRANSAKSI PENJUALAN'!$M$5:$M$504,"Lunas"))</f>
        <v/>
      </c>
      <c r="J186" s="0" t="str">
        <f aca="false">IF(A186="","",F186+G186+H186-I186)</f>
        <v/>
      </c>
      <c r="L186" s="0" t="str">
        <f aca="false">IF(A186="","",IF(NOT(ISNUMBER(K186)),"ISI KAS FISIK",K186-J186))</f>
        <v/>
      </c>
      <c r="M186" s="0" t="str">
        <f aca="false">IF(A186="","",IF(NOT(ISNUMBER(L186)),"BELUM TUTUP",IF(L186=0,"Pas",IF(L186&gt;0,"Lebih","Kurang"))))</f>
        <v/>
      </c>
    </row>
    <row r="187" customFormat="false" ht="15" hidden="false" customHeight="false" outlineLevel="0" collapsed="false">
      <c r="G187" s="0" t="str">
        <f aca="false">IF(A187="","",SUMIFS('TRANSAKSI PENJUALAN'!$K$5:$K$504,'TRANSAKSI PENJUALAN'!$B$5:$B$504,B187,'TRANSAKSI PENJUALAN'!$E$5:$E$504,C187,'TRANSAKSI PENJUALAN'!$L$5:$L$504,"Tunai",'TRANSAKSI PENJUALAN'!$M$5:$M$504,"Lunas"))</f>
        <v/>
      </c>
      <c r="J187" s="0" t="str">
        <f aca="false">IF(A187="","",F187+G187+H187-I187)</f>
        <v/>
      </c>
      <c r="L187" s="0" t="str">
        <f aca="false">IF(A187="","",IF(NOT(ISNUMBER(K187)),"ISI KAS FISIK",K187-J187))</f>
        <v/>
      </c>
      <c r="M187" s="0" t="str">
        <f aca="false">IF(A187="","",IF(NOT(ISNUMBER(L187)),"BELUM TUTUP",IF(L187=0,"Pas",IF(L187&gt;0,"Lebih","Kurang"))))</f>
        <v/>
      </c>
    </row>
    <row r="188" customFormat="false" ht="15" hidden="false" customHeight="false" outlineLevel="0" collapsed="false">
      <c r="G188" s="0" t="str">
        <f aca="false">IF(A188="","",SUMIFS('TRANSAKSI PENJUALAN'!$K$5:$K$504,'TRANSAKSI PENJUALAN'!$B$5:$B$504,B188,'TRANSAKSI PENJUALAN'!$E$5:$E$504,C188,'TRANSAKSI PENJUALAN'!$L$5:$L$504,"Tunai",'TRANSAKSI PENJUALAN'!$M$5:$M$504,"Lunas"))</f>
        <v/>
      </c>
      <c r="J188" s="0" t="str">
        <f aca="false">IF(A188="","",F188+G188+H188-I188)</f>
        <v/>
      </c>
      <c r="L188" s="0" t="str">
        <f aca="false">IF(A188="","",IF(NOT(ISNUMBER(K188)),"ISI KAS FISIK",K188-J188))</f>
        <v/>
      </c>
      <c r="M188" s="0" t="str">
        <f aca="false">IF(A188="","",IF(NOT(ISNUMBER(L188)),"BELUM TUTUP",IF(L188=0,"Pas",IF(L188&gt;0,"Lebih","Kurang"))))</f>
        <v/>
      </c>
    </row>
    <row r="189" customFormat="false" ht="15" hidden="false" customHeight="false" outlineLevel="0" collapsed="false">
      <c r="G189" s="0" t="str">
        <f aca="false">IF(A189="","",SUMIFS('TRANSAKSI PENJUALAN'!$K$5:$K$504,'TRANSAKSI PENJUALAN'!$B$5:$B$504,B189,'TRANSAKSI PENJUALAN'!$E$5:$E$504,C189,'TRANSAKSI PENJUALAN'!$L$5:$L$504,"Tunai",'TRANSAKSI PENJUALAN'!$M$5:$M$504,"Lunas"))</f>
        <v/>
      </c>
      <c r="J189" s="0" t="str">
        <f aca="false">IF(A189="","",F189+G189+H189-I189)</f>
        <v/>
      </c>
      <c r="L189" s="0" t="str">
        <f aca="false">IF(A189="","",IF(NOT(ISNUMBER(K189)),"ISI KAS FISIK",K189-J189))</f>
        <v/>
      </c>
      <c r="M189" s="0" t="str">
        <f aca="false">IF(A189="","",IF(NOT(ISNUMBER(L189)),"BELUM TUTUP",IF(L189=0,"Pas",IF(L189&gt;0,"Lebih","Kurang"))))</f>
        <v/>
      </c>
    </row>
    <row r="190" customFormat="false" ht="15" hidden="false" customHeight="false" outlineLevel="0" collapsed="false">
      <c r="G190" s="0" t="str">
        <f aca="false">IF(A190="","",SUMIFS('TRANSAKSI PENJUALAN'!$K$5:$K$504,'TRANSAKSI PENJUALAN'!$B$5:$B$504,B190,'TRANSAKSI PENJUALAN'!$E$5:$E$504,C190,'TRANSAKSI PENJUALAN'!$L$5:$L$504,"Tunai",'TRANSAKSI PENJUALAN'!$M$5:$M$504,"Lunas"))</f>
        <v/>
      </c>
      <c r="J190" s="0" t="str">
        <f aca="false">IF(A190="","",F190+G190+H190-I190)</f>
        <v/>
      </c>
      <c r="L190" s="0" t="str">
        <f aca="false">IF(A190="","",IF(NOT(ISNUMBER(K190)),"ISI KAS FISIK",K190-J190))</f>
        <v/>
      </c>
      <c r="M190" s="0" t="str">
        <f aca="false">IF(A190="","",IF(NOT(ISNUMBER(L190)),"BELUM TUTUP",IF(L190=0,"Pas",IF(L190&gt;0,"Lebih","Kurang"))))</f>
        <v/>
      </c>
    </row>
    <row r="191" customFormat="false" ht="15" hidden="false" customHeight="false" outlineLevel="0" collapsed="false">
      <c r="G191" s="0" t="str">
        <f aca="false">IF(A191="","",SUMIFS('TRANSAKSI PENJUALAN'!$K$5:$K$504,'TRANSAKSI PENJUALAN'!$B$5:$B$504,B191,'TRANSAKSI PENJUALAN'!$E$5:$E$504,C191,'TRANSAKSI PENJUALAN'!$L$5:$L$504,"Tunai",'TRANSAKSI PENJUALAN'!$M$5:$M$504,"Lunas"))</f>
        <v/>
      </c>
      <c r="J191" s="0" t="str">
        <f aca="false">IF(A191="","",F191+G191+H191-I191)</f>
        <v/>
      </c>
      <c r="L191" s="0" t="str">
        <f aca="false">IF(A191="","",IF(NOT(ISNUMBER(K191)),"ISI KAS FISIK",K191-J191))</f>
        <v/>
      </c>
      <c r="M191" s="0" t="str">
        <f aca="false">IF(A191="","",IF(NOT(ISNUMBER(L191)),"BELUM TUTUP",IF(L191=0,"Pas",IF(L191&gt;0,"Lebih","Kurang"))))</f>
        <v/>
      </c>
    </row>
    <row r="192" customFormat="false" ht="15" hidden="false" customHeight="false" outlineLevel="0" collapsed="false">
      <c r="G192" s="0" t="str">
        <f aca="false">IF(A192="","",SUMIFS('TRANSAKSI PENJUALAN'!$K$5:$K$504,'TRANSAKSI PENJUALAN'!$B$5:$B$504,B192,'TRANSAKSI PENJUALAN'!$E$5:$E$504,C192,'TRANSAKSI PENJUALAN'!$L$5:$L$504,"Tunai",'TRANSAKSI PENJUALAN'!$M$5:$M$504,"Lunas"))</f>
        <v/>
      </c>
      <c r="J192" s="0" t="str">
        <f aca="false">IF(A192="","",F192+G192+H192-I192)</f>
        <v/>
      </c>
      <c r="L192" s="0" t="str">
        <f aca="false">IF(A192="","",IF(NOT(ISNUMBER(K192)),"ISI KAS FISIK",K192-J192))</f>
        <v/>
      </c>
      <c r="M192" s="0" t="str">
        <f aca="false">IF(A192="","",IF(NOT(ISNUMBER(L192)),"BELUM TUTUP",IF(L192=0,"Pas",IF(L192&gt;0,"Lebih","Kurang"))))</f>
        <v/>
      </c>
    </row>
    <row r="193" customFormat="false" ht="15" hidden="false" customHeight="false" outlineLevel="0" collapsed="false">
      <c r="G193" s="0" t="str">
        <f aca="false">IF(A193="","",SUMIFS('TRANSAKSI PENJUALAN'!$K$5:$K$504,'TRANSAKSI PENJUALAN'!$B$5:$B$504,B193,'TRANSAKSI PENJUALAN'!$E$5:$E$504,C193,'TRANSAKSI PENJUALAN'!$L$5:$L$504,"Tunai",'TRANSAKSI PENJUALAN'!$M$5:$M$504,"Lunas"))</f>
        <v/>
      </c>
      <c r="J193" s="0" t="str">
        <f aca="false">IF(A193="","",F193+G193+H193-I193)</f>
        <v/>
      </c>
      <c r="L193" s="0" t="str">
        <f aca="false">IF(A193="","",IF(NOT(ISNUMBER(K193)),"ISI KAS FISIK",K193-J193))</f>
        <v/>
      </c>
      <c r="M193" s="0" t="str">
        <f aca="false">IF(A193="","",IF(NOT(ISNUMBER(L193)),"BELUM TUTUP",IF(L193=0,"Pas",IF(L193&gt;0,"Lebih","Kurang"))))</f>
        <v/>
      </c>
    </row>
    <row r="194" customFormat="false" ht="15" hidden="false" customHeight="false" outlineLevel="0" collapsed="false">
      <c r="G194" s="0" t="str">
        <f aca="false">IF(A194="","",SUMIFS('TRANSAKSI PENJUALAN'!$K$5:$K$504,'TRANSAKSI PENJUALAN'!$B$5:$B$504,B194,'TRANSAKSI PENJUALAN'!$E$5:$E$504,C194,'TRANSAKSI PENJUALAN'!$L$5:$L$504,"Tunai",'TRANSAKSI PENJUALAN'!$M$5:$M$504,"Lunas"))</f>
        <v/>
      </c>
      <c r="J194" s="0" t="str">
        <f aca="false">IF(A194="","",F194+G194+H194-I194)</f>
        <v/>
      </c>
      <c r="L194" s="0" t="str">
        <f aca="false">IF(A194="","",IF(NOT(ISNUMBER(K194)),"ISI KAS FISIK",K194-J194))</f>
        <v/>
      </c>
      <c r="M194" s="0" t="str">
        <f aca="false">IF(A194="","",IF(NOT(ISNUMBER(L194)),"BELUM TUTUP",IF(L194=0,"Pas",IF(L194&gt;0,"Lebih","Kurang"))))</f>
        <v/>
      </c>
    </row>
    <row r="195" customFormat="false" ht="15" hidden="false" customHeight="false" outlineLevel="0" collapsed="false">
      <c r="G195" s="0" t="str">
        <f aca="false">IF(A195="","",SUMIFS('TRANSAKSI PENJUALAN'!$K$5:$K$504,'TRANSAKSI PENJUALAN'!$B$5:$B$504,B195,'TRANSAKSI PENJUALAN'!$E$5:$E$504,C195,'TRANSAKSI PENJUALAN'!$L$5:$L$504,"Tunai",'TRANSAKSI PENJUALAN'!$M$5:$M$504,"Lunas"))</f>
        <v/>
      </c>
      <c r="J195" s="0" t="str">
        <f aca="false">IF(A195="","",F195+G195+H195-I195)</f>
        <v/>
      </c>
      <c r="L195" s="0" t="str">
        <f aca="false">IF(A195="","",IF(NOT(ISNUMBER(K195)),"ISI KAS FISIK",K195-J195))</f>
        <v/>
      </c>
      <c r="M195" s="0" t="str">
        <f aca="false">IF(A195="","",IF(NOT(ISNUMBER(L195)),"BELUM TUTUP",IF(L195=0,"Pas",IF(L195&gt;0,"Lebih","Kurang"))))</f>
        <v/>
      </c>
    </row>
    <row r="196" customFormat="false" ht="15" hidden="false" customHeight="false" outlineLevel="0" collapsed="false">
      <c r="G196" s="0" t="str">
        <f aca="false">IF(A196="","",SUMIFS('TRANSAKSI PENJUALAN'!$K$5:$K$504,'TRANSAKSI PENJUALAN'!$B$5:$B$504,B196,'TRANSAKSI PENJUALAN'!$E$5:$E$504,C196,'TRANSAKSI PENJUALAN'!$L$5:$L$504,"Tunai",'TRANSAKSI PENJUALAN'!$M$5:$M$504,"Lunas"))</f>
        <v/>
      </c>
      <c r="J196" s="0" t="str">
        <f aca="false">IF(A196="","",F196+G196+H196-I196)</f>
        <v/>
      </c>
      <c r="L196" s="0" t="str">
        <f aca="false">IF(A196="","",IF(NOT(ISNUMBER(K196)),"ISI KAS FISIK",K196-J196))</f>
        <v/>
      </c>
      <c r="M196" s="0" t="str">
        <f aca="false">IF(A196="","",IF(NOT(ISNUMBER(L196)),"BELUM TUTUP",IF(L196=0,"Pas",IF(L196&gt;0,"Lebih","Kurang"))))</f>
        <v/>
      </c>
    </row>
    <row r="197" customFormat="false" ht="15" hidden="false" customHeight="false" outlineLevel="0" collapsed="false">
      <c r="G197" s="0" t="str">
        <f aca="false">IF(A197="","",SUMIFS('TRANSAKSI PENJUALAN'!$K$5:$K$504,'TRANSAKSI PENJUALAN'!$B$5:$B$504,B197,'TRANSAKSI PENJUALAN'!$E$5:$E$504,C197,'TRANSAKSI PENJUALAN'!$L$5:$L$504,"Tunai",'TRANSAKSI PENJUALAN'!$M$5:$M$504,"Lunas"))</f>
        <v/>
      </c>
      <c r="J197" s="0" t="str">
        <f aca="false">IF(A197="","",F197+G197+H197-I197)</f>
        <v/>
      </c>
      <c r="L197" s="0" t="str">
        <f aca="false">IF(A197="","",IF(NOT(ISNUMBER(K197)),"ISI KAS FISIK",K197-J197))</f>
        <v/>
      </c>
      <c r="M197" s="0" t="str">
        <f aca="false">IF(A197="","",IF(NOT(ISNUMBER(L197)),"BELUM TUTUP",IF(L197=0,"Pas",IF(L197&gt;0,"Lebih","Kurang"))))</f>
        <v/>
      </c>
    </row>
    <row r="198" customFormat="false" ht="15" hidden="false" customHeight="false" outlineLevel="0" collapsed="false">
      <c r="G198" s="0" t="str">
        <f aca="false">IF(A198="","",SUMIFS('TRANSAKSI PENJUALAN'!$K$5:$K$504,'TRANSAKSI PENJUALAN'!$B$5:$B$504,B198,'TRANSAKSI PENJUALAN'!$E$5:$E$504,C198,'TRANSAKSI PENJUALAN'!$L$5:$L$504,"Tunai",'TRANSAKSI PENJUALAN'!$M$5:$M$504,"Lunas"))</f>
        <v/>
      </c>
      <c r="J198" s="0" t="str">
        <f aca="false">IF(A198="","",F198+G198+H198-I198)</f>
        <v/>
      </c>
      <c r="L198" s="0" t="str">
        <f aca="false">IF(A198="","",IF(NOT(ISNUMBER(K198)),"ISI KAS FISIK",K198-J198))</f>
        <v/>
      </c>
      <c r="M198" s="0" t="str">
        <f aca="false">IF(A198="","",IF(NOT(ISNUMBER(L198)),"BELUM TUTUP",IF(L198=0,"Pas",IF(L198&gt;0,"Lebih","Kurang"))))</f>
        <v/>
      </c>
    </row>
    <row r="199" customFormat="false" ht="15" hidden="false" customHeight="false" outlineLevel="0" collapsed="false">
      <c r="G199" s="0" t="str">
        <f aca="false">IF(A199="","",SUMIFS('TRANSAKSI PENJUALAN'!$K$5:$K$504,'TRANSAKSI PENJUALAN'!$B$5:$B$504,B199,'TRANSAKSI PENJUALAN'!$E$5:$E$504,C199,'TRANSAKSI PENJUALAN'!$L$5:$L$504,"Tunai",'TRANSAKSI PENJUALAN'!$M$5:$M$504,"Lunas"))</f>
        <v/>
      </c>
      <c r="J199" s="0" t="str">
        <f aca="false">IF(A199="","",F199+G199+H199-I199)</f>
        <v/>
      </c>
      <c r="L199" s="0" t="str">
        <f aca="false">IF(A199="","",IF(NOT(ISNUMBER(K199)),"ISI KAS FISIK",K199-J199))</f>
        <v/>
      </c>
      <c r="M199" s="0" t="str">
        <f aca="false">IF(A199="","",IF(NOT(ISNUMBER(L199)),"BELUM TUTUP",IF(L199=0,"Pas",IF(L199&gt;0,"Lebih","Kurang"))))</f>
        <v/>
      </c>
    </row>
    <row r="200" customFormat="false" ht="15" hidden="false" customHeight="false" outlineLevel="0" collapsed="false">
      <c r="G200" s="0" t="str">
        <f aca="false">IF(A200="","",SUMIFS('TRANSAKSI PENJUALAN'!$K$5:$K$504,'TRANSAKSI PENJUALAN'!$B$5:$B$504,B200,'TRANSAKSI PENJUALAN'!$E$5:$E$504,C200,'TRANSAKSI PENJUALAN'!$L$5:$L$504,"Tunai",'TRANSAKSI PENJUALAN'!$M$5:$M$504,"Lunas"))</f>
        <v/>
      </c>
      <c r="J200" s="0" t="str">
        <f aca="false">IF(A200="","",F200+G200+H200-I200)</f>
        <v/>
      </c>
      <c r="L200" s="0" t="str">
        <f aca="false">IF(A200="","",IF(NOT(ISNUMBER(K200)),"ISI KAS FISIK",K200-J200))</f>
        <v/>
      </c>
      <c r="M200" s="0" t="str">
        <f aca="false">IF(A200="","",IF(NOT(ISNUMBER(L200)),"BELUM TUTUP",IF(L200=0,"Pas",IF(L200&gt;0,"Lebih","Kurang"))))</f>
        <v/>
      </c>
    </row>
    <row r="201" customFormat="false" ht="15" hidden="false" customHeight="false" outlineLevel="0" collapsed="false">
      <c r="G201" s="0" t="str">
        <f aca="false">IF(A201="","",SUMIFS('TRANSAKSI PENJUALAN'!$K$5:$K$504,'TRANSAKSI PENJUALAN'!$B$5:$B$504,B201,'TRANSAKSI PENJUALAN'!$E$5:$E$504,C201,'TRANSAKSI PENJUALAN'!$L$5:$L$504,"Tunai",'TRANSAKSI PENJUALAN'!$M$5:$M$504,"Lunas"))</f>
        <v/>
      </c>
      <c r="J201" s="0" t="str">
        <f aca="false">IF(A201="","",F201+G201+H201-I201)</f>
        <v/>
      </c>
      <c r="L201" s="0" t="str">
        <f aca="false">IF(A201="","",IF(NOT(ISNUMBER(K201)),"ISI KAS FISIK",K201-J201))</f>
        <v/>
      </c>
      <c r="M201" s="0" t="str">
        <f aca="false">IF(A201="","",IF(NOT(ISNUMBER(L201)),"BELUM TUTUP",IF(L201=0,"Pas",IF(L201&gt;0,"Lebih","Kurang"))))</f>
        <v/>
      </c>
    </row>
    <row r="202" customFormat="false" ht="15" hidden="false" customHeight="false" outlineLevel="0" collapsed="false">
      <c r="G202" s="0" t="str">
        <f aca="false">IF(A202="","",SUMIFS('TRANSAKSI PENJUALAN'!$K$5:$K$504,'TRANSAKSI PENJUALAN'!$B$5:$B$504,B202,'TRANSAKSI PENJUALAN'!$E$5:$E$504,C202,'TRANSAKSI PENJUALAN'!$L$5:$L$504,"Tunai",'TRANSAKSI PENJUALAN'!$M$5:$M$504,"Lunas"))</f>
        <v/>
      </c>
      <c r="J202" s="0" t="str">
        <f aca="false">IF(A202="","",F202+G202+H202-I202)</f>
        <v/>
      </c>
      <c r="L202" s="0" t="str">
        <f aca="false">IF(A202="","",IF(NOT(ISNUMBER(K202)),"ISI KAS FISIK",K202-J202))</f>
        <v/>
      </c>
      <c r="M202" s="0" t="str">
        <f aca="false">IF(A202="","",IF(NOT(ISNUMBER(L202)),"BELUM TUTUP",IF(L202=0,"Pas",IF(L202&gt;0,"Lebih","Kurang"))))</f>
        <v/>
      </c>
    </row>
    <row r="203" customFormat="false" ht="15" hidden="false" customHeight="false" outlineLevel="0" collapsed="false">
      <c r="G203" s="0" t="str">
        <f aca="false">IF(A203="","",SUMIFS('TRANSAKSI PENJUALAN'!$K$5:$K$504,'TRANSAKSI PENJUALAN'!$B$5:$B$504,B203,'TRANSAKSI PENJUALAN'!$E$5:$E$504,C203,'TRANSAKSI PENJUALAN'!$L$5:$L$504,"Tunai",'TRANSAKSI PENJUALAN'!$M$5:$M$504,"Lunas"))</f>
        <v/>
      </c>
      <c r="J203" s="0" t="str">
        <f aca="false">IF(A203="","",F203+G203+H203-I203)</f>
        <v/>
      </c>
      <c r="L203" s="0" t="str">
        <f aca="false">IF(A203="","",IF(NOT(ISNUMBER(K203)),"ISI KAS FISIK",K203-J203))</f>
        <v/>
      </c>
      <c r="M203" s="0" t="str">
        <f aca="false">IF(A203="","",IF(NOT(ISNUMBER(L203)),"BELUM TUTUP",IF(L203=0,"Pas",IF(L203&gt;0,"Lebih","Kurang"))))</f>
        <v/>
      </c>
    </row>
    <row r="204" customFormat="false" ht="15" hidden="false" customHeight="false" outlineLevel="0" collapsed="false">
      <c r="G204" s="0" t="str">
        <f aca="false">IF(A204="","",SUMIFS('TRANSAKSI PENJUALAN'!$K$5:$K$504,'TRANSAKSI PENJUALAN'!$B$5:$B$504,B204,'TRANSAKSI PENJUALAN'!$E$5:$E$504,C204,'TRANSAKSI PENJUALAN'!$L$5:$L$504,"Tunai",'TRANSAKSI PENJUALAN'!$M$5:$M$504,"Lunas"))</f>
        <v/>
      </c>
      <c r="J204" s="0" t="str">
        <f aca="false">IF(A204="","",F204+G204+H204-I204)</f>
        <v/>
      </c>
      <c r="L204" s="0" t="str">
        <f aca="false">IF(A204="","",IF(NOT(ISNUMBER(K204)),"ISI KAS FISIK",K204-J204))</f>
        <v/>
      </c>
      <c r="M204" s="0" t="str">
        <f aca="false">IF(A204="","",IF(NOT(ISNUMBER(L204)),"BELUM TUTUP",IF(L204=0,"Pas",IF(L204&gt;0,"Lebih","Kurang"))))</f>
        <v/>
      </c>
    </row>
    <row r="205" customFormat="false" ht="15" hidden="false" customHeight="false" outlineLevel="0" collapsed="false">
      <c r="G205" s="0" t="str">
        <f aca="false">IF(A205="","",SUMIFS('TRANSAKSI PENJUALAN'!$K$5:$K$504,'TRANSAKSI PENJUALAN'!$B$5:$B$504,B205,'TRANSAKSI PENJUALAN'!$E$5:$E$504,C205,'TRANSAKSI PENJUALAN'!$L$5:$L$504,"Tunai",'TRANSAKSI PENJUALAN'!$M$5:$M$504,"Lunas"))</f>
        <v/>
      </c>
      <c r="J205" s="0" t="str">
        <f aca="false">IF(A205="","",F205+G205+H205-I205)</f>
        <v/>
      </c>
      <c r="L205" s="0" t="str">
        <f aca="false">IF(A205="","",IF(NOT(ISNUMBER(K205)),"ISI KAS FISIK",K205-J205))</f>
        <v/>
      </c>
      <c r="M205" s="0" t="str">
        <f aca="false">IF(A205="","",IF(NOT(ISNUMBER(L205)),"BELUM TUTUP",IF(L205=0,"Pas",IF(L205&gt;0,"Lebih","Kurang"))))</f>
        <v/>
      </c>
    </row>
    <row r="206" customFormat="false" ht="15" hidden="false" customHeight="false" outlineLevel="0" collapsed="false">
      <c r="G206" s="0" t="str">
        <f aca="false">IF(A206="","",SUMIFS('TRANSAKSI PENJUALAN'!$K$5:$K$504,'TRANSAKSI PENJUALAN'!$B$5:$B$504,B206,'TRANSAKSI PENJUALAN'!$E$5:$E$504,C206,'TRANSAKSI PENJUALAN'!$L$5:$L$504,"Tunai",'TRANSAKSI PENJUALAN'!$M$5:$M$504,"Lunas"))</f>
        <v/>
      </c>
      <c r="J206" s="0" t="str">
        <f aca="false">IF(A206="","",F206+G206+H206-I206)</f>
        <v/>
      </c>
      <c r="L206" s="0" t="str">
        <f aca="false">IF(A206="","",IF(NOT(ISNUMBER(K206)),"ISI KAS FISIK",K206-J206))</f>
        <v/>
      </c>
      <c r="M206" s="0" t="str">
        <f aca="false">IF(A206="","",IF(NOT(ISNUMBER(L206)),"BELUM TUTUP",IF(L206=0,"Pas",IF(L206&gt;0,"Lebih","Kurang"))))</f>
        <v/>
      </c>
    </row>
    <row r="207" customFormat="false" ht="15" hidden="false" customHeight="false" outlineLevel="0" collapsed="false">
      <c r="G207" s="0" t="str">
        <f aca="false">IF(A207="","",SUMIFS('TRANSAKSI PENJUALAN'!$K$5:$K$504,'TRANSAKSI PENJUALAN'!$B$5:$B$504,B207,'TRANSAKSI PENJUALAN'!$E$5:$E$504,C207,'TRANSAKSI PENJUALAN'!$L$5:$L$504,"Tunai",'TRANSAKSI PENJUALAN'!$M$5:$M$504,"Lunas"))</f>
        <v/>
      </c>
      <c r="J207" s="0" t="str">
        <f aca="false">IF(A207="","",F207+G207+H207-I207)</f>
        <v/>
      </c>
      <c r="L207" s="0" t="str">
        <f aca="false">IF(A207="","",IF(NOT(ISNUMBER(K207)),"ISI KAS FISIK",K207-J207))</f>
        <v/>
      </c>
      <c r="M207" s="0" t="str">
        <f aca="false">IF(A207="","",IF(NOT(ISNUMBER(L207)),"BELUM TUTUP",IF(L207=0,"Pas",IF(L207&gt;0,"Lebih","Kurang"))))</f>
        <v/>
      </c>
    </row>
    <row r="208" customFormat="false" ht="15" hidden="false" customHeight="false" outlineLevel="0" collapsed="false">
      <c r="G208" s="0" t="str">
        <f aca="false">IF(A208="","",SUMIFS('TRANSAKSI PENJUALAN'!$K$5:$K$504,'TRANSAKSI PENJUALAN'!$B$5:$B$504,B208,'TRANSAKSI PENJUALAN'!$E$5:$E$504,C208,'TRANSAKSI PENJUALAN'!$L$5:$L$504,"Tunai",'TRANSAKSI PENJUALAN'!$M$5:$M$504,"Lunas"))</f>
        <v/>
      </c>
      <c r="J208" s="0" t="str">
        <f aca="false">IF(A208="","",F208+G208+H208-I208)</f>
        <v/>
      </c>
      <c r="L208" s="0" t="str">
        <f aca="false">IF(A208="","",IF(NOT(ISNUMBER(K208)),"ISI KAS FISIK",K208-J208))</f>
        <v/>
      </c>
      <c r="M208" s="0" t="str">
        <f aca="false">IF(A208="","",IF(NOT(ISNUMBER(L208)),"BELUM TUTUP",IF(L208=0,"Pas",IF(L208&gt;0,"Lebih","Kurang"))))</f>
        <v/>
      </c>
    </row>
    <row r="209" customFormat="false" ht="15" hidden="false" customHeight="false" outlineLevel="0" collapsed="false">
      <c r="G209" s="0" t="str">
        <f aca="false">IF(A209="","",SUMIFS('TRANSAKSI PENJUALAN'!$K$5:$K$504,'TRANSAKSI PENJUALAN'!$B$5:$B$504,B209,'TRANSAKSI PENJUALAN'!$E$5:$E$504,C209,'TRANSAKSI PENJUALAN'!$L$5:$L$504,"Tunai",'TRANSAKSI PENJUALAN'!$M$5:$M$504,"Lunas"))</f>
        <v/>
      </c>
      <c r="J209" s="0" t="str">
        <f aca="false">IF(A209="","",F209+G209+H209-I209)</f>
        <v/>
      </c>
      <c r="L209" s="0" t="str">
        <f aca="false">IF(A209="","",IF(NOT(ISNUMBER(K209)),"ISI KAS FISIK",K209-J209))</f>
        <v/>
      </c>
      <c r="M209" s="0" t="str">
        <f aca="false">IF(A209="","",IF(NOT(ISNUMBER(L209)),"BELUM TUTUP",IF(L209=0,"Pas",IF(L209&gt;0,"Lebih","Kurang"))))</f>
        <v/>
      </c>
    </row>
    <row r="210" customFormat="false" ht="15" hidden="false" customHeight="false" outlineLevel="0" collapsed="false">
      <c r="G210" s="0" t="str">
        <f aca="false">IF(A210="","",SUMIFS('TRANSAKSI PENJUALAN'!$K$5:$K$504,'TRANSAKSI PENJUALAN'!$B$5:$B$504,B210,'TRANSAKSI PENJUALAN'!$E$5:$E$504,C210,'TRANSAKSI PENJUALAN'!$L$5:$L$504,"Tunai",'TRANSAKSI PENJUALAN'!$M$5:$M$504,"Lunas"))</f>
        <v/>
      </c>
      <c r="J210" s="0" t="str">
        <f aca="false">IF(A210="","",F210+G210+H210-I210)</f>
        <v/>
      </c>
      <c r="L210" s="0" t="str">
        <f aca="false">IF(A210="","",IF(NOT(ISNUMBER(K210)),"ISI KAS FISIK",K210-J210))</f>
        <v/>
      </c>
      <c r="M210" s="0" t="str">
        <f aca="false">IF(A210="","",IF(NOT(ISNUMBER(L210)),"BELUM TUTUP",IF(L210=0,"Pas",IF(L210&gt;0,"Lebih","Kurang"))))</f>
        <v/>
      </c>
    </row>
    <row r="211" customFormat="false" ht="15" hidden="false" customHeight="false" outlineLevel="0" collapsed="false">
      <c r="G211" s="0" t="str">
        <f aca="false">IF(A211="","",SUMIFS('TRANSAKSI PENJUALAN'!$K$5:$K$504,'TRANSAKSI PENJUALAN'!$B$5:$B$504,B211,'TRANSAKSI PENJUALAN'!$E$5:$E$504,C211,'TRANSAKSI PENJUALAN'!$L$5:$L$504,"Tunai",'TRANSAKSI PENJUALAN'!$M$5:$M$504,"Lunas"))</f>
        <v/>
      </c>
      <c r="J211" s="0" t="str">
        <f aca="false">IF(A211="","",F211+G211+H211-I211)</f>
        <v/>
      </c>
      <c r="L211" s="0" t="str">
        <f aca="false">IF(A211="","",IF(NOT(ISNUMBER(K211)),"ISI KAS FISIK",K211-J211))</f>
        <v/>
      </c>
      <c r="M211" s="0" t="str">
        <f aca="false">IF(A211="","",IF(NOT(ISNUMBER(L211)),"BELUM TUTUP",IF(L211=0,"Pas",IF(L211&gt;0,"Lebih","Kurang"))))</f>
        <v/>
      </c>
    </row>
    <row r="212" customFormat="false" ht="15" hidden="false" customHeight="false" outlineLevel="0" collapsed="false">
      <c r="G212" s="0" t="str">
        <f aca="false">IF(A212="","",SUMIFS('TRANSAKSI PENJUALAN'!$K$5:$K$504,'TRANSAKSI PENJUALAN'!$B$5:$B$504,B212,'TRANSAKSI PENJUALAN'!$E$5:$E$504,C212,'TRANSAKSI PENJUALAN'!$L$5:$L$504,"Tunai",'TRANSAKSI PENJUALAN'!$M$5:$M$504,"Lunas"))</f>
        <v/>
      </c>
      <c r="J212" s="0" t="str">
        <f aca="false">IF(A212="","",F212+G212+H212-I212)</f>
        <v/>
      </c>
      <c r="L212" s="0" t="str">
        <f aca="false">IF(A212="","",IF(NOT(ISNUMBER(K212)),"ISI KAS FISIK",K212-J212))</f>
        <v/>
      </c>
      <c r="M212" s="0" t="str">
        <f aca="false">IF(A212="","",IF(NOT(ISNUMBER(L212)),"BELUM TUTUP",IF(L212=0,"Pas",IF(L212&gt;0,"Lebih","Kurang"))))</f>
        <v/>
      </c>
    </row>
    <row r="213" customFormat="false" ht="15" hidden="false" customHeight="false" outlineLevel="0" collapsed="false">
      <c r="G213" s="0" t="str">
        <f aca="false">IF(A213="","",SUMIFS('TRANSAKSI PENJUALAN'!$K$5:$K$504,'TRANSAKSI PENJUALAN'!$B$5:$B$504,B213,'TRANSAKSI PENJUALAN'!$E$5:$E$504,C213,'TRANSAKSI PENJUALAN'!$L$5:$L$504,"Tunai",'TRANSAKSI PENJUALAN'!$M$5:$M$504,"Lunas"))</f>
        <v/>
      </c>
      <c r="J213" s="0" t="str">
        <f aca="false">IF(A213="","",F213+G213+H213-I213)</f>
        <v/>
      </c>
      <c r="L213" s="0" t="str">
        <f aca="false">IF(A213="","",IF(NOT(ISNUMBER(K213)),"ISI KAS FISIK",K213-J213))</f>
        <v/>
      </c>
      <c r="M213" s="0" t="str">
        <f aca="false">IF(A213="","",IF(NOT(ISNUMBER(L213)),"BELUM TUTUP",IF(L213=0,"Pas",IF(L213&gt;0,"Lebih","Kurang"))))</f>
        <v/>
      </c>
    </row>
    <row r="214" customFormat="false" ht="15" hidden="false" customHeight="false" outlineLevel="0" collapsed="false">
      <c r="G214" s="0" t="str">
        <f aca="false">IF(A214="","",SUMIFS('TRANSAKSI PENJUALAN'!$K$5:$K$504,'TRANSAKSI PENJUALAN'!$B$5:$B$504,B214,'TRANSAKSI PENJUALAN'!$E$5:$E$504,C214,'TRANSAKSI PENJUALAN'!$L$5:$L$504,"Tunai",'TRANSAKSI PENJUALAN'!$M$5:$M$504,"Lunas"))</f>
        <v/>
      </c>
      <c r="J214" s="0" t="str">
        <f aca="false">IF(A214="","",F214+G214+H214-I214)</f>
        <v/>
      </c>
      <c r="L214" s="0" t="str">
        <f aca="false">IF(A214="","",IF(NOT(ISNUMBER(K214)),"ISI KAS FISIK",K214-J214))</f>
        <v/>
      </c>
      <c r="M214" s="0" t="str">
        <f aca="false">IF(A214="","",IF(NOT(ISNUMBER(L214)),"BELUM TUTUP",IF(L214=0,"Pas",IF(L214&gt;0,"Lebih","Kurang"))))</f>
        <v/>
      </c>
    </row>
    <row r="215" customFormat="false" ht="15" hidden="false" customHeight="false" outlineLevel="0" collapsed="false">
      <c r="G215" s="0" t="str">
        <f aca="false">IF(A215="","",SUMIFS('TRANSAKSI PENJUALAN'!$K$5:$K$504,'TRANSAKSI PENJUALAN'!$B$5:$B$504,B215,'TRANSAKSI PENJUALAN'!$E$5:$E$504,C215,'TRANSAKSI PENJUALAN'!$L$5:$L$504,"Tunai",'TRANSAKSI PENJUALAN'!$M$5:$M$504,"Lunas"))</f>
        <v/>
      </c>
      <c r="J215" s="0" t="str">
        <f aca="false">IF(A215="","",F215+G215+H215-I215)</f>
        <v/>
      </c>
      <c r="L215" s="0" t="str">
        <f aca="false">IF(A215="","",IF(NOT(ISNUMBER(K215)),"ISI KAS FISIK",K215-J215))</f>
        <v/>
      </c>
      <c r="M215" s="0" t="str">
        <f aca="false">IF(A215="","",IF(NOT(ISNUMBER(L215)),"BELUM TUTUP",IF(L215=0,"Pas",IF(L215&gt;0,"Lebih","Kurang"))))</f>
        <v/>
      </c>
    </row>
    <row r="216" customFormat="false" ht="15" hidden="false" customHeight="false" outlineLevel="0" collapsed="false">
      <c r="G216" s="0" t="str">
        <f aca="false">IF(A216="","",SUMIFS('TRANSAKSI PENJUALAN'!$K$5:$K$504,'TRANSAKSI PENJUALAN'!$B$5:$B$504,B216,'TRANSAKSI PENJUALAN'!$E$5:$E$504,C216,'TRANSAKSI PENJUALAN'!$L$5:$L$504,"Tunai",'TRANSAKSI PENJUALAN'!$M$5:$M$504,"Lunas"))</f>
        <v/>
      </c>
      <c r="J216" s="0" t="str">
        <f aca="false">IF(A216="","",F216+G216+H216-I216)</f>
        <v/>
      </c>
      <c r="L216" s="0" t="str">
        <f aca="false">IF(A216="","",IF(NOT(ISNUMBER(K216)),"ISI KAS FISIK",K216-J216))</f>
        <v/>
      </c>
      <c r="M216" s="0" t="str">
        <f aca="false">IF(A216="","",IF(NOT(ISNUMBER(L216)),"BELUM TUTUP",IF(L216=0,"Pas",IF(L216&gt;0,"Lebih","Kurang"))))</f>
        <v/>
      </c>
    </row>
    <row r="217" customFormat="false" ht="15" hidden="false" customHeight="false" outlineLevel="0" collapsed="false">
      <c r="G217" s="0" t="str">
        <f aca="false">IF(A217="","",SUMIFS('TRANSAKSI PENJUALAN'!$K$5:$K$504,'TRANSAKSI PENJUALAN'!$B$5:$B$504,B217,'TRANSAKSI PENJUALAN'!$E$5:$E$504,C217,'TRANSAKSI PENJUALAN'!$L$5:$L$504,"Tunai",'TRANSAKSI PENJUALAN'!$M$5:$M$504,"Lunas"))</f>
        <v/>
      </c>
      <c r="J217" s="0" t="str">
        <f aca="false">IF(A217="","",F217+G217+H217-I217)</f>
        <v/>
      </c>
      <c r="L217" s="0" t="str">
        <f aca="false">IF(A217="","",IF(NOT(ISNUMBER(K217)),"ISI KAS FISIK",K217-J217))</f>
        <v/>
      </c>
      <c r="M217" s="0" t="str">
        <f aca="false">IF(A217="","",IF(NOT(ISNUMBER(L217)),"BELUM TUTUP",IF(L217=0,"Pas",IF(L217&gt;0,"Lebih","Kurang"))))</f>
        <v/>
      </c>
    </row>
    <row r="218" customFormat="false" ht="15" hidden="false" customHeight="false" outlineLevel="0" collapsed="false">
      <c r="G218" s="0" t="str">
        <f aca="false">IF(A218="","",SUMIFS('TRANSAKSI PENJUALAN'!$K$5:$K$504,'TRANSAKSI PENJUALAN'!$B$5:$B$504,B218,'TRANSAKSI PENJUALAN'!$E$5:$E$504,C218,'TRANSAKSI PENJUALAN'!$L$5:$L$504,"Tunai",'TRANSAKSI PENJUALAN'!$M$5:$M$504,"Lunas"))</f>
        <v/>
      </c>
      <c r="J218" s="0" t="str">
        <f aca="false">IF(A218="","",F218+G218+H218-I218)</f>
        <v/>
      </c>
      <c r="L218" s="0" t="str">
        <f aca="false">IF(A218="","",IF(NOT(ISNUMBER(K218)),"ISI KAS FISIK",K218-J218))</f>
        <v/>
      </c>
      <c r="M218" s="0" t="str">
        <f aca="false">IF(A218="","",IF(NOT(ISNUMBER(L218)),"BELUM TUTUP",IF(L218=0,"Pas",IF(L218&gt;0,"Lebih","Kurang"))))</f>
        <v/>
      </c>
    </row>
    <row r="219" customFormat="false" ht="15" hidden="false" customHeight="false" outlineLevel="0" collapsed="false">
      <c r="G219" s="0" t="str">
        <f aca="false">IF(A219="","",SUMIFS('TRANSAKSI PENJUALAN'!$K$5:$K$504,'TRANSAKSI PENJUALAN'!$B$5:$B$504,B219,'TRANSAKSI PENJUALAN'!$E$5:$E$504,C219,'TRANSAKSI PENJUALAN'!$L$5:$L$504,"Tunai",'TRANSAKSI PENJUALAN'!$M$5:$M$504,"Lunas"))</f>
        <v/>
      </c>
      <c r="J219" s="0" t="str">
        <f aca="false">IF(A219="","",F219+G219+H219-I219)</f>
        <v/>
      </c>
      <c r="L219" s="0" t="str">
        <f aca="false">IF(A219="","",IF(NOT(ISNUMBER(K219)),"ISI KAS FISIK",K219-J219))</f>
        <v/>
      </c>
      <c r="M219" s="0" t="str">
        <f aca="false">IF(A219="","",IF(NOT(ISNUMBER(L219)),"BELUM TUTUP",IF(L219=0,"Pas",IF(L219&gt;0,"Lebih","Kurang"))))</f>
        <v/>
      </c>
    </row>
    <row r="220" customFormat="false" ht="15" hidden="false" customHeight="false" outlineLevel="0" collapsed="false">
      <c r="G220" s="0" t="str">
        <f aca="false">IF(A220="","",SUMIFS('TRANSAKSI PENJUALAN'!$K$5:$K$504,'TRANSAKSI PENJUALAN'!$B$5:$B$504,B220,'TRANSAKSI PENJUALAN'!$E$5:$E$504,C220,'TRANSAKSI PENJUALAN'!$L$5:$L$504,"Tunai",'TRANSAKSI PENJUALAN'!$M$5:$M$504,"Lunas"))</f>
        <v/>
      </c>
      <c r="J220" s="0" t="str">
        <f aca="false">IF(A220="","",F220+G220+H220-I220)</f>
        <v/>
      </c>
      <c r="L220" s="0" t="str">
        <f aca="false">IF(A220="","",IF(NOT(ISNUMBER(K220)),"ISI KAS FISIK",K220-J220))</f>
        <v/>
      </c>
      <c r="M220" s="0" t="str">
        <f aca="false">IF(A220="","",IF(NOT(ISNUMBER(L220)),"BELUM TUTUP",IF(L220=0,"Pas",IF(L220&gt;0,"Lebih","Kurang"))))</f>
        <v/>
      </c>
    </row>
    <row r="221" customFormat="false" ht="15" hidden="false" customHeight="false" outlineLevel="0" collapsed="false">
      <c r="G221" s="0" t="str">
        <f aca="false">IF(A221="","",SUMIFS('TRANSAKSI PENJUALAN'!$K$5:$K$504,'TRANSAKSI PENJUALAN'!$B$5:$B$504,B221,'TRANSAKSI PENJUALAN'!$E$5:$E$504,C221,'TRANSAKSI PENJUALAN'!$L$5:$L$504,"Tunai",'TRANSAKSI PENJUALAN'!$M$5:$M$504,"Lunas"))</f>
        <v/>
      </c>
      <c r="J221" s="0" t="str">
        <f aca="false">IF(A221="","",F221+G221+H221-I221)</f>
        <v/>
      </c>
      <c r="L221" s="0" t="str">
        <f aca="false">IF(A221="","",IF(NOT(ISNUMBER(K221)),"ISI KAS FISIK",K221-J221))</f>
        <v/>
      </c>
      <c r="M221" s="0" t="str">
        <f aca="false">IF(A221="","",IF(NOT(ISNUMBER(L221)),"BELUM TUTUP",IF(L221=0,"Pas",IF(L221&gt;0,"Lebih","Kurang"))))</f>
        <v/>
      </c>
    </row>
    <row r="222" customFormat="false" ht="15" hidden="false" customHeight="false" outlineLevel="0" collapsed="false">
      <c r="G222" s="0" t="str">
        <f aca="false">IF(A222="","",SUMIFS('TRANSAKSI PENJUALAN'!$K$5:$K$504,'TRANSAKSI PENJUALAN'!$B$5:$B$504,B222,'TRANSAKSI PENJUALAN'!$E$5:$E$504,C222,'TRANSAKSI PENJUALAN'!$L$5:$L$504,"Tunai",'TRANSAKSI PENJUALAN'!$M$5:$M$504,"Lunas"))</f>
        <v/>
      </c>
      <c r="J222" s="0" t="str">
        <f aca="false">IF(A222="","",F222+G222+H222-I222)</f>
        <v/>
      </c>
      <c r="L222" s="0" t="str">
        <f aca="false">IF(A222="","",IF(NOT(ISNUMBER(K222)),"ISI KAS FISIK",K222-J222))</f>
        <v/>
      </c>
      <c r="M222" s="0" t="str">
        <f aca="false">IF(A222="","",IF(NOT(ISNUMBER(L222)),"BELUM TUTUP",IF(L222=0,"Pas",IF(L222&gt;0,"Lebih","Kurang"))))</f>
        <v/>
      </c>
    </row>
    <row r="223" customFormat="false" ht="15" hidden="false" customHeight="false" outlineLevel="0" collapsed="false">
      <c r="G223" s="0" t="str">
        <f aca="false">IF(A223="","",SUMIFS('TRANSAKSI PENJUALAN'!$K$5:$K$504,'TRANSAKSI PENJUALAN'!$B$5:$B$504,B223,'TRANSAKSI PENJUALAN'!$E$5:$E$504,C223,'TRANSAKSI PENJUALAN'!$L$5:$L$504,"Tunai",'TRANSAKSI PENJUALAN'!$M$5:$M$504,"Lunas"))</f>
        <v/>
      </c>
      <c r="J223" s="0" t="str">
        <f aca="false">IF(A223="","",F223+G223+H223-I223)</f>
        <v/>
      </c>
      <c r="L223" s="0" t="str">
        <f aca="false">IF(A223="","",IF(NOT(ISNUMBER(K223)),"ISI KAS FISIK",K223-J223))</f>
        <v/>
      </c>
      <c r="M223" s="0" t="str">
        <f aca="false">IF(A223="","",IF(NOT(ISNUMBER(L223)),"BELUM TUTUP",IF(L223=0,"Pas",IF(L223&gt;0,"Lebih","Kurang"))))</f>
        <v/>
      </c>
    </row>
    <row r="224" customFormat="false" ht="15" hidden="false" customHeight="false" outlineLevel="0" collapsed="false">
      <c r="G224" s="0" t="str">
        <f aca="false">IF(A224="","",SUMIFS('TRANSAKSI PENJUALAN'!$K$5:$K$504,'TRANSAKSI PENJUALAN'!$B$5:$B$504,B224,'TRANSAKSI PENJUALAN'!$E$5:$E$504,C224,'TRANSAKSI PENJUALAN'!$L$5:$L$504,"Tunai",'TRANSAKSI PENJUALAN'!$M$5:$M$504,"Lunas"))</f>
        <v/>
      </c>
      <c r="J224" s="0" t="str">
        <f aca="false">IF(A224="","",F224+G224+H224-I224)</f>
        <v/>
      </c>
      <c r="L224" s="0" t="str">
        <f aca="false">IF(A224="","",IF(NOT(ISNUMBER(K224)),"ISI KAS FISIK",K224-J224))</f>
        <v/>
      </c>
      <c r="M224" s="0" t="str">
        <f aca="false">IF(A224="","",IF(NOT(ISNUMBER(L224)),"BELUM TUTUP",IF(L224=0,"Pas",IF(L224&gt;0,"Lebih","Kurang"))))</f>
        <v/>
      </c>
    </row>
    <row r="225" customFormat="false" ht="15" hidden="false" customHeight="false" outlineLevel="0" collapsed="false">
      <c r="G225" s="0" t="str">
        <f aca="false">IF(A225="","",SUMIFS('TRANSAKSI PENJUALAN'!$K$5:$K$504,'TRANSAKSI PENJUALAN'!$B$5:$B$504,B225,'TRANSAKSI PENJUALAN'!$E$5:$E$504,C225,'TRANSAKSI PENJUALAN'!$L$5:$L$504,"Tunai",'TRANSAKSI PENJUALAN'!$M$5:$M$504,"Lunas"))</f>
        <v/>
      </c>
      <c r="J225" s="0" t="str">
        <f aca="false">IF(A225="","",F225+G225+H225-I225)</f>
        <v/>
      </c>
      <c r="L225" s="0" t="str">
        <f aca="false">IF(A225="","",IF(NOT(ISNUMBER(K225)),"ISI KAS FISIK",K225-J225))</f>
        <v/>
      </c>
      <c r="M225" s="0" t="str">
        <f aca="false">IF(A225="","",IF(NOT(ISNUMBER(L225)),"BELUM TUTUP",IF(L225=0,"Pas",IF(L225&gt;0,"Lebih","Kurang"))))</f>
        <v/>
      </c>
    </row>
    <row r="226" customFormat="false" ht="15" hidden="false" customHeight="false" outlineLevel="0" collapsed="false">
      <c r="G226" s="0" t="str">
        <f aca="false">IF(A226="","",SUMIFS('TRANSAKSI PENJUALAN'!$K$5:$K$504,'TRANSAKSI PENJUALAN'!$B$5:$B$504,B226,'TRANSAKSI PENJUALAN'!$E$5:$E$504,C226,'TRANSAKSI PENJUALAN'!$L$5:$L$504,"Tunai",'TRANSAKSI PENJUALAN'!$M$5:$M$504,"Lunas"))</f>
        <v/>
      </c>
      <c r="J226" s="0" t="str">
        <f aca="false">IF(A226="","",F226+G226+H226-I226)</f>
        <v/>
      </c>
      <c r="L226" s="0" t="str">
        <f aca="false">IF(A226="","",IF(NOT(ISNUMBER(K226)),"ISI KAS FISIK",K226-J226))</f>
        <v/>
      </c>
      <c r="M226" s="0" t="str">
        <f aca="false">IF(A226="","",IF(NOT(ISNUMBER(L226)),"BELUM TUTUP",IF(L226=0,"Pas",IF(L226&gt;0,"Lebih","Kurang"))))</f>
        <v/>
      </c>
    </row>
    <row r="227" customFormat="false" ht="15" hidden="false" customHeight="false" outlineLevel="0" collapsed="false">
      <c r="G227" s="0" t="str">
        <f aca="false">IF(A227="","",SUMIFS('TRANSAKSI PENJUALAN'!$K$5:$K$504,'TRANSAKSI PENJUALAN'!$B$5:$B$504,B227,'TRANSAKSI PENJUALAN'!$E$5:$E$504,C227,'TRANSAKSI PENJUALAN'!$L$5:$L$504,"Tunai",'TRANSAKSI PENJUALAN'!$M$5:$M$504,"Lunas"))</f>
        <v/>
      </c>
      <c r="J227" s="0" t="str">
        <f aca="false">IF(A227="","",F227+G227+H227-I227)</f>
        <v/>
      </c>
      <c r="L227" s="0" t="str">
        <f aca="false">IF(A227="","",IF(NOT(ISNUMBER(K227)),"ISI KAS FISIK",K227-J227))</f>
        <v/>
      </c>
      <c r="M227" s="0" t="str">
        <f aca="false">IF(A227="","",IF(NOT(ISNUMBER(L227)),"BELUM TUTUP",IF(L227=0,"Pas",IF(L227&gt;0,"Lebih","Kurang"))))</f>
        <v/>
      </c>
    </row>
    <row r="228" customFormat="false" ht="15" hidden="false" customHeight="false" outlineLevel="0" collapsed="false">
      <c r="G228" s="0" t="str">
        <f aca="false">IF(A228="","",SUMIFS('TRANSAKSI PENJUALAN'!$K$5:$K$504,'TRANSAKSI PENJUALAN'!$B$5:$B$504,B228,'TRANSAKSI PENJUALAN'!$E$5:$E$504,C228,'TRANSAKSI PENJUALAN'!$L$5:$L$504,"Tunai",'TRANSAKSI PENJUALAN'!$M$5:$M$504,"Lunas"))</f>
        <v/>
      </c>
      <c r="J228" s="0" t="str">
        <f aca="false">IF(A228="","",F228+G228+H228-I228)</f>
        <v/>
      </c>
      <c r="L228" s="0" t="str">
        <f aca="false">IF(A228="","",IF(NOT(ISNUMBER(K228)),"ISI KAS FISIK",K228-J228))</f>
        <v/>
      </c>
      <c r="M228" s="0" t="str">
        <f aca="false">IF(A228="","",IF(NOT(ISNUMBER(L228)),"BELUM TUTUP",IF(L228=0,"Pas",IF(L228&gt;0,"Lebih","Kurang"))))</f>
        <v/>
      </c>
    </row>
    <row r="229" customFormat="false" ht="15" hidden="false" customHeight="false" outlineLevel="0" collapsed="false">
      <c r="G229" s="0" t="str">
        <f aca="false">IF(A229="","",SUMIFS('TRANSAKSI PENJUALAN'!$K$5:$K$504,'TRANSAKSI PENJUALAN'!$B$5:$B$504,B229,'TRANSAKSI PENJUALAN'!$E$5:$E$504,C229,'TRANSAKSI PENJUALAN'!$L$5:$L$504,"Tunai",'TRANSAKSI PENJUALAN'!$M$5:$M$504,"Lunas"))</f>
        <v/>
      </c>
      <c r="J229" s="0" t="str">
        <f aca="false">IF(A229="","",F229+G229+H229-I229)</f>
        <v/>
      </c>
      <c r="L229" s="0" t="str">
        <f aca="false">IF(A229="","",IF(NOT(ISNUMBER(K229)),"ISI KAS FISIK",K229-J229))</f>
        <v/>
      </c>
      <c r="M229" s="0" t="str">
        <f aca="false">IF(A229="","",IF(NOT(ISNUMBER(L229)),"BELUM TUTUP",IF(L229=0,"Pas",IF(L229&gt;0,"Lebih","Kurang"))))</f>
        <v/>
      </c>
    </row>
    <row r="230" customFormat="false" ht="15" hidden="false" customHeight="false" outlineLevel="0" collapsed="false">
      <c r="G230" s="0" t="str">
        <f aca="false">IF(A230="","",SUMIFS('TRANSAKSI PENJUALAN'!$K$5:$K$504,'TRANSAKSI PENJUALAN'!$B$5:$B$504,B230,'TRANSAKSI PENJUALAN'!$E$5:$E$504,C230,'TRANSAKSI PENJUALAN'!$L$5:$L$504,"Tunai",'TRANSAKSI PENJUALAN'!$M$5:$M$504,"Lunas"))</f>
        <v/>
      </c>
      <c r="J230" s="0" t="str">
        <f aca="false">IF(A230="","",F230+G230+H230-I230)</f>
        <v/>
      </c>
      <c r="L230" s="0" t="str">
        <f aca="false">IF(A230="","",IF(NOT(ISNUMBER(K230)),"ISI KAS FISIK",K230-J230))</f>
        <v/>
      </c>
      <c r="M230" s="0" t="str">
        <f aca="false">IF(A230="","",IF(NOT(ISNUMBER(L230)),"BELUM TUTUP",IF(L230=0,"Pas",IF(L230&gt;0,"Lebih","Kurang"))))</f>
        <v/>
      </c>
    </row>
    <row r="231" customFormat="false" ht="15" hidden="false" customHeight="false" outlineLevel="0" collapsed="false">
      <c r="G231" s="0" t="str">
        <f aca="false">IF(A231="","",SUMIFS('TRANSAKSI PENJUALAN'!$K$5:$K$504,'TRANSAKSI PENJUALAN'!$B$5:$B$504,B231,'TRANSAKSI PENJUALAN'!$E$5:$E$504,C231,'TRANSAKSI PENJUALAN'!$L$5:$L$504,"Tunai",'TRANSAKSI PENJUALAN'!$M$5:$M$504,"Lunas"))</f>
        <v/>
      </c>
      <c r="J231" s="0" t="str">
        <f aca="false">IF(A231="","",F231+G231+H231-I231)</f>
        <v/>
      </c>
      <c r="L231" s="0" t="str">
        <f aca="false">IF(A231="","",IF(NOT(ISNUMBER(K231)),"ISI KAS FISIK",K231-J231))</f>
        <v/>
      </c>
      <c r="M231" s="0" t="str">
        <f aca="false">IF(A231="","",IF(NOT(ISNUMBER(L231)),"BELUM TUTUP",IF(L231=0,"Pas",IF(L231&gt;0,"Lebih","Kurang"))))</f>
        <v/>
      </c>
    </row>
    <row r="232" customFormat="false" ht="15" hidden="false" customHeight="false" outlineLevel="0" collapsed="false">
      <c r="G232" s="0" t="str">
        <f aca="false">IF(A232="","",SUMIFS('TRANSAKSI PENJUALAN'!$K$5:$K$504,'TRANSAKSI PENJUALAN'!$B$5:$B$504,B232,'TRANSAKSI PENJUALAN'!$E$5:$E$504,C232,'TRANSAKSI PENJUALAN'!$L$5:$L$504,"Tunai",'TRANSAKSI PENJUALAN'!$M$5:$M$504,"Lunas"))</f>
        <v/>
      </c>
      <c r="J232" s="0" t="str">
        <f aca="false">IF(A232="","",F232+G232+H232-I232)</f>
        <v/>
      </c>
      <c r="L232" s="0" t="str">
        <f aca="false">IF(A232="","",IF(NOT(ISNUMBER(K232)),"ISI KAS FISIK",K232-J232))</f>
        <v/>
      </c>
      <c r="M232" s="0" t="str">
        <f aca="false">IF(A232="","",IF(NOT(ISNUMBER(L232)),"BELUM TUTUP",IF(L232=0,"Pas",IF(L232&gt;0,"Lebih","Kurang"))))</f>
        <v/>
      </c>
    </row>
    <row r="233" customFormat="false" ht="15" hidden="false" customHeight="false" outlineLevel="0" collapsed="false">
      <c r="G233" s="0" t="str">
        <f aca="false">IF(A233="","",SUMIFS('TRANSAKSI PENJUALAN'!$K$5:$K$504,'TRANSAKSI PENJUALAN'!$B$5:$B$504,B233,'TRANSAKSI PENJUALAN'!$E$5:$E$504,C233,'TRANSAKSI PENJUALAN'!$L$5:$L$504,"Tunai",'TRANSAKSI PENJUALAN'!$M$5:$M$504,"Lunas"))</f>
        <v/>
      </c>
      <c r="J233" s="0" t="str">
        <f aca="false">IF(A233="","",F233+G233+H233-I233)</f>
        <v/>
      </c>
      <c r="L233" s="0" t="str">
        <f aca="false">IF(A233="","",IF(NOT(ISNUMBER(K233)),"ISI KAS FISIK",K233-J233))</f>
        <v/>
      </c>
      <c r="M233" s="0" t="str">
        <f aca="false">IF(A233="","",IF(NOT(ISNUMBER(L233)),"BELUM TUTUP",IF(L233=0,"Pas",IF(L233&gt;0,"Lebih","Kurang"))))</f>
        <v/>
      </c>
    </row>
    <row r="234" customFormat="false" ht="15" hidden="false" customHeight="false" outlineLevel="0" collapsed="false">
      <c r="G234" s="0" t="str">
        <f aca="false">IF(A234="","",SUMIFS('TRANSAKSI PENJUALAN'!$K$5:$K$504,'TRANSAKSI PENJUALAN'!$B$5:$B$504,B234,'TRANSAKSI PENJUALAN'!$E$5:$E$504,C234,'TRANSAKSI PENJUALAN'!$L$5:$L$504,"Tunai",'TRANSAKSI PENJUALAN'!$M$5:$M$504,"Lunas"))</f>
        <v/>
      </c>
      <c r="J234" s="0" t="str">
        <f aca="false">IF(A234="","",F234+G234+H234-I234)</f>
        <v/>
      </c>
      <c r="L234" s="0" t="str">
        <f aca="false">IF(A234="","",IF(NOT(ISNUMBER(K234)),"ISI KAS FISIK",K234-J234))</f>
        <v/>
      </c>
      <c r="M234" s="0" t="str">
        <f aca="false">IF(A234="","",IF(NOT(ISNUMBER(L234)),"BELUM TUTUP",IF(L234=0,"Pas",IF(L234&gt;0,"Lebih","Kurang"))))</f>
        <v/>
      </c>
    </row>
    <row r="235" customFormat="false" ht="15" hidden="false" customHeight="false" outlineLevel="0" collapsed="false">
      <c r="G235" s="0" t="str">
        <f aca="false">IF(A235="","",SUMIFS('TRANSAKSI PENJUALAN'!$K$5:$K$504,'TRANSAKSI PENJUALAN'!$B$5:$B$504,B235,'TRANSAKSI PENJUALAN'!$E$5:$E$504,C235,'TRANSAKSI PENJUALAN'!$L$5:$L$504,"Tunai",'TRANSAKSI PENJUALAN'!$M$5:$M$504,"Lunas"))</f>
        <v/>
      </c>
      <c r="J235" s="0" t="str">
        <f aca="false">IF(A235="","",F235+G235+H235-I235)</f>
        <v/>
      </c>
      <c r="L235" s="0" t="str">
        <f aca="false">IF(A235="","",IF(NOT(ISNUMBER(K235)),"ISI KAS FISIK",K235-J235))</f>
        <v/>
      </c>
      <c r="M235" s="0" t="str">
        <f aca="false">IF(A235="","",IF(NOT(ISNUMBER(L235)),"BELUM TUTUP",IF(L235=0,"Pas",IF(L235&gt;0,"Lebih","Kurang"))))</f>
        <v/>
      </c>
    </row>
    <row r="236" customFormat="false" ht="15" hidden="false" customHeight="false" outlineLevel="0" collapsed="false">
      <c r="G236" s="0" t="str">
        <f aca="false">IF(A236="","",SUMIFS('TRANSAKSI PENJUALAN'!$K$5:$K$504,'TRANSAKSI PENJUALAN'!$B$5:$B$504,B236,'TRANSAKSI PENJUALAN'!$E$5:$E$504,C236,'TRANSAKSI PENJUALAN'!$L$5:$L$504,"Tunai",'TRANSAKSI PENJUALAN'!$M$5:$M$504,"Lunas"))</f>
        <v/>
      </c>
      <c r="J236" s="0" t="str">
        <f aca="false">IF(A236="","",F236+G236+H236-I236)</f>
        <v/>
      </c>
      <c r="L236" s="0" t="str">
        <f aca="false">IF(A236="","",IF(NOT(ISNUMBER(K236)),"ISI KAS FISIK",K236-J236))</f>
        <v/>
      </c>
      <c r="M236" s="0" t="str">
        <f aca="false">IF(A236="","",IF(NOT(ISNUMBER(L236)),"BELUM TUTUP",IF(L236=0,"Pas",IF(L236&gt;0,"Lebih","Kurang"))))</f>
        <v/>
      </c>
    </row>
    <row r="237" customFormat="false" ht="15" hidden="false" customHeight="false" outlineLevel="0" collapsed="false">
      <c r="G237" s="0" t="str">
        <f aca="false">IF(A237="","",SUMIFS('TRANSAKSI PENJUALAN'!$K$5:$K$504,'TRANSAKSI PENJUALAN'!$B$5:$B$504,B237,'TRANSAKSI PENJUALAN'!$E$5:$E$504,C237,'TRANSAKSI PENJUALAN'!$L$5:$L$504,"Tunai",'TRANSAKSI PENJUALAN'!$M$5:$M$504,"Lunas"))</f>
        <v/>
      </c>
      <c r="J237" s="0" t="str">
        <f aca="false">IF(A237="","",F237+G237+H237-I237)</f>
        <v/>
      </c>
      <c r="L237" s="0" t="str">
        <f aca="false">IF(A237="","",IF(NOT(ISNUMBER(K237)),"ISI KAS FISIK",K237-J237))</f>
        <v/>
      </c>
      <c r="M237" s="0" t="str">
        <f aca="false">IF(A237="","",IF(NOT(ISNUMBER(L237)),"BELUM TUTUP",IF(L237=0,"Pas",IF(L237&gt;0,"Lebih","Kurang"))))</f>
        <v/>
      </c>
    </row>
    <row r="238" customFormat="false" ht="15" hidden="false" customHeight="false" outlineLevel="0" collapsed="false">
      <c r="G238" s="0" t="str">
        <f aca="false">IF(A238="","",SUMIFS('TRANSAKSI PENJUALAN'!$K$5:$K$504,'TRANSAKSI PENJUALAN'!$B$5:$B$504,B238,'TRANSAKSI PENJUALAN'!$E$5:$E$504,C238,'TRANSAKSI PENJUALAN'!$L$5:$L$504,"Tunai",'TRANSAKSI PENJUALAN'!$M$5:$M$504,"Lunas"))</f>
        <v/>
      </c>
      <c r="J238" s="0" t="str">
        <f aca="false">IF(A238="","",F238+G238+H238-I238)</f>
        <v/>
      </c>
      <c r="L238" s="0" t="str">
        <f aca="false">IF(A238="","",IF(NOT(ISNUMBER(K238)),"ISI KAS FISIK",K238-J238))</f>
        <v/>
      </c>
      <c r="M238" s="0" t="str">
        <f aca="false">IF(A238="","",IF(NOT(ISNUMBER(L238)),"BELUM TUTUP",IF(L238=0,"Pas",IF(L238&gt;0,"Lebih","Kurang"))))</f>
        <v/>
      </c>
    </row>
    <row r="239" customFormat="false" ht="15" hidden="false" customHeight="false" outlineLevel="0" collapsed="false">
      <c r="G239" s="0" t="str">
        <f aca="false">IF(A239="","",SUMIFS('TRANSAKSI PENJUALAN'!$K$5:$K$504,'TRANSAKSI PENJUALAN'!$B$5:$B$504,B239,'TRANSAKSI PENJUALAN'!$E$5:$E$504,C239,'TRANSAKSI PENJUALAN'!$L$5:$L$504,"Tunai",'TRANSAKSI PENJUALAN'!$M$5:$M$504,"Lunas"))</f>
        <v/>
      </c>
      <c r="J239" s="0" t="str">
        <f aca="false">IF(A239="","",F239+G239+H239-I239)</f>
        <v/>
      </c>
      <c r="L239" s="0" t="str">
        <f aca="false">IF(A239="","",IF(NOT(ISNUMBER(K239)),"ISI KAS FISIK",K239-J239))</f>
        <v/>
      </c>
      <c r="M239" s="0" t="str">
        <f aca="false">IF(A239="","",IF(NOT(ISNUMBER(L239)),"BELUM TUTUP",IF(L239=0,"Pas",IF(L239&gt;0,"Lebih","Kurang"))))</f>
        <v/>
      </c>
    </row>
    <row r="240" customFormat="false" ht="15" hidden="false" customHeight="false" outlineLevel="0" collapsed="false">
      <c r="G240" s="0" t="str">
        <f aca="false">IF(A240="","",SUMIFS('TRANSAKSI PENJUALAN'!$K$5:$K$504,'TRANSAKSI PENJUALAN'!$B$5:$B$504,B240,'TRANSAKSI PENJUALAN'!$E$5:$E$504,C240,'TRANSAKSI PENJUALAN'!$L$5:$L$504,"Tunai",'TRANSAKSI PENJUALAN'!$M$5:$M$504,"Lunas"))</f>
        <v/>
      </c>
      <c r="J240" s="0" t="str">
        <f aca="false">IF(A240="","",F240+G240+H240-I240)</f>
        <v/>
      </c>
      <c r="L240" s="0" t="str">
        <f aca="false">IF(A240="","",IF(NOT(ISNUMBER(K240)),"ISI KAS FISIK",K240-J240))</f>
        <v/>
      </c>
      <c r="M240" s="0" t="str">
        <f aca="false">IF(A240="","",IF(NOT(ISNUMBER(L240)),"BELUM TUTUP",IF(L240=0,"Pas",IF(L240&gt;0,"Lebih","Kurang"))))</f>
        <v/>
      </c>
    </row>
    <row r="241" customFormat="false" ht="15" hidden="false" customHeight="false" outlineLevel="0" collapsed="false">
      <c r="G241" s="0" t="str">
        <f aca="false">IF(A241="","",SUMIFS('TRANSAKSI PENJUALAN'!$K$5:$K$504,'TRANSAKSI PENJUALAN'!$B$5:$B$504,B241,'TRANSAKSI PENJUALAN'!$E$5:$E$504,C241,'TRANSAKSI PENJUALAN'!$L$5:$L$504,"Tunai",'TRANSAKSI PENJUALAN'!$M$5:$M$504,"Lunas"))</f>
        <v/>
      </c>
      <c r="J241" s="0" t="str">
        <f aca="false">IF(A241="","",F241+G241+H241-I241)</f>
        <v/>
      </c>
      <c r="L241" s="0" t="str">
        <f aca="false">IF(A241="","",IF(NOT(ISNUMBER(K241)),"ISI KAS FISIK",K241-J241))</f>
        <v/>
      </c>
      <c r="M241" s="0" t="str">
        <f aca="false">IF(A241="","",IF(NOT(ISNUMBER(L241)),"BELUM TUTUP",IF(L241=0,"Pas",IF(L241&gt;0,"Lebih","Kurang"))))</f>
        <v/>
      </c>
    </row>
    <row r="242" customFormat="false" ht="15" hidden="false" customHeight="false" outlineLevel="0" collapsed="false">
      <c r="G242" s="0" t="str">
        <f aca="false">IF(A242="","",SUMIFS('TRANSAKSI PENJUALAN'!$K$5:$K$504,'TRANSAKSI PENJUALAN'!$B$5:$B$504,B242,'TRANSAKSI PENJUALAN'!$E$5:$E$504,C242,'TRANSAKSI PENJUALAN'!$L$5:$L$504,"Tunai",'TRANSAKSI PENJUALAN'!$M$5:$M$504,"Lunas"))</f>
        <v/>
      </c>
      <c r="J242" s="0" t="str">
        <f aca="false">IF(A242="","",F242+G242+H242-I242)</f>
        <v/>
      </c>
      <c r="L242" s="0" t="str">
        <f aca="false">IF(A242="","",IF(NOT(ISNUMBER(K242)),"ISI KAS FISIK",K242-J242))</f>
        <v/>
      </c>
      <c r="M242" s="0" t="str">
        <f aca="false">IF(A242="","",IF(NOT(ISNUMBER(L242)),"BELUM TUTUP",IF(L242=0,"Pas",IF(L242&gt;0,"Lebih","Kurang"))))</f>
        <v/>
      </c>
    </row>
    <row r="243" customFormat="false" ht="15" hidden="false" customHeight="false" outlineLevel="0" collapsed="false">
      <c r="G243" s="0" t="str">
        <f aca="false">IF(A243="","",SUMIFS('TRANSAKSI PENJUALAN'!$K$5:$K$504,'TRANSAKSI PENJUALAN'!$B$5:$B$504,B243,'TRANSAKSI PENJUALAN'!$E$5:$E$504,C243,'TRANSAKSI PENJUALAN'!$L$5:$L$504,"Tunai",'TRANSAKSI PENJUALAN'!$M$5:$M$504,"Lunas"))</f>
        <v/>
      </c>
      <c r="J243" s="0" t="str">
        <f aca="false">IF(A243="","",F243+G243+H243-I243)</f>
        <v/>
      </c>
      <c r="L243" s="0" t="str">
        <f aca="false">IF(A243="","",IF(NOT(ISNUMBER(K243)),"ISI KAS FISIK",K243-J243))</f>
        <v/>
      </c>
      <c r="M243" s="0" t="str">
        <f aca="false">IF(A243="","",IF(NOT(ISNUMBER(L243)),"BELUM TUTUP",IF(L243=0,"Pas",IF(L243&gt;0,"Lebih","Kurang"))))</f>
        <v/>
      </c>
    </row>
    <row r="244" customFormat="false" ht="15" hidden="false" customHeight="false" outlineLevel="0" collapsed="false">
      <c r="G244" s="0" t="str">
        <f aca="false">IF(A244="","",SUMIFS('TRANSAKSI PENJUALAN'!$K$5:$K$504,'TRANSAKSI PENJUALAN'!$B$5:$B$504,B244,'TRANSAKSI PENJUALAN'!$E$5:$E$504,C244,'TRANSAKSI PENJUALAN'!$L$5:$L$504,"Tunai",'TRANSAKSI PENJUALAN'!$M$5:$M$504,"Lunas"))</f>
        <v/>
      </c>
      <c r="J244" s="0" t="str">
        <f aca="false">IF(A244="","",F244+G244+H244-I244)</f>
        <v/>
      </c>
      <c r="L244" s="0" t="str">
        <f aca="false">IF(A244="","",IF(NOT(ISNUMBER(K244)),"ISI KAS FISIK",K244-J244))</f>
        <v/>
      </c>
      <c r="M244" s="0" t="str">
        <f aca="false">IF(A244="","",IF(NOT(ISNUMBER(L244)),"BELUM TUTUP",IF(L244=0,"Pas",IF(L244&gt;0,"Lebih","Kurang"))))</f>
        <v/>
      </c>
    </row>
    <row r="245" customFormat="false" ht="15" hidden="false" customHeight="false" outlineLevel="0" collapsed="false">
      <c r="G245" s="0" t="str">
        <f aca="false">IF(A245="","",SUMIFS('TRANSAKSI PENJUALAN'!$K$5:$K$504,'TRANSAKSI PENJUALAN'!$B$5:$B$504,B245,'TRANSAKSI PENJUALAN'!$E$5:$E$504,C245,'TRANSAKSI PENJUALAN'!$L$5:$L$504,"Tunai",'TRANSAKSI PENJUALAN'!$M$5:$M$504,"Lunas"))</f>
        <v/>
      </c>
      <c r="J245" s="0" t="str">
        <f aca="false">IF(A245="","",F245+G245+H245-I245)</f>
        <v/>
      </c>
      <c r="L245" s="0" t="str">
        <f aca="false">IF(A245="","",IF(NOT(ISNUMBER(K245)),"ISI KAS FISIK",K245-J245))</f>
        <v/>
      </c>
      <c r="M245" s="0" t="str">
        <f aca="false">IF(A245="","",IF(NOT(ISNUMBER(L245)),"BELUM TUTUP",IF(L245=0,"Pas",IF(L245&gt;0,"Lebih","Kurang"))))</f>
        <v/>
      </c>
    </row>
    <row r="246" customFormat="false" ht="15" hidden="false" customHeight="false" outlineLevel="0" collapsed="false">
      <c r="G246" s="0" t="str">
        <f aca="false">IF(A246="","",SUMIFS('TRANSAKSI PENJUALAN'!$K$5:$K$504,'TRANSAKSI PENJUALAN'!$B$5:$B$504,B246,'TRANSAKSI PENJUALAN'!$E$5:$E$504,C246,'TRANSAKSI PENJUALAN'!$L$5:$L$504,"Tunai",'TRANSAKSI PENJUALAN'!$M$5:$M$504,"Lunas"))</f>
        <v/>
      </c>
      <c r="J246" s="0" t="str">
        <f aca="false">IF(A246="","",F246+G246+H246-I246)</f>
        <v/>
      </c>
      <c r="L246" s="0" t="str">
        <f aca="false">IF(A246="","",IF(NOT(ISNUMBER(K246)),"ISI KAS FISIK",K246-J246))</f>
        <v/>
      </c>
      <c r="M246" s="0" t="str">
        <f aca="false">IF(A246="","",IF(NOT(ISNUMBER(L246)),"BELUM TUTUP",IF(L246=0,"Pas",IF(L246&gt;0,"Lebih","Kurang"))))</f>
        <v/>
      </c>
    </row>
    <row r="247" customFormat="false" ht="15" hidden="false" customHeight="false" outlineLevel="0" collapsed="false">
      <c r="G247" s="0" t="str">
        <f aca="false">IF(A247="","",SUMIFS('TRANSAKSI PENJUALAN'!$K$5:$K$504,'TRANSAKSI PENJUALAN'!$B$5:$B$504,B247,'TRANSAKSI PENJUALAN'!$E$5:$E$504,C247,'TRANSAKSI PENJUALAN'!$L$5:$L$504,"Tunai",'TRANSAKSI PENJUALAN'!$M$5:$M$504,"Lunas"))</f>
        <v/>
      </c>
      <c r="J247" s="0" t="str">
        <f aca="false">IF(A247="","",F247+G247+H247-I247)</f>
        <v/>
      </c>
      <c r="L247" s="0" t="str">
        <f aca="false">IF(A247="","",IF(NOT(ISNUMBER(K247)),"ISI KAS FISIK",K247-J247))</f>
        <v/>
      </c>
      <c r="M247" s="0" t="str">
        <f aca="false">IF(A247="","",IF(NOT(ISNUMBER(L247)),"BELUM TUTUP",IF(L247=0,"Pas",IF(L247&gt;0,"Lebih","Kurang"))))</f>
        <v/>
      </c>
    </row>
    <row r="248" customFormat="false" ht="15" hidden="false" customHeight="false" outlineLevel="0" collapsed="false">
      <c r="G248" s="0" t="str">
        <f aca="false">IF(A248="","",SUMIFS('TRANSAKSI PENJUALAN'!$K$5:$K$504,'TRANSAKSI PENJUALAN'!$B$5:$B$504,B248,'TRANSAKSI PENJUALAN'!$E$5:$E$504,C248,'TRANSAKSI PENJUALAN'!$L$5:$L$504,"Tunai",'TRANSAKSI PENJUALAN'!$M$5:$M$504,"Lunas"))</f>
        <v/>
      </c>
      <c r="J248" s="0" t="str">
        <f aca="false">IF(A248="","",F248+G248+H248-I248)</f>
        <v/>
      </c>
      <c r="L248" s="0" t="str">
        <f aca="false">IF(A248="","",IF(NOT(ISNUMBER(K248)),"ISI KAS FISIK",K248-J248))</f>
        <v/>
      </c>
      <c r="M248" s="0" t="str">
        <f aca="false">IF(A248="","",IF(NOT(ISNUMBER(L248)),"BELUM TUTUP",IF(L248=0,"Pas",IF(L248&gt;0,"Lebih","Kurang"))))</f>
        <v/>
      </c>
    </row>
    <row r="249" customFormat="false" ht="15" hidden="false" customHeight="false" outlineLevel="0" collapsed="false">
      <c r="G249" s="0" t="str">
        <f aca="false">IF(A249="","",SUMIFS('TRANSAKSI PENJUALAN'!$K$5:$K$504,'TRANSAKSI PENJUALAN'!$B$5:$B$504,B249,'TRANSAKSI PENJUALAN'!$E$5:$E$504,C249,'TRANSAKSI PENJUALAN'!$L$5:$L$504,"Tunai",'TRANSAKSI PENJUALAN'!$M$5:$M$504,"Lunas"))</f>
        <v/>
      </c>
      <c r="J249" s="0" t="str">
        <f aca="false">IF(A249="","",F249+G249+H249-I249)</f>
        <v/>
      </c>
      <c r="L249" s="0" t="str">
        <f aca="false">IF(A249="","",IF(NOT(ISNUMBER(K249)),"ISI KAS FISIK",K249-J249))</f>
        <v/>
      </c>
      <c r="M249" s="0" t="str">
        <f aca="false">IF(A249="","",IF(NOT(ISNUMBER(L249)),"BELUM TUTUP",IF(L249=0,"Pas",IF(L249&gt;0,"Lebih","Kurang"))))</f>
        <v/>
      </c>
    </row>
    <row r="250" customFormat="false" ht="15" hidden="false" customHeight="false" outlineLevel="0" collapsed="false">
      <c r="G250" s="0" t="str">
        <f aca="false">IF(A250="","",SUMIFS('TRANSAKSI PENJUALAN'!$K$5:$K$504,'TRANSAKSI PENJUALAN'!$B$5:$B$504,B250,'TRANSAKSI PENJUALAN'!$E$5:$E$504,C250,'TRANSAKSI PENJUALAN'!$L$5:$L$504,"Tunai",'TRANSAKSI PENJUALAN'!$M$5:$M$504,"Lunas"))</f>
        <v/>
      </c>
      <c r="J250" s="0" t="str">
        <f aca="false">IF(A250="","",F250+G250+H250-I250)</f>
        <v/>
      </c>
      <c r="L250" s="0" t="str">
        <f aca="false">IF(A250="","",IF(NOT(ISNUMBER(K250)),"ISI KAS FISIK",K250-J250))</f>
        <v/>
      </c>
      <c r="M250" s="0" t="str">
        <f aca="false">IF(A250="","",IF(NOT(ISNUMBER(L250)),"BELUM TUTUP",IF(L250=0,"Pas",IF(L250&gt;0,"Lebih","Kurang"))))</f>
        <v/>
      </c>
    </row>
    <row r="251" customFormat="false" ht="15" hidden="false" customHeight="false" outlineLevel="0" collapsed="false">
      <c r="G251" s="0" t="str">
        <f aca="false">IF(A251="","",SUMIFS('TRANSAKSI PENJUALAN'!$K$5:$K$504,'TRANSAKSI PENJUALAN'!$B$5:$B$504,B251,'TRANSAKSI PENJUALAN'!$E$5:$E$504,C251,'TRANSAKSI PENJUALAN'!$L$5:$L$504,"Tunai",'TRANSAKSI PENJUALAN'!$M$5:$M$504,"Lunas"))</f>
        <v/>
      </c>
      <c r="J251" s="0" t="str">
        <f aca="false">IF(A251="","",F251+G251+H251-I251)</f>
        <v/>
      </c>
      <c r="L251" s="0" t="str">
        <f aca="false">IF(A251="","",IF(NOT(ISNUMBER(K251)),"ISI KAS FISIK",K251-J251))</f>
        <v/>
      </c>
      <c r="M251" s="0" t="str">
        <f aca="false">IF(A251="","",IF(NOT(ISNUMBER(L251)),"BELUM TUTUP",IF(L251=0,"Pas",IF(L251&gt;0,"Lebih","Kurang"))))</f>
        <v/>
      </c>
    </row>
    <row r="252" customFormat="false" ht="15" hidden="false" customHeight="false" outlineLevel="0" collapsed="false">
      <c r="G252" s="0" t="str">
        <f aca="false">IF(A252="","",SUMIFS('TRANSAKSI PENJUALAN'!$K$5:$K$504,'TRANSAKSI PENJUALAN'!$B$5:$B$504,B252,'TRANSAKSI PENJUALAN'!$E$5:$E$504,C252,'TRANSAKSI PENJUALAN'!$L$5:$L$504,"Tunai",'TRANSAKSI PENJUALAN'!$M$5:$M$504,"Lunas"))</f>
        <v/>
      </c>
      <c r="J252" s="0" t="str">
        <f aca="false">IF(A252="","",F252+G252+H252-I252)</f>
        <v/>
      </c>
      <c r="L252" s="0" t="str">
        <f aca="false">IF(A252="","",IF(NOT(ISNUMBER(K252)),"ISI KAS FISIK",K252-J252))</f>
        <v/>
      </c>
      <c r="M252" s="0" t="str">
        <f aca="false">IF(A252="","",IF(NOT(ISNUMBER(L252)),"BELUM TUTUP",IF(L252=0,"Pas",IF(L252&gt;0,"Lebih","Kurang"))))</f>
        <v/>
      </c>
    </row>
    <row r="253" customFormat="false" ht="15" hidden="false" customHeight="false" outlineLevel="0" collapsed="false">
      <c r="G253" s="0" t="str">
        <f aca="false">IF(A253="","",SUMIFS('TRANSAKSI PENJUALAN'!$K$5:$K$504,'TRANSAKSI PENJUALAN'!$B$5:$B$504,B253,'TRANSAKSI PENJUALAN'!$E$5:$E$504,C253,'TRANSAKSI PENJUALAN'!$L$5:$L$504,"Tunai",'TRANSAKSI PENJUALAN'!$M$5:$M$504,"Lunas"))</f>
        <v/>
      </c>
      <c r="J253" s="0" t="str">
        <f aca="false">IF(A253="","",F253+G253+H253-I253)</f>
        <v/>
      </c>
      <c r="L253" s="0" t="str">
        <f aca="false">IF(A253="","",IF(NOT(ISNUMBER(K253)),"ISI KAS FISIK",K253-J253))</f>
        <v/>
      </c>
      <c r="M253" s="0" t="str">
        <f aca="false">IF(A253="","",IF(NOT(ISNUMBER(L253)),"BELUM TUTUP",IF(L253=0,"Pas",IF(L253&gt;0,"Lebih","Kurang"))))</f>
        <v/>
      </c>
    </row>
    <row r="254" customFormat="false" ht="15" hidden="false" customHeight="false" outlineLevel="0" collapsed="false">
      <c r="G254" s="0" t="str">
        <f aca="false">IF(A254="","",SUMIFS('TRANSAKSI PENJUALAN'!$K$5:$K$504,'TRANSAKSI PENJUALAN'!$B$5:$B$504,B254,'TRANSAKSI PENJUALAN'!$E$5:$E$504,C254,'TRANSAKSI PENJUALAN'!$L$5:$L$504,"Tunai",'TRANSAKSI PENJUALAN'!$M$5:$M$504,"Lunas"))</f>
        <v/>
      </c>
      <c r="J254" s="0" t="str">
        <f aca="false">IF(A254="","",F254+G254+H254-I254)</f>
        <v/>
      </c>
      <c r="L254" s="0" t="str">
        <f aca="false">IF(A254="","",IF(NOT(ISNUMBER(K254)),"ISI KAS FISIK",K254-J254))</f>
        <v/>
      </c>
      <c r="M254" s="0" t="str">
        <f aca="false">IF(A254="","",IF(NOT(ISNUMBER(L254)),"BELUM TUTUP",IF(L254=0,"Pas",IF(L254&gt;0,"Lebih","Kurang"))))</f>
        <v/>
      </c>
    </row>
    <row r="255" customFormat="false" ht="15" hidden="false" customHeight="false" outlineLevel="0" collapsed="false">
      <c r="G255" s="0" t="str">
        <f aca="false">IF(A255="","",SUMIFS('TRANSAKSI PENJUALAN'!$K$5:$K$504,'TRANSAKSI PENJUALAN'!$B$5:$B$504,B255,'TRANSAKSI PENJUALAN'!$E$5:$E$504,C255,'TRANSAKSI PENJUALAN'!$L$5:$L$504,"Tunai",'TRANSAKSI PENJUALAN'!$M$5:$M$504,"Lunas"))</f>
        <v/>
      </c>
      <c r="J255" s="0" t="str">
        <f aca="false">IF(A255="","",F255+G255+H255-I255)</f>
        <v/>
      </c>
      <c r="L255" s="0" t="str">
        <f aca="false">IF(A255="","",IF(NOT(ISNUMBER(K255)),"ISI KAS FISIK",K255-J255))</f>
        <v/>
      </c>
      <c r="M255" s="0" t="str">
        <f aca="false">IF(A255="","",IF(NOT(ISNUMBER(L255)),"BELUM TUTUP",IF(L255=0,"Pas",IF(L255&gt;0,"Lebih","Kurang"))))</f>
        <v/>
      </c>
    </row>
    <row r="256" customFormat="false" ht="15" hidden="false" customHeight="false" outlineLevel="0" collapsed="false">
      <c r="G256" s="0" t="str">
        <f aca="false">IF(A256="","",SUMIFS('TRANSAKSI PENJUALAN'!$K$5:$K$504,'TRANSAKSI PENJUALAN'!$B$5:$B$504,B256,'TRANSAKSI PENJUALAN'!$E$5:$E$504,C256,'TRANSAKSI PENJUALAN'!$L$5:$L$504,"Tunai",'TRANSAKSI PENJUALAN'!$M$5:$M$504,"Lunas"))</f>
        <v/>
      </c>
      <c r="J256" s="0" t="str">
        <f aca="false">IF(A256="","",F256+G256+H256-I256)</f>
        <v/>
      </c>
      <c r="L256" s="0" t="str">
        <f aca="false">IF(A256="","",IF(NOT(ISNUMBER(K256)),"ISI KAS FISIK",K256-J256))</f>
        <v/>
      </c>
      <c r="M256" s="0" t="str">
        <f aca="false">IF(A256="","",IF(NOT(ISNUMBER(L256)),"BELUM TUTUP",IF(L256=0,"Pas",IF(L256&gt;0,"Lebih","Kurang"))))</f>
        <v/>
      </c>
    </row>
    <row r="257" customFormat="false" ht="15" hidden="false" customHeight="false" outlineLevel="0" collapsed="false">
      <c r="G257" s="0" t="str">
        <f aca="false">IF(A257="","",SUMIFS('TRANSAKSI PENJUALAN'!$K$5:$K$504,'TRANSAKSI PENJUALAN'!$B$5:$B$504,B257,'TRANSAKSI PENJUALAN'!$E$5:$E$504,C257,'TRANSAKSI PENJUALAN'!$L$5:$L$504,"Tunai",'TRANSAKSI PENJUALAN'!$M$5:$M$504,"Lunas"))</f>
        <v/>
      </c>
      <c r="J257" s="0" t="str">
        <f aca="false">IF(A257="","",F257+G257+H257-I257)</f>
        <v/>
      </c>
      <c r="L257" s="0" t="str">
        <f aca="false">IF(A257="","",IF(NOT(ISNUMBER(K257)),"ISI KAS FISIK",K257-J257))</f>
        <v/>
      </c>
      <c r="M257" s="0" t="str">
        <f aca="false">IF(A257="","",IF(NOT(ISNUMBER(L257)),"BELUM TUTUP",IF(L257=0,"Pas",IF(L257&gt;0,"Lebih","Kurang"))))</f>
        <v/>
      </c>
    </row>
    <row r="258" customFormat="false" ht="15" hidden="false" customHeight="false" outlineLevel="0" collapsed="false">
      <c r="G258" s="0" t="str">
        <f aca="false">IF(A258="","",SUMIFS('TRANSAKSI PENJUALAN'!$K$5:$K$504,'TRANSAKSI PENJUALAN'!$B$5:$B$504,B258,'TRANSAKSI PENJUALAN'!$E$5:$E$504,C258,'TRANSAKSI PENJUALAN'!$L$5:$L$504,"Tunai",'TRANSAKSI PENJUALAN'!$M$5:$M$504,"Lunas"))</f>
        <v/>
      </c>
      <c r="J258" s="0" t="str">
        <f aca="false">IF(A258="","",F258+G258+H258-I258)</f>
        <v/>
      </c>
      <c r="L258" s="0" t="str">
        <f aca="false">IF(A258="","",IF(NOT(ISNUMBER(K258)),"ISI KAS FISIK",K258-J258))</f>
        <v/>
      </c>
      <c r="M258" s="0" t="str">
        <f aca="false">IF(A258="","",IF(NOT(ISNUMBER(L258)),"BELUM TUTUP",IF(L258=0,"Pas",IF(L258&gt;0,"Lebih","Kurang"))))</f>
        <v/>
      </c>
    </row>
    <row r="259" customFormat="false" ht="15" hidden="false" customHeight="false" outlineLevel="0" collapsed="false">
      <c r="G259" s="0" t="str">
        <f aca="false">IF(A259="","",SUMIFS('TRANSAKSI PENJUALAN'!$K$5:$K$504,'TRANSAKSI PENJUALAN'!$B$5:$B$504,B259,'TRANSAKSI PENJUALAN'!$E$5:$E$504,C259,'TRANSAKSI PENJUALAN'!$L$5:$L$504,"Tunai",'TRANSAKSI PENJUALAN'!$M$5:$M$504,"Lunas"))</f>
        <v/>
      </c>
      <c r="J259" s="0" t="str">
        <f aca="false">IF(A259="","",F259+G259+H259-I259)</f>
        <v/>
      </c>
      <c r="L259" s="0" t="str">
        <f aca="false">IF(A259="","",IF(NOT(ISNUMBER(K259)),"ISI KAS FISIK",K259-J259))</f>
        <v/>
      </c>
      <c r="M259" s="0" t="str">
        <f aca="false">IF(A259="","",IF(NOT(ISNUMBER(L259)),"BELUM TUTUP",IF(L259=0,"Pas",IF(L259&gt;0,"Lebih","Kurang"))))</f>
        <v/>
      </c>
    </row>
    <row r="260" customFormat="false" ht="15" hidden="false" customHeight="false" outlineLevel="0" collapsed="false">
      <c r="G260" s="0" t="str">
        <f aca="false">IF(A260="","",SUMIFS('TRANSAKSI PENJUALAN'!$K$5:$K$504,'TRANSAKSI PENJUALAN'!$B$5:$B$504,B260,'TRANSAKSI PENJUALAN'!$E$5:$E$504,C260,'TRANSAKSI PENJUALAN'!$L$5:$L$504,"Tunai",'TRANSAKSI PENJUALAN'!$M$5:$M$504,"Lunas"))</f>
        <v/>
      </c>
      <c r="J260" s="0" t="str">
        <f aca="false">IF(A260="","",F260+G260+H260-I260)</f>
        <v/>
      </c>
      <c r="L260" s="0" t="str">
        <f aca="false">IF(A260="","",IF(NOT(ISNUMBER(K260)),"ISI KAS FISIK",K260-J260))</f>
        <v/>
      </c>
      <c r="M260" s="0" t="str">
        <f aca="false">IF(A260="","",IF(NOT(ISNUMBER(L260)),"BELUM TUTUP",IF(L260=0,"Pas",IF(L260&gt;0,"Lebih","Kurang"))))</f>
        <v/>
      </c>
    </row>
    <row r="261" customFormat="false" ht="15" hidden="false" customHeight="false" outlineLevel="0" collapsed="false">
      <c r="G261" s="0" t="str">
        <f aca="false">IF(A261="","",SUMIFS('TRANSAKSI PENJUALAN'!$K$5:$K$504,'TRANSAKSI PENJUALAN'!$B$5:$B$504,B261,'TRANSAKSI PENJUALAN'!$E$5:$E$504,C261,'TRANSAKSI PENJUALAN'!$L$5:$L$504,"Tunai",'TRANSAKSI PENJUALAN'!$M$5:$M$504,"Lunas"))</f>
        <v/>
      </c>
      <c r="J261" s="0" t="str">
        <f aca="false">IF(A261="","",F261+G261+H261-I261)</f>
        <v/>
      </c>
      <c r="L261" s="0" t="str">
        <f aca="false">IF(A261="","",IF(NOT(ISNUMBER(K261)),"ISI KAS FISIK",K261-J261))</f>
        <v/>
      </c>
      <c r="M261" s="0" t="str">
        <f aca="false">IF(A261="","",IF(NOT(ISNUMBER(L261)),"BELUM TUTUP",IF(L261=0,"Pas",IF(L261&gt;0,"Lebih","Kurang"))))</f>
        <v/>
      </c>
    </row>
    <row r="262" customFormat="false" ht="15" hidden="false" customHeight="false" outlineLevel="0" collapsed="false">
      <c r="G262" s="0" t="str">
        <f aca="false">IF(A262="","",SUMIFS('TRANSAKSI PENJUALAN'!$K$5:$K$504,'TRANSAKSI PENJUALAN'!$B$5:$B$504,B262,'TRANSAKSI PENJUALAN'!$E$5:$E$504,C262,'TRANSAKSI PENJUALAN'!$L$5:$L$504,"Tunai",'TRANSAKSI PENJUALAN'!$M$5:$M$504,"Lunas"))</f>
        <v/>
      </c>
      <c r="J262" s="0" t="str">
        <f aca="false">IF(A262="","",F262+G262+H262-I262)</f>
        <v/>
      </c>
      <c r="L262" s="0" t="str">
        <f aca="false">IF(A262="","",IF(NOT(ISNUMBER(K262)),"ISI KAS FISIK",K262-J262))</f>
        <v/>
      </c>
      <c r="M262" s="0" t="str">
        <f aca="false">IF(A262="","",IF(NOT(ISNUMBER(L262)),"BELUM TUTUP",IF(L262=0,"Pas",IF(L262&gt;0,"Lebih","Kurang"))))</f>
        <v/>
      </c>
    </row>
    <row r="263" customFormat="false" ht="15" hidden="false" customHeight="false" outlineLevel="0" collapsed="false">
      <c r="G263" s="0" t="str">
        <f aca="false">IF(A263="","",SUMIFS('TRANSAKSI PENJUALAN'!$K$5:$K$504,'TRANSAKSI PENJUALAN'!$B$5:$B$504,B263,'TRANSAKSI PENJUALAN'!$E$5:$E$504,C263,'TRANSAKSI PENJUALAN'!$L$5:$L$504,"Tunai",'TRANSAKSI PENJUALAN'!$M$5:$M$504,"Lunas"))</f>
        <v/>
      </c>
      <c r="J263" s="0" t="str">
        <f aca="false">IF(A263="","",F263+G263+H263-I263)</f>
        <v/>
      </c>
      <c r="L263" s="0" t="str">
        <f aca="false">IF(A263="","",IF(NOT(ISNUMBER(K263)),"ISI KAS FISIK",K263-J263))</f>
        <v/>
      </c>
      <c r="M263" s="0" t="str">
        <f aca="false">IF(A263="","",IF(NOT(ISNUMBER(L263)),"BELUM TUTUP",IF(L263=0,"Pas",IF(L263&gt;0,"Lebih","Kurang"))))</f>
        <v/>
      </c>
    </row>
    <row r="264" customFormat="false" ht="15" hidden="false" customHeight="false" outlineLevel="0" collapsed="false">
      <c r="G264" s="0" t="str">
        <f aca="false">IF(A264="","",SUMIFS('TRANSAKSI PENJUALAN'!$K$5:$K$504,'TRANSAKSI PENJUALAN'!$B$5:$B$504,B264,'TRANSAKSI PENJUALAN'!$E$5:$E$504,C264,'TRANSAKSI PENJUALAN'!$L$5:$L$504,"Tunai",'TRANSAKSI PENJUALAN'!$M$5:$M$504,"Lunas"))</f>
        <v/>
      </c>
      <c r="J264" s="0" t="str">
        <f aca="false">IF(A264="","",F264+G264+H264-I264)</f>
        <v/>
      </c>
      <c r="L264" s="0" t="str">
        <f aca="false">IF(A264="","",IF(NOT(ISNUMBER(K264)),"ISI KAS FISIK",K264-J264))</f>
        <v/>
      </c>
      <c r="M264" s="0" t="str">
        <f aca="false">IF(A264="","",IF(NOT(ISNUMBER(L264)),"BELUM TUTUP",IF(L264=0,"Pas",IF(L264&gt;0,"Lebih","Kurang"))))</f>
        <v/>
      </c>
    </row>
    <row r="265" customFormat="false" ht="15" hidden="false" customHeight="false" outlineLevel="0" collapsed="false">
      <c r="G265" s="0" t="str">
        <f aca="false">IF(A265="","",SUMIFS('TRANSAKSI PENJUALAN'!$K$5:$K$504,'TRANSAKSI PENJUALAN'!$B$5:$B$504,B265,'TRANSAKSI PENJUALAN'!$E$5:$E$504,C265,'TRANSAKSI PENJUALAN'!$L$5:$L$504,"Tunai",'TRANSAKSI PENJUALAN'!$M$5:$M$504,"Lunas"))</f>
        <v/>
      </c>
      <c r="J265" s="0" t="str">
        <f aca="false">IF(A265="","",F265+G265+H265-I265)</f>
        <v/>
      </c>
      <c r="L265" s="0" t="str">
        <f aca="false">IF(A265="","",IF(NOT(ISNUMBER(K265)),"ISI KAS FISIK",K265-J265))</f>
        <v/>
      </c>
      <c r="M265" s="0" t="str">
        <f aca="false">IF(A265="","",IF(NOT(ISNUMBER(L265)),"BELUM TUTUP",IF(L265=0,"Pas",IF(L265&gt;0,"Lebih","Kurang"))))</f>
        <v/>
      </c>
    </row>
    <row r="266" customFormat="false" ht="15" hidden="false" customHeight="false" outlineLevel="0" collapsed="false">
      <c r="G266" s="0" t="str">
        <f aca="false">IF(A266="","",SUMIFS('TRANSAKSI PENJUALAN'!$K$5:$K$504,'TRANSAKSI PENJUALAN'!$B$5:$B$504,B266,'TRANSAKSI PENJUALAN'!$E$5:$E$504,C266,'TRANSAKSI PENJUALAN'!$L$5:$L$504,"Tunai",'TRANSAKSI PENJUALAN'!$M$5:$M$504,"Lunas"))</f>
        <v/>
      </c>
      <c r="J266" s="0" t="str">
        <f aca="false">IF(A266="","",F266+G266+H266-I266)</f>
        <v/>
      </c>
      <c r="L266" s="0" t="str">
        <f aca="false">IF(A266="","",IF(NOT(ISNUMBER(K266)),"ISI KAS FISIK",K266-J266))</f>
        <v/>
      </c>
      <c r="M266" s="0" t="str">
        <f aca="false">IF(A266="","",IF(NOT(ISNUMBER(L266)),"BELUM TUTUP",IF(L266=0,"Pas",IF(L266&gt;0,"Lebih","Kurang"))))</f>
        <v/>
      </c>
    </row>
    <row r="267" customFormat="false" ht="15" hidden="false" customHeight="false" outlineLevel="0" collapsed="false">
      <c r="G267" s="0" t="str">
        <f aca="false">IF(A267="","",SUMIFS('TRANSAKSI PENJUALAN'!$K$5:$K$504,'TRANSAKSI PENJUALAN'!$B$5:$B$504,B267,'TRANSAKSI PENJUALAN'!$E$5:$E$504,C267,'TRANSAKSI PENJUALAN'!$L$5:$L$504,"Tunai",'TRANSAKSI PENJUALAN'!$M$5:$M$504,"Lunas"))</f>
        <v/>
      </c>
      <c r="J267" s="0" t="str">
        <f aca="false">IF(A267="","",F267+G267+H267-I267)</f>
        <v/>
      </c>
      <c r="L267" s="0" t="str">
        <f aca="false">IF(A267="","",IF(NOT(ISNUMBER(K267)),"ISI KAS FISIK",K267-J267))</f>
        <v/>
      </c>
      <c r="M267" s="0" t="str">
        <f aca="false">IF(A267="","",IF(NOT(ISNUMBER(L267)),"BELUM TUTUP",IF(L267=0,"Pas",IF(L267&gt;0,"Lebih","Kurang"))))</f>
        <v/>
      </c>
    </row>
    <row r="268" customFormat="false" ht="15" hidden="false" customHeight="false" outlineLevel="0" collapsed="false">
      <c r="G268" s="0" t="str">
        <f aca="false">IF(A268="","",SUMIFS('TRANSAKSI PENJUALAN'!$K$5:$K$504,'TRANSAKSI PENJUALAN'!$B$5:$B$504,B268,'TRANSAKSI PENJUALAN'!$E$5:$E$504,C268,'TRANSAKSI PENJUALAN'!$L$5:$L$504,"Tunai",'TRANSAKSI PENJUALAN'!$M$5:$M$504,"Lunas"))</f>
        <v/>
      </c>
      <c r="J268" s="0" t="str">
        <f aca="false">IF(A268="","",F268+G268+H268-I268)</f>
        <v/>
      </c>
      <c r="L268" s="0" t="str">
        <f aca="false">IF(A268="","",IF(NOT(ISNUMBER(K268)),"ISI KAS FISIK",K268-J268))</f>
        <v/>
      </c>
      <c r="M268" s="0" t="str">
        <f aca="false">IF(A268="","",IF(NOT(ISNUMBER(L268)),"BELUM TUTUP",IF(L268=0,"Pas",IF(L268&gt;0,"Lebih","Kurang"))))</f>
        <v/>
      </c>
    </row>
    <row r="269" customFormat="false" ht="15" hidden="false" customHeight="false" outlineLevel="0" collapsed="false">
      <c r="G269" s="0" t="str">
        <f aca="false">IF(A269="","",SUMIFS('TRANSAKSI PENJUALAN'!$K$5:$K$504,'TRANSAKSI PENJUALAN'!$B$5:$B$504,B269,'TRANSAKSI PENJUALAN'!$E$5:$E$504,C269,'TRANSAKSI PENJUALAN'!$L$5:$L$504,"Tunai",'TRANSAKSI PENJUALAN'!$M$5:$M$504,"Lunas"))</f>
        <v/>
      </c>
      <c r="J269" s="0" t="str">
        <f aca="false">IF(A269="","",F269+G269+H269-I269)</f>
        <v/>
      </c>
      <c r="L269" s="0" t="str">
        <f aca="false">IF(A269="","",IF(NOT(ISNUMBER(K269)),"ISI KAS FISIK",K269-J269))</f>
        <v/>
      </c>
      <c r="M269" s="0" t="str">
        <f aca="false">IF(A269="","",IF(NOT(ISNUMBER(L269)),"BELUM TUTUP",IF(L269=0,"Pas",IF(L269&gt;0,"Lebih","Kurang"))))</f>
        <v/>
      </c>
    </row>
    <row r="270" customFormat="false" ht="15" hidden="false" customHeight="false" outlineLevel="0" collapsed="false">
      <c r="G270" s="0" t="str">
        <f aca="false">IF(A270="","",SUMIFS('TRANSAKSI PENJUALAN'!$K$5:$K$504,'TRANSAKSI PENJUALAN'!$B$5:$B$504,B270,'TRANSAKSI PENJUALAN'!$E$5:$E$504,C270,'TRANSAKSI PENJUALAN'!$L$5:$L$504,"Tunai",'TRANSAKSI PENJUALAN'!$M$5:$M$504,"Lunas"))</f>
        <v/>
      </c>
      <c r="J270" s="0" t="str">
        <f aca="false">IF(A270="","",F270+G270+H270-I270)</f>
        <v/>
      </c>
      <c r="L270" s="0" t="str">
        <f aca="false">IF(A270="","",IF(NOT(ISNUMBER(K270)),"ISI KAS FISIK",K270-J270))</f>
        <v/>
      </c>
      <c r="M270" s="0" t="str">
        <f aca="false">IF(A270="","",IF(NOT(ISNUMBER(L270)),"BELUM TUTUP",IF(L270=0,"Pas",IF(L270&gt;0,"Lebih","Kurang"))))</f>
        <v/>
      </c>
    </row>
    <row r="271" customFormat="false" ht="15" hidden="false" customHeight="false" outlineLevel="0" collapsed="false">
      <c r="G271" s="0" t="str">
        <f aca="false">IF(A271="","",SUMIFS('TRANSAKSI PENJUALAN'!$K$5:$K$504,'TRANSAKSI PENJUALAN'!$B$5:$B$504,B271,'TRANSAKSI PENJUALAN'!$E$5:$E$504,C271,'TRANSAKSI PENJUALAN'!$L$5:$L$504,"Tunai",'TRANSAKSI PENJUALAN'!$M$5:$M$504,"Lunas"))</f>
        <v/>
      </c>
      <c r="J271" s="0" t="str">
        <f aca="false">IF(A271="","",F271+G271+H271-I271)</f>
        <v/>
      </c>
      <c r="L271" s="0" t="str">
        <f aca="false">IF(A271="","",IF(NOT(ISNUMBER(K271)),"ISI KAS FISIK",K271-J271))</f>
        <v/>
      </c>
      <c r="M271" s="0" t="str">
        <f aca="false">IF(A271="","",IF(NOT(ISNUMBER(L271)),"BELUM TUTUP",IF(L271=0,"Pas",IF(L271&gt;0,"Lebih","Kurang"))))</f>
        <v/>
      </c>
    </row>
    <row r="272" customFormat="false" ht="15" hidden="false" customHeight="false" outlineLevel="0" collapsed="false">
      <c r="G272" s="0" t="str">
        <f aca="false">IF(A272="","",SUMIFS('TRANSAKSI PENJUALAN'!$K$5:$K$504,'TRANSAKSI PENJUALAN'!$B$5:$B$504,B272,'TRANSAKSI PENJUALAN'!$E$5:$E$504,C272,'TRANSAKSI PENJUALAN'!$L$5:$L$504,"Tunai",'TRANSAKSI PENJUALAN'!$M$5:$M$504,"Lunas"))</f>
        <v/>
      </c>
      <c r="J272" s="0" t="str">
        <f aca="false">IF(A272="","",F272+G272+H272-I272)</f>
        <v/>
      </c>
      <c r="L272" s="0" t="str">
        <f aca="false">IF(A272="","",IF(NOT(ISNUMBER(K272)),"ISI KAS FISIK",K272-J272))</f>
        <v/>
      </c>
      <c r="M272" s="0" t="str">
        <f aca="false">IF(A272="","",IF(NOT(ISNUMBER(L272)),"BELUM TUTUP",IF(L272=0,"Pas",IF(L272&gt;0,"Lebih","Kurang"))))</f>
        <v/>
      </c>
    </row>
    <row r="273" customFormat="false" ht="15" hidden="false" customHeight="false" outlineLevel="0" collapsed="false">
      <c r="G273" s="0" t="str">
        <f aca="false">IF(A273="","",SUMIFS('TRANSAKSI PENJUALAN'!$K$5:$K$504,'TRANSAKSI PENJUALAN'!$B$5:$B$504,B273,'TRANSAKSI PENJUALAN'!$E$5:$E$504,C273,'TRANSAKSI PENJUALAN'!$L$5:$L$504,"Tunai",'TRANSAKSI PENJUALAN'!$M$5:$M$504,"Lunas"))</f>
        <v/>
      </c>
      <c r="J273" s="0" t="str">
        <f aca="false">IF(A273="","",F273+G273+H273-I273)</f>
        <v/>
      </c>
      <c r="L273" s="0" t="str">
        <f aca="false">IF(A273="","",IF(NOT(ISNUMBER(K273)),"ISI KAS FISIK",K273-J273))</f>
        <v/>
      </c>
      <c r="M273" s="0" t="str">
        <f aca="false">IF(A273="","",IF(NOT(ISNUMBER(L273)),"BELUM TUTUP",IF(L273=0,"Pas",IF(L273&gt;0,"Lebih","Kurang"))))</f>
        <v/>
      </c>
    </row>
    <row r="274" customFormat="false" ht="15" hidden="false" customHeight="false" outlineLevel="0" collapsed="false">
      <c r="G274" s="0" t="str">
        <f aca="false">IF(A274="","",SUMIFS('TRANSAKSI PENJUALAN'!$K$5:$K$504,'TRANSAKSI PENJUALAN'!$B$5:$B$504,B274,'TRANSAKSI PENJUALAN'!$E$5:$E$504,C274,'TRANSAKSI PENJUALAN'!$L$5:$L$504,"Tunai",'TRANSAKSI PENJUALAN'!$M$5:$M$504,"Lunas"))</f>
        <v/>
      </c>
      <c r="J274" s="0" t="str">
        <f aca="false">IF(A274="","",F274+G274+H274-I274)</f>
        <v/>
      </c>
      <c r="L274" s="0" t="str">
        <f aca="false">IF(A274="","",IF(NOT(ISNUMBER(K274)),"ISI KAS FISIK",K274-J274))</f>
        <v/>
      </c>
      <c r="M274" s="0" t="str">
        <f aca="false">IF(A274="","",IF(NOT(ISNUMBER(L274)),"BELUM TUTUP",IF(L274=0,"Pas",IF(L274&gt;0,"Lebih","Kurang"))))</f>
        <v/>
      </c>
    </row>
    <row r="275" customFormat="false" ht="15" hidden="false" customHeight="false" outlineLevel="0" collapsed="false">
      <c r="G275" s="0" t="str">
        <f aca="false">IF(A275="","",SUMIFS('TRANSAKSI PENJUALAN'!$K$5:$K$504,'TRANSAKSI PENJUALAN'!$B$5:$B$504,B275,'TRANSAKSI PENJUALAN'!$E$5:$E$504,C275,'TRANSAKSI PENJUALAN'!$L$5:$L$504,"Tunai",'TRANSAKSI PENJUALAN'!$M$5:$M$504,"Lunas"))</f>
        <v/>
      </c>
      <c r="J275" s="0" t="str">
        <f aca="false">IF(A275="","",F275+G275+H275-I275)</f>
        <v/>
      </c>
      <c r="L275" s="0" t="str">
        <f aca="false">IF(A275="","",IF(NOT(ISNUMBER(K275)),"ISI KAS FISIK",K275-J275))</f>
        <v/>
      </c>
      <c r="M275" s="0" t="str">
        <f aca="false">IF(A275="","",IF(NOT(ISNUMBER(L275)),"BELUM TUTUP",IF(L275=0,"Pas",IF(L275&gt;0,"Lebih","Kurang"))))</f>
        <v/>
      </c>
    </row>
    <row r="276" customFormat="false" ht="15" hidden="false" customHeight="false" outlineLevel="0" collapsed="false">
      <c r="G276" s="0" t="str">
        <f aca="false">IF(A276="","",SUMIFS('TRANSAKSI PENJUALAN'!$K$5:$K$504,'TRANSAKSI PENJUALAN'!$B$5:$B$504,B276,'TRANSAKSI PENJUALAN'!$E$5:$E$504,C276,'TRANSAKSI PENJUALAN'!$L$5:$L$504,"Tunai",'TRANSAKSI PENJUALAN'!$M$5:$M$504,"Lunas"))</f>
        <v/>
      </c>
      <c r="J276" s="0" t="str">
        <f aca="false">IF(A276="","",F276+G276+H276-I276)</f>
        <v/>
      </c>
      <c r="L276" s="0" t="str">
        <f aca="false">IF(A276="","",IF(NOT(ISNUMBER(K276)),"ISI KAS FISIK",K276-J276))</f>
        <v/>
      </c>
      <c r="M276" s="0" t="str">
        <f aca="false">IF(A276="","",IF(NOT(ISNUMBER(L276)),"BELUM TUTUP",IF(L276=0,"Pas",IF(L276&gt;0,"Lebih","Kurang"))))</f>
        <v/>
      </c>
    </row>
    <row r="277" customFormat="false" ht="15" hidden="false" customHeight="false" outlineLevel="0" collapsed="false">
      <c r="G277" s="0" t="str">
        <f aca="false">IF(A277="","",SUMIFS('TRANSAKSI PENJUALAN'!$K$5:$K$504,'TRANSAKSI PENJUALAN'!$B$5:$B$504,B277,'TRANSAKSI PENJUALAN'!$E$5:$E$504,C277,'TRANSAKSI PENJUALAN'!$L$5:$L$504,"Tunai",'TRANSAKSI PENJUALAN'!$M$5:$M$504,"Lunas"))</f>
        <v/>
      </c>
      <c r="J277" s="0" t="str">
        <f aca="false">IF(A277="","",F277+G277+H277-I277)</f>
        <v/>
      </c>
      <c r="L277" s="0" t="str">
        <f aca="false">IF(A277="","",IF(NOT(ISNUMBER(K277)),"ISI KAS FISIK",K277-J277))</f>
        <v/>
      </c>
      <c r="M277" s="0" t="str">
        <f aca="false">IF(A277="","",IF(NOT(ISNUMBER(L277)),"BELUM TUTUP",IF(L277=0,"Pas",IF(L277&gt;0,"Lebih","Kurang"))))</f>
        <v/>
      </c>
    </row>
    <row r="278" customFormat="false" ht="15" hidden="false" customHeight="false" outlineLevel="0" collapsed="false">
      <c r="G278" s="0" t="str">
        <f aca="false">IF(A278="","",SUMIFS('TRANSAKSI PENJUALAN'!$K$5:$K$504,'TRANSAKSI PENJUALAN'!$B$5:$B$504,B278,'TRANSAKSI PENJUALAN'!$E$5:$E$504,C278,'TRANSAKSI PENJUALAN'!$L$5:$L$504,"Tunai",'TRANSAKSI PENJUALAN'!$M$5:$M$504,"Lunas"))</f>
        <v/>
      </c>
      <c r="J278" s="0" t="str">
        <f aca="false">IF(A278="","",F278+G278+H278-I278)</f>
        <v/>
      </c>
      <c r="L278" s="0" t="str">
        <f aca="false">IF(A278="","",IF(NOT(ISNUMBER(K278)),"ISI KAS FISIK",K278-J278))</f>
        <v/>
      </c>
      <c r="M278" s="0" t="str">
        <f aca="false">IF(A278="","",IF(NOT(ISNUMBER(L278)),"BELUM TUTUP",IF(L278=0,"Pas",IF(L278&gt;0,"Lebih","Kurang"))))</f>
        <v/>
      </c>
    </row>
    <row r="279" customFormat="false" ht="15" hidden="false" customHeight="false" outlineLevel="0" collapsed="false">
      <c r="G279" s="0" t="str">
        <f aca="false">IF(A279="","",SUMIFS('TRANSAKSI PENJUALAN'!$K$5:$K$504,'TRANSAKSI PENJUALAN'!$B$5:$B$504,B279,'TRANSAKSI PENJUALAN'!$E$5:$E$504,C279,'TRANSAKSI PENJUALAN'!$L$5:$L$504,"Tunai",'TRANSAKSI PENJUALAN'!$M$5:$M$504,"Lunas"))</f>
        <v/>
      </c>
      <c r="J279" s="0" t="str">
        <f aca="false">IF(A279="","",F279+G279+H279-I279)</f>
        <v/>
      </c>
      <c r="L279" s="0" t="str">
        <f aca="false">IF(A279="","",IF(NOT(ISNUMBER(K279)),"ISI KAS FISIK",K279-J279))</f>
        <v/>
      </c>
      <c r="M279" s="0" t="str">
        <f aca="false">IF(A279="","",IF(NOT(ISNUMBER(L279)),"BELUM TUTUP",IF(L279=0,"Pas",IF(L279&gt;0,"Lebih","Kurang"))))</f>
        <v/>
      </c>
    </row>
    <row r="280" customFormat="false" ht="15" hidden="false" customHeight="false" outlineLevel="0" collapsed="false">
      <c r="G280" s="0" t="str">
        <f aca="false">IF(A280="","",SUMIFS('TRANSAKSI PENJUALAN'!$K$5:$K$504,'TRANSAKSI PENJUALAN'!$B$5:$B$504,B280,'TRANSAKSI PENJUALAN'!$E$5:$E$504,C280,'TRANSAKSI PENJUALAN'!$L$5:$L$504,"Tunai",'TRANSAKSI PENJUALAN'!$M$5:$M$504,"Lunas"))</f>
        <v/>
      </c>
      <c r="J280" s="0" t="str">
        <f aca="false">IF(A280="","",F280+G280+H280-I280)</f>
        <v/>
      </c>
      <c r="L280" s="0" t="str">
        <f aca="false">IF(A280="","",IF(NOT(ISNUMBER(K280)),"ISI KAS FISIK",K280-J280))</f>
        <v/>
      </c>
      <c r="M280" s="0" t="str">
        <f aca="false">IF(A280="","",IF(NOT(ISNUMBER(L280)),"BELUM TUTUP",IF(L280=0,"Pas",IF(L280&gt;0,"Lebih","Kurang"))))</f>
        <v/>
      </c>
    </row>
    <row r="281" customFormat="false" ht="15" hidden="false" customHeight="false" outlineLevel="0" collapsed="false">
      <c r="G281" s="0" t="str">
        <f aca="false">IF(A281="","",SUMIFS('TRANSAKSI PENJUALAN'!$K$5:$K$504,'TRANSAKSI PENJUALAN'!$B$5:$B$504,B281,'TRANSAKSI PENJUALAN'!$E$5:$E$504,C281,'TRANSAKSI PENJUALAN'!$L$5:$L$504,"Tunai",'TRANSAKSI PENJUALAN'!$M$5:$M$504,"Lunas"))</f>
        <v/>
      </c>
      <c r="J281" s="0" t="str">
        <f aca="false">IF(A281="","",F281+G281+H281-I281)</f>
        <v/>
      </c>
      <c r="L281" s="0" t="str">
        <f aca="false">IF(A281="","",IF(NOT(ISNUMBER(K281)),"ISI KAS FISIK",K281-J281))</f>
        <v/>
      </c>
      <c r="M281" s="0" t="str">
        <f aca="false">IF(A281="","",IF(NOT(ISNUMBER(L281)),"BELUM TUTUP",IF(L281=0,"Pas",IF(L281&gt;0,"Lebih","Kurang"))))</f>
        <v/>
      </c>
    </row>
    <row r="282" customFormat="false" ht="15" hidden="false" customHeight="false" outlineLevel="0" collapsed="false">
      <c r="G282" s="0" t="str">
        <f aca="false">IF(A282="","",SUMIFS('TRANSAKSI PENJUALAN'!$K$5:$K$504,'TRANSAKSI PENJUALAN'!$B$5:$B$504,B282,'TRANSAKSI PENJUALAN'!$E$5:$E$504,C282,'TRANSAKSI PENJUALAN'!$L$5:$L$504,"Tunai",'TRANSAKSI PENJUALAN'!$M$5:$M$504,"Lunas"))</f>
        <v/>
      </c>
      <c r="J282" s="0" t="str">
        <f aca="false">IF(A282="","",F282+G282+H282-I282)</f>
        <v/>
      </c>
      <c r="L282" s="0" t="str">
        <f aca="false">IF(A282="","",IF(NOT(ISNUMBER(K282)),"ISI KAS FISIK",K282-J282))</f>
        <v/>
      </c>
      <c r="M282" s="0" t="str">
        <f aca="false">IF(A282="","",IF(NOT(ISNUMBER(L282)),"BELUM TUTUP",IF(L282=0,"Pas",IF(L282&gt;0,"Lebih","Kurang"))))</f>
        <v/>
      </c>
    </row>
    <row r="283" customFormat="false" ht="15" hidden="false" customHeight="false" outlineLevel="0" collapsed="false">
      <c r="G283" s="0" t="str">
        <f aca="false">IF(A283="","",SUMIFS('TRANSAKSI PENJUALAN'!$K$5:$K$504,'TRANSAKSI PENJUALAN'!$B$5:$B$504,B283,'TRANSAKSI PENJUALAN'!$E$5:$E$504,C283,'TRANSAKSI PENJUALAN'!$L$5:$L$504,"Tunai",'TRANSAKSI PENJUALAN'!$M$5:$M$504,"Lunas"))</f>
        <v/>
      </c>
      <c r="J283" s="0" t="str">
        <f aca="false">IF(A283="","",F283+G283+H283-I283)</f>
        <v/>
      </c>
      <c r="L283" s="0" t="str">
        <f aca="false">IF(A283="","",IF(NOT(ISNUMBER(K283)),"ISI KAS FISIK",K283-J283))</f>
        <v/>
      </c>
      <c r="M283" s="0" t="str">
        <f aca="false">IF(A283="","",IF(NOT(ISNUMBER(L283)),"BELUM TUTUP",IF(L283=0,"Pas",IF(L283&gt;0,"Lebih","Kurang"))))</f>
        <v/>
      </c>
    </row>
    <row r="284" customFormat="false" ht="15" hidden="false" customHeight="false" outlineLevel="0" collapsed="false">
      <c r="G284" s="0" t="str">
        <f aca="false">IF(A284="","",SUMIFS('TRANSAKSI PENJUALAN'!$K$5:$K$504,'TRANSAKSI PENJUALAN'!$B$5:$B$504,B284,'TRANSAKSI PENJUALAN'!$E$5:$E$504,C284,'TRANSAKSI PENJUALAN'!$L$5:$L$504,"Tunai",'TRANSAKSI PENJUALAN'!$M$5:$M$504,"Lunas"))</f>
        <v/>
      </c>
      <c r="J284" s="0" t="str">
        <f aca="false">IF(A284="","",F284+G284+H284-I284)</f>
        <v/>
      </c>
      <c r="L284" s="0" t="str">
        <f aca="false">IF(A284="","",IF(NOT(ISNUMBER(K284)),"ISI KAS FISIK",K284-J284))</f>
        <v/>
      </c>
      <c r="M284" s="0" t="str">
        <f aca="false">IF(A284="","",IF(NOT(ISNUMBER(L284)),"BELUM TUTUP",IF(L284=0,"Pas",IF(L284&gt;0,"Lebih","Kurang"))))</f>
        <v/>
      </c>
    </row>
    <row r="285" customFormat="false" ht="15" hidden="false" customHeight="false" outlineLevel="0" collapsed="false">
      <c r="G285" s="0" t="str">
        <f aca="false">IF(A285="","",SUMIFS('TRANSAKSI PENJUALAN'!$K$5:$K$504,'TRANSAKSI PENJUALAN'!$B$5:$B$504,B285,'TRANSAKSI PENJUALAN'!$E$5:$E$504,C285,'TRANSAKSI PENJUALAN'!$L$5:$L$504,"Tunai",'TRANSAKSI PENJUALAN'!$M$5:$M$504,"Lunas"))</f>
        <v/>
      </c>
      <c r="J285" s="0" t="str">
        <f aca="false">IF(A285="","",F285+G285+H285-I285)</f>
        <v/>
      </c>
      <c r="L285" s="0" t="str">
        <f aca="false">IF(A285="","",IF(NOT(ISNUMBER(K285)),"ISI KAS FISIK",K285-J285))</f>
        <v/>
      </c>
      <c r="M285" s="0" t="str">
        <f aca="false">IF(A285="","",IF(NOT(ISNUMBER(L285)),"BELUM TUTUP",IF(L285=0,"Pas",IF(L285&gt;0,"Lebih","Kurang"))))</f>
        <v/>
      </c>
    </row>
    <row r="286" customFormat="false" ht="15" hidden="false" customHeight="false" outlineLevel="0" collapsed="false">
      <c r="G286" s="0" t="str">
        <f aca="false">IF(A286="","",SUMIFS('TRANSAKSI PENJUALAN'!$K$5:$K$504,'TRANSAKSI PENJUALAN'!$B$5:$B$504,B286,'TRANSAKSI PENJUALAN'!$E$5:$E$504,C286,'TRANSAKSI PENJUALAN'!$L$5:$L$504,"Tunai",'TRANSAKSI PENJUALAN'!$M$5:$M$504,"Lunas"))</f>
        <v/>
      </c>
      <c r="J286" s="0" t="str">
        <f aca="false">IF(A286="","",F286+G286+H286-I286)</f>
        <v/>
      </c>
      <c r="L286" s="0" t="str">
        <f aca="false">IF(A286="","",IF(NOT(ISNUMBER(K286)),"ISI KAS FISIK",K286-J286))</f>
        <v/>
      </c>
      <c r="M286" s="0" t="str">
        <f aca="false">IF(A286="","",IF(NOT(ISNUMBER(L286)),"BELUM TUTUP",IF(L286=0,"Pas",IF(L286&gt;0,"Lebih","Kurang"))))</f>
        <v/>
      </c>
    </row>
    <row r="287" customFormat="false" ht="15" hidden="false" customHeight="false" outlineLevel="0" collapsed="false">
      <c r="G287" s="0" t="str">
        <f aca="false">IF(A287="","",SUMIFS('TRANSAKSI PENJUALAN'!$K$5:$K$504,'TRANSAKSI PENJUALAN'!$B$5:$B$504,B287,'TRANSAKSI PENJUALAN'!$E$5:$E$504,C287,'TRANSAKSI PENJUALAN'!$L$5:$L$504,"Tunai",'TRANSAKSI PENJUALAN'!$M$5:$M$504,"Lunas"))</f>
        <v/>
      </c>
      <c r="J287" s="0" t="str">
        <f aca="false">IF(A287="","",F287+G287+H287-I287)</f>
        <v/>
      </c>
      <c r="L287" s="0" t="str">
        <f aca="false">IF(A287="","",IF(NOT(ISNUMBER(K287)),"ISI KAS FISIK",K287-J287))</f>
        <v/>
      </c>
      <c r="M287" s="0" t="str">
        <f aca="false">IF(A287="","",IF(NOT(ISNUMBER(L287)),"BELUM TUTUP",IF(L287=0,"Pas",IF(L287&gt;0,"Lebih","Kurang"))))</f>
        <v/>
      </c>
    </row>
    <row r="288" customFormat="false" ht="15" hidden="false" customHeight="false" outlineLevel="0" collapsed="false">
      <c r="G288" s="0" t="str">
        <f aca="false">IF(A288="","",SUMIFS('TRANSAKSI PENJUALAN'!$K$5:$K$504,'TRANSAKSI PENJUALAN'!$B$5:$B$504,B288,'TRANSAKSI PENJUALAN'!$E$5:$E$504,C288,'TRANSAKSI PENJUALAN'!$L$5:$L$504,"Tunai",'TRANSAKSI PENJUALAN'!$M$5:$M$504,"Lunas"))</f>
        <v/>
      </c>
      <c r="J288" s="0" t="str">
        <f aca="false">IF(A288="","",F288+G288+H288-I288)</f>
        <v/>
      </c>
      <c r="L288" s="0" t="str">
        <f aca="false">IF(A288="","",IF(NOT(ISNUMBER(K288)),"ISI KAS FISIK",K288-J288))</f>
        <v/>
      </c>
      <c r="M288" s="0" t="str">
        <f aca="false">IF(A288="","",IF(NOT(ISNUMBER(L288)),"BELUM TUTUP",IF(L288=0,"Pas",IF(L288&gt;0,"Lebih","Kurang"))))</f>
        <v/>
      </c>
    </row>
    <row r="289" customFormat="false" ht="15" hidden="false" customHeight="false" outlineLevel="0" collapsed="false">
      <c r="G289" s="0" t="str">
        <f aca="false">IF(A289="","",SUMIFS('TRANSAKSI PENJUALAN'!$K$5:$K$504,'TRANSAKSI PENJUALAN'!$B$5:$B$504,B289,'TRANSAKSI PENJUALAN'!$E$5:$E$504,C289,'TRANSAKSI PENJUALAN'!$L$5:$L$504,"Tunai",'TRANSAKSI PENJUALAN'!$M$5:$M$504,"Lunas"))</f>
        <v/>
      </c>
      <c r="J289" s="0" t="str">
        <f aca="false">IF(A289="","",F289+G289+H289-I289)</f>
        <v/>
      </c>
      <c r="L289" s="0" t="str">
        <f aca="false">IF(A289="","",IF(NOT(ISNUMBER(K289)),"ISI KAS FISIK",K289-J289))</f>
        <v/>
      </c>
      <c r="M289" s="0" t="str">
        <f aca="false">IF(A289="","",IF(NOT(ISNUMBER(L289)),"BELUM TUTUP",IF(L289=0,"Pas",IF(L289&gt;0,"Lebih","Kurang"))))</f>
        <v/>
      </c>
    </row>
    <row r="290" customFormat="false" ht="15" hidden="false" customHeight="false" outlineLevel="0" collapsed="false">
      <c r="G290" s="0" t="str">
        <f aca="false">IF(A290="","",SUMIFS('TRANSAKSI PENJUALAN'!$K$5:$K$504,'TRANSAKSI PENJUALAN'!$B$5:$B$504,B290,'TRANSAKSI PENJUALAN'!$E$5:$E$504,C290,'TRANSAKSI PENJUALAN'!$L$5:$L$504,"Tunai",'TRANSAKSI PENJUALAN'!$M$5:$M$504,"Lunas"))</f>
        <v/>
      </c>
      <c r="J290" s="0" t="str">
        <f aca="false">IF(A290="","",F290+G290+H290-I290)</f>
        <v/>
      </c>
      <c r="L290" s="0" t="str">
        <f aca="false">IF(A290="","",IF(NOT(ISNUMBER(K290)),"ISI KAS FISIK",K290-J290))</f>
        <v/>
      </c>
      <c r="M290" s="0" t="str">
        <f aca="false">IF(A290="","",IF(NOT(ISNUMBER(L290)),"BELUM TUTUP",IF(L290=0,"Pas",IF(L290&gt;0,"Lebih","Kurang"))))</f>
        <v/>
      </c>
    </row>
    <row r="291" customFormat="false" ht="15" hidden="false" customHeight="false" outlineLevel="0" collapsed="false">
      <c r="G291" s="0" t="str">
        <f aca="false">IF(A291="","",SUMIFS('TRANSAKSI PENJUALAN'!$K$5:$K$504,'TRANSAKSI PENJUALAN'!$B$5:$B$504,B291,'TRANSAKSI PENJUALAN'!$E$5:$E$504,C291,'TRANSAKSI PENJUALAN'!$L$5:$L$504,"Tunai",'TRANSAKSI PENJUALAN'!$M$5:$M$504,"Lunas"))</f>
        <v/>
      </c>
      <c r="J291" s="0" t="str">
        <f aca="false">IF(A291="","",F291+G291+H291-I291)</f>
        <v/>
      </c>
      <c r="L291" s="0" t="str">
        <f aca="false">IF(A291="","",IF(NOT(ISNUMBER(K291)),"ISI KAS FISIK",K291-J291))</f>
        <v/>
      </c>
      <c r="M291" s="0" t="str">
        <f aca="false">IF(A291="","",IF(NOT(ISNUMBER(L291)),"BELUM TUTUP",IF(L291=0,"Pas",IF(L291&gt;0,"Lebih","Kurang"))))</f>
        <v/>
      </c>
    </row>
    <row r="292" customFormat="false" ht="15" hidden="false" customHeight="false" outlineLevel="0" collapsed="false">
      <c r="G292" s="0" t="str">
        <f aca="false">IF(A292="","",SUMIFS('TRANSAKSI PENJUALAN'!$K$5:$K$504,'TRANSAKSI PENJUALAN'!$B$5:$B$504,B292,'TRANSAKSI PENJUALAN'!$E$5:$E$504,C292,'TRANSAKSI PENJUALAN'!$L$5:$L$504,"Tunai",'TRANSAKSI PENJUALAN'!$M$5:$M$504,"Lunas"))</f>
        <v/>
      </c>
      <c r="J292" s="0" t="str">
        <f aca="false">IF(A292="","",F292+G292+H292-I292)</f>
        <v/>
      </c>
      <c r="L292" s="0" t="str">
        <f aca="false">IF(A292="","",IF(NOT(ISNUMBER(K292)),"ISI KAS FISIK",K292-J292))</f>
        <v/>
      </c>
      <c r="M292" s="0" t="str">
        <f aca="false">IF(A292="","",IF(NOT(ISNUMBER(L292)),"BELUM TUTUP",IF(L292=0,"Pas",IF(L292&gt;0,"Lebih","Kurang"))))</f>
        <v/>
      </c>
    </row>
    <row r="293" customFormat="false" ht="15" hidden="false" customHeight="false" outlineLevel="0" collapsed="false">
      <c r="G293" s="0" t="str">
        <f aca="false">IF(A293="","",SUMIFS('TRANSAKSI PENJUALAN'!$K$5:$K$504,'TRANSAKSI PENJUALAN'!$B$5:$B$504,B293,'TRANSAKSI PENJUALAN'!$E$5:$E$504,C293,'TRANSAKSI PENJUALAN'!$L$5:$L$504,"Tunai",'TRANSAKSI PENJUALAN'!$M$5:$M$504,"Lunas"))</f>
        <v/>
      </c>
      <c r="J293" s="0" t="str">
        <f aca="false">IF(A293="","",F293+G293+H293-I293)</f>
        <v/>
      </c>
      <c r="L293" s="0" t="str">
        <f aca="false">IF(A293="","",IF(NOT(ISNUMBER(K293)),"ISI KAS FISIK",K293-J293))</f>
        <v/>
      </c>
      <c r="M293" s="0" t="str">
        <f aca="false">IF(A293="","",IF(NOT(ISNUMBER(L293)),"BELUM TUTUP",IF(L293=0,"Pas",IF(L293&gt;0,"Lebih","Kurang"))))</f>
        <v/>
      </c>
    </row>
    <row r="294" customFormat="false" ht="15" hidden="false" customHeight="false" outlineLevel="0" collapsed="false">
      <c r="G294" s="0" t="str">
        <f aca="false">IF(A294="","",SUMIFS('TRANSAKSI PENJUALAN'!$K$5:$K$504,'TRANSAKSI PENJUALAN'!$B$5:$B$504,B294,'TRANSAKSI PENJUALAN'!$E$5:$E$504,C294,'TRANSAKSI PENJUALAN'!$L$5:$L$504,"Tunai",'TRANSAKSI PENJUALAN'!$M$5:$M$504,"Lunas"))</f>
        <v/>
      </c>
      <c r="J294" s="0" t="str">
        <f aca="false">IF(A294="","",F294+G294+H294-I294)</f>
        <v/>
      </c>
      <c r="L294" s="0" t="str">
        <f aca="false">IF(A294="","",IF(NOT(ISNUMBER(K294)),"ISI KAS FISIK",K294-J294))</f>
        <v/>
      </c>
      <c r="M294" s="0" t="str">
        <f aca="false">IF(A294="","",IF(NOT(ISNUMBER(L294)),"BELUM TUTUP",IF(L294=0,"Pas",IF(L294&gt;0,"Lebih","Kurang"))))</f>
        <v/>
      </c>
    </row>
    <row r="295" customFormat="false" ht="15" hidden="false" customHeight="false" outlineLevel="0" collapsed="false">
      <c r="G295" s="0" t="str">
        <f aca="false">IF(A295="","",SUMIFS('TRANSAKSI PENJUALAN'!$K$5:$K$504,'TRANSAKSI PENJUALAN'!$B$5:$B$504,B295,'TRANSAKSI PENJUALAN'!$E$5:$E$504,C295,'TRANSAKSI PENJUALAN'!$L$5:$L$504,"Tunai",'TRANSAKSI PENJUALAN'!$M$5:$M$504,"Lunas"))</f>
        <v/>
      </c>
      <c r="J295" s="0" t="str">
        <f aca="false">IF(A295="","",F295+G295+H295-I295)</f>
        <v/>
      </c>
      <c r="L295" s="0" t="str">
        <f aca="false">IF(A295="","",IF(NOT(ISNUMBER(K295)),"ISI KAS FISIK",K295-J295))</f>
        <v/>
      </c>
      <c r="M295" s="0" t="str">
        <f aca="false">IF(A295="","",IF(NOT(ISNUMBER(L295)),"BELUM TUTUP",IF(L295=0,"Pas",IF(L295&gt;0,"Lebih","Kurang"))))</f>
        <v/>
      </c>
    </row>
    <row r="296" customFormat="false" ht="15" hidden="false" customHeight="false" outlineLevel="0" collapsed="false">
      <c r="G296" s="0" t="str">
        <f aca="false">IF(A296="","",SUMIFS('TRANSAKSI PENJUALAN'!$K$5:$K$504,'TRANSAKSI PENJUALAN'!$B$5:$B$504,B296,'TRANSAKSI PENJUALAN'!$E$5:$E$504,C296,'TRANSAKSI PENJUALAN'!$L$5:$L$504,"Tunai",'TRANSAKSI PENJUALAN'!$M$5:$M$504,"Lunas"))</f>
        <v/>
      </c>
      <c r="J296" s="0" t="str">
        <f aca="false">IF(A296="","",F296+G296+H296-I296)</f>
        <v/>
      </c>
      <c r="L296" s="0" t="str">
        <f aca="false">IF(A296="","",IF(NOT(ISNUMBER(K296)),"ISI KAS FISIK",K296-J296))</f>
        <v/>
      </c>
      <c r="M296" s="0" t="str">
        <f aca="false">IF(A296="","",IF(NOT(ISNUMBER(L296)),"BELUM TUTUP",IF(L296=0,"Pas",IF(L296&gt;0,"Lebih","Kurang"))))</f>
        <v/>
      </c>
    </row>
    <row r="297" customFormat="false" ht="15" hidden="false" customHeight="false" outlineLevel="0" collapsed="false">
      <c r="G297" s="0" t="str">
        <f aca="false">IF(A297="","",SUMIFS('TRANSAKSI PENJUALAN'!$K$5:$K$504,'TRANSAKSI PENJUALAN'!$B$5:$B$504,B297,'TRANSAKSI PENJUALAN'!$E$5:$E$504,C297,'TRANSAKSI PENJUALAN'!$L$5:$L$504,"Tunai",'TRANSAKSI PENJUALAN'!$M$5:$M$504,"Lunas"))</f>
        <v/>
      </c>
      <c r="J297" s="0" t="str">
        <f aca="false">IF(A297="","",F297+G297+H297-I297)</f>
        <v/>
      </c>
      <c r="L297" s="0" t="str">
        <f aca="false">IF(A297="","",IF(NOT(ISNUMBER(K297)),"ISI KAS FISIK",K297-J297))</f>
        <v/>
      </c>
      <c r="M297" s="0" t="str">
        <f aca="false">IF(A297="","",IF(NOT(ISNUMBER(L297)),"BELUM TUTUP",IF(L297=0,"Pas",IF(L297&gt;0,"Lebih","Kurang"))))</f>
        <v/>
      </c>
    </row>
    <row r="298" customFormat="false" ht="15" hidden="false" customHeight="false" outlineLevel="0" collapsed="false">
      <c r="G298" s="0" t="str">
        <f aca="false">IF(A298="","",SUMIFS('TRANSAKSI PENJUALAN'!$K$5:$K$504,'TRANSAKSI PENJUALAN'!$B$5:$B$504,B298,'TRANSAKSI PENJUALAN'!$E$5:$E$504,C298,'TRANSAKSI PENJUALAN'!$L$5:$L$504,"Tunai",'TRANSAKSI PENJUALAN'!$M$5:$M$504,"Lunas"))</f>
        <v/>
      </c>
      <c r="J298" s="0" t="str">
        <f aca="false">IF(A298="","",F298+G298+H298-I298)</f>
        <v/>
      </c>
      <c r="L298" s="0" t="str">
        <f aca="false">IF(A298="","",IF(NOT(ISNUMBER(K298)),"ISI KAS FISIK",K298-J298))</f>
        <v/>
      </c>
      <c r="M298" s="0" t="str">
        <f aca="false">IF(A298="","",IF(NOT(ISNUMBER(L298)),"BELUM TUTUP",IF(L298=0,"Pas",IF(L298&gt;0,"Lebih","Kurang"))))</f>
        <v/>
      </c>
    </row>
    <row r="299" customFormat="false" ht="15" hidden="false" customHeight="false" outlineLevel="0" collapsed="false">
      <c r="G299" s="0" t="str">
        <f aca="false">IF(A299="","",SUMIFS('TRANSAKSI PENJUALAN'!$K$5:$K$504,'TRANSAKSI PENJUALAN'!$B$5:$B$504,B299,'TRANSAKSI PENJUALAN'!$E$5:$E$504,C299,'TRANSAKSI PENJUALAN'!$L$5:$L$504,"Tunai",'TRANSAKSI PENJUALAN'!$M$5:$M$504,"Lunas"))</f>
        <v/>
      </c>
      <c r="J299" s="0" t="str">
        <f aca="false">IF(A299="","",F299+G299+H299-I299)</f>
        <v/>
      </c>
      <c r="L299" s="0" t="str">
        <f aca="false">IF(A299="","",IF(NOT(ISNUMBER(K299)),"ISI KAS FISIK",K299-J299))</f>
        <v/>
      </c>
      <c r="M299" s="0" t="str">
        <f aca="false">IF(A299="","",IF(NOT(ISNUMBER(L299)),"BELUM TUTUP",IF(L299=0,"Pas",IF(L299&gt;0,"Lebih","Kurang"))))</f>
        <v/>
      </c>
    </row>
    <row r="300" customFormat="false" ht="15" hidden="false" customHeight="false" outlineLevel="0" collapsed="false">
      <c r="G300" s="0" t="str">
        <f aca="false">IF(A300="","",SUMIFS('TRANSAKSI PENJUALAN'!$K$5:$K$504,'TRANSAKSI PENJUALAN'!$B$5:$B$504,B300,'TRANSAKSI PENJUALAN'!$E$5:$E$504,C300,'TRANSAKSI PENJUALAN'!$L$5:$L$504,"Tunai",'TRANSAKSI PENJUALAN'!$M$5:$M$504,"Lunas"))</f>
        <v/>
      </c>
      <c r="J300" s="0" t="str">
        <f aca="false">IF(A300="","",F300+G300+H300-I300)</f>
        <v/>
      </c>
      <c r="L300" s="0" t="str">
        <f aca="false">IF(A300="","",IF(NOT(ISNUMBER(K300)),"ISI KAS FISIK",K300-J300))</f>
        <v/>
      </c>
      <c r="M300" s="0" t="str">
        <f aca="false">IF(A300="","",IF(NOT(ISNUMBER(L300)),"BELUM TUTUP",IF(L300=0,"Pas",IF(L300&gt;0,"Lebih","Kurang"))))</f>
        <v/>
      </c>
    </row>
    <row r="301" customFormat="false" ht="15" hidden="false" customHeight="false" outlineLevel="0" collapsed="false">
      <c r="G301" s="0" t="str">
        <f aca="false">IF(A301="","",SUMIFS('TRANSAKSI PENJUALAN'!$K$5:$K$504,'TRANSAKSI PENJUALAN'!$B$5:$B$504,B301,'TRANSAKSI PENJUALAN'!$E$5:$E$504,C301,'TRANSAKSI PENJUALAN'!$L$5:$L$504,"Tunai",'TRANSAKSI PENJUALAN'!$M$5:$M$504,"Lunas"))</f>
        <v/>
      </c>
      <c r="J301" s="0" t="str">
        <f aca="false">IF(A301="","",F301+G301+H301-I301)</f>
        <v/>
      </c>
      <c r="L301" s="0" t="str">
        <f aca="false">IF(A301="","",IF(NOT(ISNUMBER(K301)),"ISI KAS FISIK",K301-J301))</f>
        <v/>
      </c>
      <c r="M301" s="0" t="str">
        <f aca="false">IF(A301="","",IF(NOT(ISNUMBER(L301)),"BELUM TUTUP",IF(L301=0,"Pas",IF(L301&gt;0,"Lebih","Kurang"))))</f>
        <v/>
      </c>
    </row>
    <row r="302" customFormat="false" ht="15" hidden="false" customHeight="false" outlineLevel="0" collapsed="false">
      <c r="G302" s="0" t="str">
        <f aca="false">IF(A302="","",SUMIFS('TRANSAKSI PENJUALAN'!$K$5:$K$504,'TRANSAKSI PENJUALAN'!$B$5:$B$504,B302,'TRANSAKSI PENJUALAN'!$E$5:$E$504,C302,'TRANSAKSI PENJUALAN'!$L$5:$L$504,"Tunai",'TRANSAKSI PENJUALAN'!$M$5:$M$504,"Lunas"))</f>
        <v/>
      </c>
      <c r="J302" s="0" t="str">
        <f aca="false">IF(A302="","",F302+G302+H302-I302)</f>
        <v/>
      </c>
      <c r="L302" s="0" t="str">
        <f aca="false">IF(A302="","",IF(NOT(ISNUMBER(K302)),"ISI KAS FISIK",K302-J302))</f>
        <v/>
      </c>
      <c r="M302" s="0" t="str">
        <f aca="false">IF(A302="","",IF(NOT(ISNUMBER(L302)),"BELUM TUTUP",IF(L302=0,"Pas",IF(L302&gt;0,"Lebih","Kurang"))))</f>
        <v/>
      </c>
    </row>
    <row r="303" customFormat="false" ht="15" hidden="false" customHeight="false" outlineLevel="0" collapsed="false">
      <c r="G303" s="0" t="str">
        <f aca="false">IF(A303="","",SUMIFS('TRANSAKSI PENJUALAN'!$K$5:$K$504,'TRANSAKSI PENJUALAN'!$B$5:$B$504,B303,'TRANSAKSI PENJUALAN'!$E$5:$E$504,C303,'TRANSAKSI PENJUALAN'!$L$5:$L$504,"Tunai",'TRANSAKSI PENJUALAN'!$M$5:$M$504,"Lunas"))</f>
        <v/>
      </c>
      <c r="J303" s="0" t="str">
        <f aca="false">IF(A303="","",F303+G303+H303-I303)</f>
        <v/>
      </c>
      <c r="L303" s="0" t="str">
        <f aca="false">IF(A303="","",IF(NOT(ISNUMBER(K303)),"ISI KAS FISIK",K303-J303))</f>
        <v/>
      </c>
      <c r="M303" s="0" t="str">
        <f aca="false">IF(A303="","",IF(NOT(ISNUMBER(L303)),"BELUM TUTUP",IF(L303=0,"Pas",IF(L303&gt;0,"Lebih","Kurang"))))</f>
        <v/>
      </c>
    </row>
    <row r="304" customFormat="false" ht="15" hidden="false" customHeight="false" outlineLevel="0" collapsed="false">
      <c r="G304" s="0" t="str">
        <f aca="false">IF(A304="","",SUMIFS('TRANSAKSI PENJUALAN'!$K$5:$K$504,'TRANSAKSI PENJUALAN'!$B$5:$B$504,B304,'TRANSAKSI PENJUALAN'!$E$5:$E$504,C304,'TRANSAKSI PENJUALAN'!$L$5:$L$504,"Tunai",'TRANSAKSI PENJUALAN'!$M$5:$M$504,"Lunas"))</f>
        <v/>
      </c>
      <c r="J304" s="0" t="str">
        <f aca="false">IF(A304="","",F304+G304+H304-I304)</f>
        <v/>
      </c>
      <c r="L304" s="0" t="str">
        <f aca="false">IF(A304="","",IF(NOT(ISNUMBER(K304)),"ISI KAS FISIK",K304-J304))</f>
        <v/>
      </c>
      <c r="M304" s="0" t="str">
        <f aca="false">IF(A304="","",IF(NOT(ISNUMBER(L304)),"BELUM TUTUP",IF(L304=0,"Pas",IF(L304&gt;0,"Lebih","Kurang"))))</f>
        <v/>
      </c>
    </row>
    <row r="305" customFormat="false" ht="15" hidden="false" customHeight="false" outlineLevel="0" collapsed="false">
      <c r="G305" s="0" t="str">
        <f aca="false">IF(A305="","",SUMIFS('TRANSAKSI PENJUALAN'!$K$5:$K$504,'TRANSAKSI PENJUALAN'!$B$5:$B$504,B305,'TRANSAKSI PENJUALAN'!$E$5:$E$504,C305,'TRANSAKSI PENJUALAN'!$L$5:$L$504,"Tunai",'TRANSAKSI PENJUALAN'!$M$5:$M$504,"Lunas"))</f>
        <v/>
      </c>
      <c r="J305" s="0" t="str">
        <f aca="false">IF(A305="","",F305+G305+H305-I305)</f>
        <v/>
      </c>
      <c r="L305" s="0" t="str">
        <f aca="false">IF(A305="","",IF(NOT(ISNUMBER(K305)),"ISI KAS FISIK",K305-J305))</f>
        <v/>
      </c>
      <c r="M305" s="0" t="str">
        <f aca="false">IF(A305="","",IF(NOT(ISNUMBER(L305)),"BELUM TUTUP",IF(L305=0,"Pas",IF(L305&gt;0,"Lebih","Kurang"))))</f>
        <v/>
      </c>
    </row>
    <row r="306" customFormat="false" ht="15" hidden="false" customHeight="false" outlineLevel="0" collapsed="false">
      <c r="G306" s="0" t="str">
        <f aca="false">IF(A306="","",SUMIFS('TRANSAKSI PENJUALAN'!$K$5:$K$504,'TRANSAKSI PENJUALAN'!$B$5:$B$504,B306,'TRANSAKSI PENJUALAN'!$E$5:$E$504,C306,'TRANSAKSI PENJUALAN'!$L$5:$L$504,"Tunai",'TRANSAKSI PENJUALAN'!$M$5:$M$504,"Lunas"))</f>
        <v/>
      </c>
      <c r="J306" s="0" t="str">
        <f aca="false">IF(A306="","",F306+G306+H306-I306)</f>
        <v/>
      </c>
      <c r="L306" s="0" t="str">
        <f aca="false">IF(A306="","",IF(NOT(ISNUMBER(K306)),"ISI KAS FISIK",K306-J306))</f>
        <v/>
      </c>
      <c r="M306" s="0" t="str">
        <f aca="false">IF(A306="","",IF(NOT(ISNUMBER(L306)),"BELUM TUTUP",IF(L306=0,"Pas",IF(L306&gt;0,"Lebih","Kurang"))))</f>
        <v/>
      </c>
    </row>
    <row r="307" customFormat="false" ht="15" hidden="false" customHeight="false" outlineLevel="0" collapsed="false">
      <c r="G307" s="0" t="str">
        <f aca="false">IF(A307="","",SUMIFS('TRANSAKSI PENJUALAN'!$K$5:$K$504,'TRANSAKSI PENJUALAN'!$B$5:$B$504,B307,'TRANSAKSI PENJUALAN'!$E$5:$E$504,C307,'TRANSAKSI PENJUALAN'!$L$5:$L$504,"Tunai",'TRANSAKSI PENJUALAN'!$M$5:$M$504,"Lunas"))</f>
        <v/>
      </c>
      <c r="J307" s="0" t="str">
        <f aca="false">IF(A307="","",F307+G307+H307-I307)</f>
        <v/>
      </c>
      <c r="L307" s="0" t="str">
        <f aca="false">IF(A307="","",IF(NOT(ISNUMBER(K307)),"ISI KAS FISIK",K307-J307))</f>
        <v/>
      </c>
      <c r="M307" s="0" t="str">
        <f aca="false">IF(A307="","",IF(NOT(ISNUMBER(L307)),"BELUM TUTUP",IF(L307=0,"Pas",IF(L307&gt;0,"Lebih","Kurang"))))</f>
        <v/>
      </c>
    </row>
    <row r="308" customFormat="false" ht="15" hidden="false" customHeight="false" outlineLevel="0" collapsed="false">
      <c r="G308" s="0" t="str">
        <f aca="false">IF(A308="","",SUMIFS('TRANSAKSI PENJUALAN'!$K$5:$K$504,'TRANSAKSI PENJUALAN'!$B$5:$B$504,B308,'TRANSAKSI PENJUALAN'!$E$5:$E$504,C308,'TRANSAKSI PENJUALAN'!$L$5:$L$504,"Tunai",'TRANSAKSI PENJUALAN'!$M$5:$M$504,"Lunas"))</f>
        <v/>
      </c>
      <c r="J308" s="0" t="str">
        <f aca="false">IF(A308="","",F308+G308+H308-I308)</f>
        <v/>
      </c>
      <c r="L308" s="0" t="str">
        <f aca="false">IF(A308="","",IF(NOT(ISNUMBER(K308)),"ISI KAS FISIK",K308-J308))</f>
        <v/>
      </c>
      <c r="M308" s="0" t="str">
        <f aca="false">IF(A308="","",IF(NOT(ISNUMBER(L308)),"BELUM TUTUP",IF(L308=0,"Pas",IF(L308&gt;0,"Lebih","Kurang"))))</f>
        <v/>
      </c>
    </row>
    <row r="309" customFormat="false" ht="15" hidden="false" customHeight="false" outlineLevel="0" collapsed="false">
      <c r="G309" s="0" t="str">
        <f aca="false">IF(A309="","",SUMIFS('TRANSAKSI PENJUALAN'!$K$5:$K$504,'TRANSAKSI PENJUALAN'!$B$5:$B$504,B309,'TRANSAKSI PENJUALAN'!$E$5:$E$504,C309,'TRANSAKSI PENJUALAN'!$L$5:$L$504,"Tunai",'TRANSAKSI PENJUALAN'!$M$5:$M$504,"Lunas"))</f>
        <v/>
      </c>
      <c r="J309" s="0" t="str">
        <f aca="false">IF(A309="","",F309+G309+H309-I309)</f>
        <v/>
      </c>
      <c r="L309" s="0" t="str">
        <f aca="false">IF(A309="","",IF(NOT(ISNUMBER(K309)),"ISI KAS FISIK",K309-J309))</f>
        <v/>
      </c>
      <c r="M309" s="0" t="str">
        <f aca="false">IF(A309="","",IF(NOT(ISNUMBER(L309)),"BELUM TUTUP",IF(L309=0,"Pas",IF(L309&gt;0,"Lebih","Kurang"))))</f>
        <v/>
      </c>
    </row>
    <row r="310" customFormat="false" ht="15" hidden="false" customHeight="false" outlineLevel="0" collapsed="false">
      <c r="G310" s="0" t="str">
        <f aca="false">IF(A310="","",SUMIFS('TRANSAKSI PENJUALAN'!$K$5:$K$504,'TRANSAKSI PENJUALAN'!$B$5:$B$504,B310,'TRANSAKSI PENJUALAN'!$E$5:$E$504,C310,'TRANSAKSI PENJUALAN'!$L$5:$L$504,"Tunai",'TRANSAKSI PENJUALAN'!$M$5:$M$504,"Lunas"))</f>
        <v/>
      </c>
      <c r="J310" s="0" t="str">
        <f aca="false">IF(A310="","",F310+G310+H310-I310)</f>
        <v/>
      </c>
      <c r="L310" s="0" t="str">
        <f aca="false">IF(A310="","",IF(NOT(ISNUMBER(K310)),"ISI KAS FISIK",K310-J310))</f>
        <v/>
      </c>
      <c r="M310" s="0" t="str">
        <f aca="false">IF(A310="","",IF(NOT(ISNUMBER(L310)),"BELUM TUTUP",IF(L310=0,"Pas",IF(L310&gt;0,"Lebih","Kurang"))))</f>
        <v/>
      </c>
    </row>
    <row r="311" customFormat="false" ht="15" hidden="false" customHeight="false" outlineLevel="0" collapsed="false">
      <c r="G311" s="0" t="str">
        <f aca="false">IF(A311="","",SUMIFS('TRANSAKSI PENJUALAN'!$K$5:$K$504,'TRANSAKSI PENJUALAN'!$B$5:$B$504,B311,'TRANSAKSI PENJUALAN'!$E$5:$E$504,C311,'TRANSAKSI PENJUALAN'!$L$5:$L$504,"Tunai",'TRANSAKSI PENJUALAN'!$M$5:$M$504,"Lunas"))</f>
        <v/>
      </c>
      <c r="J311" s="0" t="str">
        <f aca="false">IF(A311="","",F311+G311+H311-I311)</f>
        <v/>
      </c>
      <c r="L311" s="0" t="str">
        <f aca="false">IF(A311="","",IF(NOT(ISNUMBER(K311)),"ISI KAS FISIK",K311-J311))</f>
        <v/>
      </c>
      <c r="M311" s="0" t="str">
        <f aca="false">IF(A311="","",IF(NOT(ISNUMBER(L311)),"BELUM TUTUP",IF(L311=0,"Pas",IF(L311&gt;0,"Lebih","Kurang"))))</f>
        <v/>
      </c>
    </row>
    <row r="312" customFormat="false" ht="15" hidden="false" customHeight="false" outlineLevel="0" collapsed="false">
      <c r="G312" s="0" t="str">
        <f aca="false">IF(A312="","",SUMIFS('TRANSAKSI PENJUALAN'!$K$5:$K$504,'TRANSAKSI PENJUALAN'!$B$5:$B$504,B312,'TRANSAKSI PENJUALAN'!$E$5:$E$504,C312,'TRANSAKSI PENJUALAN'!$L$5:$L$504,"Tunai",'TRANSAKSI PENJUALAN'!$M$5:$M$504,"Lunas"))</f>
        <v/>
      </c>
      <c r="J312" s="0" t="str">
        <f aca="false">IF(A312="","",F312+G312+H312-I312)</f>
        <v/>
      </c>
      <c r="L312" s="0" t="str">
        <f aca="false">IF(A312="","",IF(NOT(ISNUMBER(K312)),"ISI KAS FISIK",K312-J312))</f>
        <v/>
      </c>
      <c r="M312" s="0" t="str">
        <f aca="false">IF(A312="","",IF(NOT(ISNUMBER(L312)),"BELUM TUTUP",IF(L312=0,"Pas",IF(L312&gt;0,"Lebih","Kurang"))))</f>
        <v/>
      </c>
    </row>
    <row r="313" customFormat="false" ht="15" hidden="false" customHeight="false" outlineLevel="0" collapsed="false">
      <c r="G313" s="0" t="str">
        <f aca="false">IF(A313="","",SUMIFS('TRANSAKSI PENJUALAN'!$K$5:$K$504,'TRANSAKSI PENJUALAN'!$B$5:$B$504,B313,'TRANSAKSI PENJUALAN'!$E$5:$E$504,C313,'TRANSAKSI PENJUALAN'!$L$5:$L$504,"Tunai",'TRANSAKSI PENJUALAN'!$M$5:$M$504,"Lunas"))</f>
        <v/>
      </c>
      <c r="J313" s="0" t="str">
        <f aca="false">IF(A313="","",F313+G313+H313-I313)</f>
        <v/>
      </c>
      <c r="L313" s="0" t="str">
        <f aca="false">IF(A313="","",IF(NOT(ISNUMBER(K313)),"ISI KAS FISIK",K313-J313))</f>
        <v/>
      </c>
      <c r="M313" s="0" t="str">
        <f aca="false">IF(A313="","",IF(NOT(ISNUMBER(L313)),"BELUM TUTUP",IF(L313=0,"Pas",IF(L313&gt;0,"Lebih","Kurang"))))</f>
        <v/>
      </c>
    </row>
    <row r="314" customFormat="false" ht="15" hidden="false" customHeight="false" outlineLevel="0" collapsed="false">
      <c r="G314" s="0" t="str">
        <f aca="false">IF(A314="","",SUMIFS('TRANSAKSI PENJUALAN'!$K$5:$K$504,'TRANSAKSI PENJUALAN'!$B$5:$B$504,B314,'TRANSAKSI PENJUALAN'!$E$5:$E$504,C314,'TRANSAKSI PENJUALAN'!$L$5:$L$504,"Tunai",'TRANSAKSI PENJUALAN'!$M$5:$M$504,"Lunas"))</f>
        <v/>
      </c>
      <c r="J314" s="0" t="str">
        <f aca="false">IF(A314="","",F314+G314+H314-I314)</f>
        <v/>
      </c>
      <c r="L314" s="0" t="str">
        <f aca="false">IF(A314="","",IF(NOT(ISNUMBER(K314)),"ISI KAS FISIK",K314-J314))</f>
        <v/>
      </c>
      <c r="M314" s="0" t="str">
        <f aca="false">IF(A314="","",IF(NOT(ISNUMBER(L314)),"BELUM TUTUP",IF(L314=0,"Pas",IF(L314&gt;0,"Lebih","Kurang"))))</f>
        <v/>
      </c>
    </row>
    <row r="315" customFormat="false" ht="15" hidden="false" customHeight="false" outlineLevel="0" collapsed="false">
      <c r="G315" s="0" t="str">
        <f aca="false">IF(A315="","",SUMIFS('TRANSAKSI PENJUALAN'!$K$5:$K$504,'TRANSAKSI PENJUALAN'!$B$5:$B$504,B315,'TRANSAKSI PENJUALAN'!$E$5:$E$504,C315,'TRANSAKSI PENJUALAN'!$L$5:$L$504,"Tunai",'TRANSAKSI PENJUALAN'!$M$5:$M$504,"Lunas"))</f>
        <v/>
      </c>
      <c r="J315" s="0" t="str">
        <f aca="false">IF(A315="","",F315+G315+H315-I315)</f>
        <v/>
      </c>
      <c r="L315" s="0" t="str">
        <f aca="false">IF(A315="","",IF(NOT(ISNUMBER(K315)),"ISI KAS FISIK",K315-J315))</f>
        <v/>
      </c>
      <c r="M315" s="0" t="str">
        <f aca="false">IF(A315="","",IF(NOT(ISNUMBER(L315)),"BELUM TUTUP",IF(L315=0,"Pas",IF(L315&gt;0,"Lebih","Kurang"))))</f>
        <v/>
      </c>
    </row>
    <row r="316" customFormat="false" ht="15" hidden="false" customHeight="false" outlineLevel="0" collapsed="false">
      <c r="G316" s="0" t="str">
        <f aca="false">IF(A316="","",SUMIFS('TRANSAKSI PENJUALAN'!$K$5:$K$504,'TRANSAKSI PENJUALAN'!$B$5:$B$504,B316,'TRANSAKSI PENJUALAN'!$E$5:$E$504,C316,'TRANSAKSI PENJUALAN'!$L$5:$L$504,"Tunai",'TRANSAKSI PENJUALAN'!$M$5:$M$504,"Lunas"))</f>
        <v/>
      </c>
      <c r="J316" s="0" t="str">
        <f aca="false">IF(A316="","",F316+G316+H316-I316)</f>
        <v/>
      </c>
      <c r="L316" s="0" t="str">
        <f aca="false">IF(A316="","",IF(NOT(ISNUMBER(K316)),"ISI KAS FISIK",K316-J316))</f>
        <v/>
      </c>
      <c r="M316" s="0" t="str">
        <f aca="false">IF(A316="","",IF(NOT(ISNUMBER(L316)),"BELUM TUTUP",IF(L316=0,"Pas",IF(L316&gt;0,"Lebih","Kurang"))))</f>
        <v/>
      </c>
    </row>
    <row r="317" customFormat="false" ht="15" hidden="false" customHeight="false" outlineLevel="0" collapsed="false">
      <c r="G317" s="0" t="str">
        <f aca="false">IF(A317="","",SUMIFS('TRANSAKSI PENJUALAN'!$K$5:$K$504,'TRANSAKSI PENJUALAN'!$B$5:$B$504,B317,'TRANSAKSI PENJUALAN'!$E$5:$E$504,C317,'TRANSAKSI PENJUALAN'!$L$5:$L$504,"Tunai",'TRANSAKSI PENJUALAN'!$M$5:$M$504,"Lunas"))</f>
        <v/>
      </c>
      <c r="J317" s="0" t="str">
        <f aca="false">IF(A317="","",F317+G317+H317-I317)</f>
        <v/>
      </c>
      <c r="L317" s="0" t="str">
        <f aca="false">IF(A317="","",IF(NOT(ISNUMBER(K317)),"ISI KAS FISIK",K317-J317))</f>
        <v/>
      </c>
      <c r="M317" s="0" t="str">
        <f aca="false">IF(A317="","",IF(NOT(ISNUMBER(L317)),"BELUM TUTUP",IF(L317=0,"Pas",IF(L317&gt;0,"Lebih","Kurang"))))</f>
        <v/>
      </c>
    </row>
    <row r="318" customFormat="false" ht="15" hidden="false" customHeight="false" outlineLevel="0" collapsed="false">
      <c r="G318" s="0" t="str">
        <f aca="false">IF(A318="","",SUMIFS('TRANSAKSI PENJUALAN'!$K$5:$K$504,'TRANSAKSI PENJUALAN'!$B$5:$B$504,B318,'TRANSAKSI PENJUALAN'!$E$5:$E$504,C318,'TRANSAKSI PENJUALAN'!$L$5:$L$504,"Tunai",'TRANSAKSI PENJUALAN'!$M$5:$M$504,"Lunas"))</f>
        <v/>
      </c>
      <c r="J318" s="0" t="str">
        <f aca="false">IF(A318="","",F318+G318+H318-I318)</f>
        <v/>
      </c>
      <c r="L318" s="0" t="str">
        <f aca="false">IF(A318="","",IF(NOT(ISNUMBER(K318)),"ISI KAS FISIK",K318-J318))</f>
        <v/>
      </c>
      <c r="M318" s="0" t="str">
        <f aca="false">IF(A318="","",IF(NOT(ISNUMBER(L318)),"BELUM TUTUP",IF(L318=0,"Pas",IF(L318&gt;0,"Lebih","Kurang"))))</f>
        <v/>
      </c>
    </row>
    <row r="319" customFormat="false" ht="15" hidden="false" customHeight="false" outlineLevel="0" collapsed="false">
      <c r="G319" s="0" t="str">
        <f aca="false">IF(A319="","",SUMIFS('TRANSAKSI PENJUALAN'!$K$5:$K$504,'TRANSAKSI PENJUALAN'!$B$5:$B$504,B319,'TRANSAKSI PENJUALAN'!$E$5:$E$504,C319,'TRANSAKSI PENJUALAN'!$L$5:$L$504,"Tunai",'TRANSAKSI PENJUALAN'!$M$5:$M$504,"Lunas"))</f>
        <v/>
      </c>
      <c r="J319" s="0" t="str">
        <f aca="false">IF(A319="","",F319+G319+H319-I319)</f>
        <v/>
      </c>
      <c r="L319" s="0" t="str">
        <f aca="false">IF(A319="","",IF(NOT(ISNUMBER(K319)),"ISI KAS FISIK",K319-J319))</f>
        <v/>
      </c>
      <c r="M319" s="0" t="str">
        <f aca="false">IF(A319="","",IF(NOT(ISNUMBER(L319)),"BELUM TUTUP",IF(L319=0,"Pas",IF(L319&gt;0,"Lebih","Kurang"))))</f>
        <v/>
      </c>
    </row>
    <row r="320" customFormat="false" ht="15" hidden="false" customHeight="false" outlineLevel="0" collapsed="false">
      <c r="G320" s="0" t="str">
        <f aca="false">IF(A320="","",SUMIFS('TRANSAKSI PENJUALAN'!$K$5:$K$504,'TRANSAKSI PENJUALAN'!$B$5:$B$504,B320,'TRANSAKSI PENJUALAN'!$E$5:$E$504,C320,'TRANSAKSI PENJUALAN'!$L$5:$L$504,"Tunai",'TRANSAKSI PENJUALAN'!$M$5:$M$504,"Lunas"))</f>
        <v/>
      </c>
      <c r="J320" s="0" t="str">
        <f aca="false">IF(A320="","",F320+G320+H320-I320)</f>
        <v/>
      </c>
      <c r="L320" s="0" t="str">
        <f aca="false">IF(A320="","",IF(NOT(ISNUMBER(K320)),"ISI KAS FISIK",K320-J320))</f>
        <v/>
      </c>
      <c r="M320" s="0" t="str">
        <f aca="false">IF(A320="","",IF(NOT(ISNUMBER(L320)),"BELUM TUTUP",IF(L320=0,"Pas",IF(L320&gt;0,"Lebih","Kurang"))))</f>
        <v/>
      </c>
    </row>
    <row r="321" customFormat="false" ht="15" hidden="false" customHeight="false" outlineLevel="0" collapsed="false">
      <c r="G321" s="0" t="str">
        <f aca="false">IF(A321="","",SUMIFS('TRANSAKSI PENJUALAN'!$K$5:$K$504,'TRANSAKSI PENJUALAN'!$B$5:$B$504,B321,'TRANSAKSI PENJUALAN'!$E$5:$E$504,C321,'TRANSAKSI PENJUALAN'!$L$5:$L$504,"Tunai",'TRANSAKSI PENJUALAN'!$M$5:$M$504,"Lunas"))</f>
        <v/>
      </c>
      <c r="J321" s="0" t="str">
        <f aca="false">IF(A321="","",F321+G321+H321-I321)</f>
        <v/>
      </c>
      <c r="L321" s="0" t="str">
        <f aca="false">IF(A321="","",IF(NOT(ISNUMBER(K321)),"ISI KAS FISIK",K321-J321))</f>
        <v/>
      </c>
      <c r="M321" s="0" t="str">
        <f aca="false">IF(A321="","",IF(NOT(ISNUMBER(L321)),"BELUM TUTUP",IF(L321=0,"Pas",IF(L321&gt;0,"Lebih","Kurang"))))</f>
        <v/>
      </c>
    </row>
    <row r="322" customFormat="false" ht="15" hidden="false" customHeight="false" outlineLevel="0" collapsed="false">
      <c r="G322" s="0" t="str">
        <f aca="false">IF(A322="","",SUMIFS('TRANSAKSI PENJUALAN'!$K$5:$K$504,'TRANSAKSI PENJUALAN'!$B$5:$B$504,B322,'TRANSAKSI PENJUALAN'!$E$5:$E$504,C322,'TRANSAKSI PENJUALAN'!$L$5:$L$504,"Tunai",'TRANSAKSI PENJUALAN'!$M$5:$M$504,"Lunas"))</f>
        <v/>
      </c>
      <c r="J322" s="0" t="str">
        <f aca="false">IF(A322="","",F322+G322+H322-I322)</f>
        <v/>
      </c>
      <c r="L322" s="0" t="str">
        <f aca="false">IF(A322="","",IF(NOT(ISNUMBER(K322)),"ISI KAS FISIK",K322-J322))</f>
        <v/>
      </c>
      <c r="M322" s="0" t="str">
        <f aca="false">IF(A322="","",IF(NOT(ISNUMBER(L322)),"BELUM TUTUP",IF(L322=0,"Pas",IF(L322&gt;0,"Lebih","Kurang"))))</f>
        <v/>
      </c>
    </row>
    <row r="323" customFormat="false" ht="15" hidden="false" customHeight="false" outlineLevel="0" collapsed="false">
      <c r="G323" s="0" t="str">
        <f aca="false">IF(A323="","",SUMIFS('TRANSAKSI PENJUALAN'!$K$5:$K$504,'TRANSAKSI PENJUALAN'!$B$5:$B$504,B323,'TRANSAKSI PENJUALAN'!$E$5:$E$504,C323,'TRANSAKSI PENJUALAN'!$L$5:$L$504,"Tunai",'TRANSAKSI PENJUALAN'!$M$5:$M$504,"Lunas"))</f>
        <v/>
      </c>
      <c r="J323" s="0" t="str">
        <f aca="false">IF(A323="","",F323+G323+H323-I323)</f>
        <v/>
      </c>
      <c r="L323" s="0" t="str">
        <f aca="false">IF(A323="","",IF(NOT(ISNUMBER(K323)),"ISI KAS FISIK",K323-J323))</f>
        <v/>
      </c>
      <c r="M323" s="0" t="str">
        <f aca="false">IF(A323="","",IF(NOT(ISNUMBER(L323)),"BELUM TUTUP",IF(L323=0,"Pas",IF(L323&gt;0,"Lebih","Kurang"))))</f>
        <v/>
      </c>
    </row>
    <row r="324" customFormat="false" ht="15" hidden="false" customHeight="false" outlineLevel="0" collapsed="false">
      <c r="G324" s="0" t="str">
        <f aca="false">IF(A324="","",SUMIFS('TRANSAKSI PENJUALAN'!$K$5:$K$504,'TRANSAKSI PENJUALAN'!$B$5:$B$504,B324,'TRANSAKSI PENJUALAN'!$E$5:$E$504,C324,'TRANSAKSI PENJUALAN'!$L$5:$L$504,"Tunai",'TRANSAKSI PENJUALAN'!$M$5:$M$504,"Lunas"))</f>
        <v/>
      </c>
      <c r="J324" s="0" t="str">
        <f aca="false">IF(A324="","",F324+G324+H324-I324)</f>
        <v/>
      </c>
      <c r="L324" s="0" t="str">
        <f aca="false">IF(A324="","",IF(NOT(ISNUMBER(K324)),"ISI KAS FISIK",K324-J324))</f>
        <v/>
      </c>
      <c r="M324" s="0" t="str">
        <f aca="false">IF(A324="","",IF(NOT(ISNUMBER(L324)),"BELUM TUTUP",IF(L324=0,"Pas",IF(L324&gt;0,"Lebih","Kurang"))))</f>
        <v/>
      </c>
    </row>
    <row r="325" customFormat="false" ht="15" hidden="false" customHeight="false" outlineLevel="0" collapsed="false">
      <c r="G325" s="0" t="str">
        <f aca="false">IF(A325="","",SUMIFS('TRANSAKSI PENJUALAN'!$K$5:$K$504,'TRANSAKSI PENJUALAN'!$B$5:$B$504,B325,'TRANSAKSI PENJUALAN'!$E$5:$E$504,C325,'TRANSAKSI PENJUALAN'!$L$5:$L$504,"Tunai",'TRANSAKSI PENJUALAN'!$M$5:$M$504,"Lunas"))</f>
        <v/>
      </c>
      <c r="J325" s="0" t="str">
        <f aca="false">IF(A325="","",F325+G325+H325-I325)</f>
        <v/>
      </c>
      <c r="L325" s="0" t="str">
        <f aca="false">IF(A325="","",IF(NOT(ISNUMBER(K325)),"ISI KAS FISIK",K325-J325))</f>
        <v/>
      </c>
      <c r="M325" s="0" t="str">
        <f aca="false">IF(A325="","",IF(NOT(ISNUMBER(L325)),"BELUM TUTUP",IF(L325=0,"Pas",IF(L325&gt;0,"Lebih","Kurang"))))</f>
        <v/>
      </c>
    </row>
    <row r="326" customFormat="false" ht="15" hidden="false" customHeight="false" outlineLevel="0" collapsed="false">
      <c r="G326" s="0" t="str">
        <f aca="false">IF(A326="","",SUMIFS('TRANSAKSI PENJUALAN'!$K$5:$K$504,'TRANSAKSI PENJUALAN'!$B$5:$B$504,B326,'TRANSAKSI PENJUALAN'!$E$5:$E$504,C326,'TRANSAKSI PENJUALAN'!$L$5:$L$504,"Tunai",'TRANSAKSI PENJUALAN'!$M$5:$M$504,"Lunas"))</f>
        <v/>
      </c>
      <c r="J326" s="0" t="str">
        <f aca="false">IF(A326="","",F326+G326+H326-I326)</f>
        <v/>
      </c>
      <c r="L326" s="0" t="str">
        <f aca="false">IF(A326="","",IF(NOT(ISNUMBER(K326)),"ISI KAS FISIK",K326-J326))</f>
        <v/>
      </c>
      <c r="M326" s="0" t="str">
        <f aca="false">IF(A326="","",IF(NOT(ISNUMBER(L326)),"BELUM TUTUP",IF(L326=0,"Pas",IF(L326&gt;0,"Lebih","Kurang"))))</f>
        <v/>
      </c>
    </row>
    <row r="327" customFormat="false" ht="15" hidden="false" customHeight="false" outlineLevel="0" collapsed="false">
      <c r="G327" s="0" t="str">
        <f aca="false">IF(A327="","",SUMIFS('TRANSAKSI PENJUALAN'!$K$5:$K$504,'TRANSAKSI PENJUALAN'!$B$5:$B$504,B327,'TRANSAKSI PENJUALAN'!$E$5:$E$504,C327,'TRANSAKSI PENJUALAN'!$L$5:$L$504,"Tunai",'TRANSAKSI PENJUALAN'!$M$5:$M$504,"Lunas"))</f>
        <v/>
      </c>
      <c r="J327" s="0" t="str">
        <f aca="false">IF(A327="","",F327+G327+H327-I327)</f>
        <v/>
      </c>
      <c r="L327" s="0" t="str">
        <f aca="false">IF(A327="","",IF(NOT(ISNUMBER(K327)),"ISI KAS FISIK",K327-J327))</f>
        <v/>
      </c>
      <c r="M327" s="0" t="str">
        <f aca="false">IF(A327="","",IF(NOT(ISNUMBER(L327)),"BELUM TUTUP",IF(L327=0,"Pas",IF(L327&gt;0,"Lebih","Kurang"))))</f>
        <v/>
      </c>
    </row>
    <row r="328" customFormat="false" ht="15" hidden="false" customHeight="false" outlineLevel="0" collapsed="false">
      <c r="G328" s="0" t="str">
        <f aca="false">IF(A328="","",SUMIFS('TRANSAKSI PENJUALAN'!$K$5:$K$504,'TRANSAKSI PENJUALAN'!$B$5:$B$504,B328,'TRANSAKSI PENJUALAN'!$E$5:$E$504,C328,'TRANSAKSI PENJUALAN'!$L$5:$L$504,"Tunai",'TRANSAKSI PENJUALAN'!$M$5:$M$504,"Lunas"))</f>
        <v/>
      </c>
      <c r="J328" s="0" t="str">
        <f aca="false">IF(A328="","",F328+G328+H328-I328)</f>
        <v/>
      </c>
      <c r="L328" s="0" t="str">
        <f aca="false">IF(A328="","",IF(NOT(ISNUMBER(K328)),"ISI KAS FISIK",K328-J328))</f>
        <v/>
      </c>
      <c r="M328" s="0" t="str">
        <f aca="false">IF(A328="","",IF(NOT(ISNUMBER(L328)),"BELUM TUTUP",IF(L328=0,"Pas",IF(L328&gt;0,"Lebih","Kurang"))))</f>
        <v/>
      </c>
    </row>
    <row r="329" customFormat="false" ht="15" hidden="false" customHeight="false" outlineLevel="0" collapsed="false">
      <c r="G329" s="0" t="str">
        <f aca="false">IF(A329="","",SUMIFS('TRANSAKSI PENJUALAN'!$K$5:$K$504,'TRANSAKSI PENJUALAN'!$B$5:$B$504,B329,'TRANSAKSI PENJUALAN'!$E$5:$E$504,C329,'TRANSAKSI PENJUALAN'!$L$5:$L$504,"Tunai",'TRANSAKSI PENJUALAN'!$M$5:$M$504,"Lunas"))</f>
        <v/>
      </c>
      <c r="J329" s="0" t="str">
        <f aca="false">IF(A329="","",F329+G329+H329-I329)</f>
        <v/>
      </c>
      <c r="L329" s="0" t="str">
        <f aca="false">IF(A329="","",IF(NOT(ISNUMBER(K329)),"ISI KAS FISIK",K329-J329))</f>
        <v/>
      </c>
      <c r="M329" s="0" t="str">
        <f aca="false">IF(A329="","",IF(NOT(ISNUMBER(L329)),"BELUM TUTUP",IF(L329=0,"Pas",IF(L329&gt;0,"Lebih","Kurang"))))</f>
        <v/>
      </c>
    </row>
    <row r="330" customFormat="false" ht="15" hidden="false" customHeight="false" outlineLevel="0" collapsed="false">
      <c r="G330" s="0" t="str">
        <f aca="false">IF(A330="","",SUMIFS('TRANSAKSI PENJUALAN'!$K$5:$K$504,'TRANSAKSI PENJUALAN'!$B$5:$B$504,B330,'TRANSAKSI PENJUALAN'!$E$5:$E$504,C330,'TRANSAKSI PENJUALAN'!$L$5:$L$504,"Tunai",'TRANSAKSI PENJUALAN'!$M$5:$M$504,"Lunas"))</f>
        <v/>
      </c>
      <c r="J330" s="0" t="str">
        <f aca="false">IF(A330="","",F330+G330+H330-I330)</f>
        <v/>
      </c>
      <c r="L330" s="0" t="str">
        <f aca="false">IF(A330="","",IF(NOT(ISNUMBER(K330)),"ISI KAS FISIK",K330-J330))</f>
        <v/>
      </c>
      <c r="M330" s="0" t="str">
        <f aca="false">IF(A330="","",IF(NOT(ISNUMBER(L330)),"BELUM TUTUP",IF(L330=0,"Pas",IF(L330&gt;0,"Lebih","Kurang"))))</f>
        <v/>
      </c>
    </row>
    <row r="331" customFormat="false" ht="15" hidden="false" customHeight="false" outlineLevel="0" collapsed="false">
      <c r="G331" s="0" t="str">
        <f aca="false">IF(A331="","",SUMIFS('TRANSAKSI PENJUALAN'!$K$5:$K$504,'TRANSAKSI PENJUALAN'!$B$5:$B$504,B331,'TRANSAKSI PENJUALAN'!$E$5:$E$504,C331,'TRANSAKSI PENJUALAN'!$L$5:$L$504,"Tunai",'TRANSAKSI PENJUALAN'!$M$5:$M$504,"Lunas"))</f>
        <v/>
      </c>
      <c r="J331" s="0" t="str">
        <f aca="false">IF(A331="","",F331+G331+H331-I331)</f>
        <v/>
      </c>
      <c r="L331" s="0" t="str">
        <f aca="false">IF(A331="","",IF(NOT(ISNUMBER(K331)),"ISI KAS FISIK",K331-J331))</f>
        <v/>
      </c>
      <c r="M331" s="0" t="str">
        <f aca="false">IF(A331="","",IF(NOT(ISNUMBER(L331)),"BELUM TUTUP",IF(L331=0,"Pas",IF(L331&gt;0,"Lebih","Kurang"))))</f>
        <v/>
      </c>
    </row>
    <row r="332" customFormat="false" ht="15" hidden="false" customHeight="false" outlineLevel="0" collapsed="false">
      <c r="G332" s="0" t="str">
        <f aca="false">IF(A332="","",SUMIFS('TRANSAKSI PENJUALAN'!$K$5:$K$504,'TRANSAKSI PENJUALAN'!$B$5:$B$504,B332,'TRANSAKSI PENJUALAN'!$E$5:$E$504,C332,'TRANSAKSI PENJUALAN'!$L$5:$L$504,"Tunai",'TRANSAKSI PENJUALAN'!$M$5:$M$504,"Lunas"))</f>
        <v/>
      </c>
      <c r="J332" s="0" t="str">
        <f aca="false">IF(A332="","",F332+G332+H332-I332)</f>
        <v/>
      </c>
      <c r="L332" s="0" t="str">
        <f aca="false">IF(A332="","",IF(NOT(ISNUMBER(K332)),"ISI KAS FISIK",K332-J332))</f>
        <v/>
      </c>
      <c r="M332" s="0" t="str">
        <f aca="false">IF(A332="","",IF(NOT(ISNUMBER(L332)),"BELUM TUTUP",IF(L332=0,"Pas",IF(L332&gt;0,"Lebih","Kurang"))))</f>
        <v/>
      </c>
    </row>
    <row r="333" customFormat="false" ht="15" hidden="false" customHeight="false" outlineLevel="0" collapsed="false">
      <c r="G333" s="0" t="str">
        <f aca="false">IF(A333="","",SUMIFS('TRANSAKSI PENJUALAN'!$K$5:$K$504,'TRANSAKSI PENJUALAN'!$B$5:$B$504,B333,'TRANSAKSI PENJUALAN'!$E$5:$E$504,C333,'TRANSAKSI PENJUALAN'!$L$5:$L$504,"Tunai",'TRANSAKSI PENJUALAN'!$M$5:$M$504,"Lunas"))</f>
        <v/>
      </c>
      <c r="J333" s="0" t="str">
        <f aca="false">IF(A333="","",F333+G333+H333-I333)</f>
        <v/>
      </c>
      <c r="L333" s="0" t="str">
        <f aca="false">IF(A333="","",IF(NOT(ISNUMBER(K333)),"ISI KAS FISIK",K333-J333))</f>
        <v/>
      </c>
      <c r="M333" s="0" t="str">
        <f aca="false">IF(A333="","",IF(NOT(ISNUMBER(L333)),"BELUM TUTUP",IF(L333=0,"Pas",IF(L333&gt;0,"Lebih","Kurang"))))</f>
        <v/>
      </c>
    </row>
    <row r="334" customFormat="false" ht="15" hidden="false" customHeight="false" outlineLevel="0" collapsed="false">
      <c r="G334" s="0" t="str">
        <f aca="false">IF(A334="","",SUMIFS('TRANSAKSI PENJUALAN'!$K$5:$K$504,'TRANSAKSI PENJUALAN'!$B$5:$B$504,B334,'TRANSAKSI PENJUALAN'!$E$5:$E$504,C334,'TRANSAKSI PENJUALAN'!$L$5:$L$504,"Tunai",'TRANSAKSI PENJUALAN'!$M$5:$M$504,"Lunas"))</f>
        <v/>
      </c>
      <c r="J334" s="0" t="str">
        <f aca="false">IF(A334="","",F334+G334+H334-I334)</f>
        <v/>
      </c>
      <c r="L334" s="0" t="str">
        <f aca="false">IF(A334="","",IF(NOT(ISNUMBER(K334)),"ISI KAS FISIK",K334-J334))</f>
        <v/>
      </c>
      <c r="M334" s="0" t="str">
        <f aca="false">IF(A334="","",IF(NOT(ISNUMBER(L334)),"BELUM TUTUP",IF(L334=0,"Pas",IF(L334&gt;0,"Lebih","Kurang"))))</f>
        <v/>
      </c>
    </row>
    <row r="335" customFormat="false" ht="15" hidden="false" customHeight="false" outlineLevel="0" collapsed="false">
      <c r="G335" s="0" t="str">
        <f aca="false">IF(A335="","",SUMIFS('TRANSAKSI PENJUALAN'!$K$5:$K$504,'TRANSAKSI PENJUALAN'!$B$5:$B$504,B335,'TRANSAKSI PENJUALAN'!$E$5:$E$504,C335,'TRANSAKSI PENJUALAN'!$L$5:$L$504,"Tunai",'TRANSAKSI PENJUALAN'!$M$5:$M$504,"Lunas"))</f>
        <v/>
      </c>
      <c r="J335" s="0" t="str">
        <f aca="false">IF(A335="","",F335+G335+H335-I335)</f>
        <v/>
      </c>
      <c r="L335" s="0" t="str">
        <f aca="false">IF(A335="","",IF(NOT(ISNUMBER(K335)),"ISI KAS FISIK",K335-J335))</f>
        <v/>
      </c>
      <c r="M335" s="0" t="str">
        <f aca="false">IF(A335="","",IF(NOT(ISNUMBER(L335)),"BELUM TUTUP",IF(L335=0,"Pas",IF(L335&gt;0,"Lebih","Kurang"))))</f>
        <v/>
      </c>
    </row>
    <row r="336" customFormat="false" ht="15" hidden="false" customHeight="false" outlineLevel="0" collapsed="false">
      <c r="G336" s="0" t="str">
        <f aca="false">IF(A336="","",SUMIFS('TRANSAKSI PENJUALAN'!$K$5:$K$504,'TRANSAKSI PENJUALAN'!$B$5:$B$504,B336,'TRANSAKSI PENJUALAN'!$E$5:$E$504,C336,'TRANSAKSI PENJUALAN'!$L$5:$L$504,"Tunai",'TRANSAKSI PENJUALAN'!$M$5:$M$504,"Lunas"))</f>
        <v/>
      </c>
      <c r="J336" s="0" t="str">
        <f aca="false">IF(A336="","",F336+G336+H336-I336)</f>
        <v/>
      </c>
      <c r="L336" s="0" t="str">
        <f aca="false">IF(A336="","",IF(NOT(ISNUMBER(K336)),"ISI KAS FISIK",K336-J336))</f>
        <v/>
      </c>
      <c r="M336" s="0" t="str">
        <f aca="false">IF(A336="","",IF(NOT(ISNUMBER(L336)),"BELUM TUTUP",IF(L336=0,"Pas",IF(L336&gt;0,"Lebih","Kurang"))))</f>
        <v/>
      </c>
    </row>
    <row r="337" customFormat="false" ht="15" hidden="false" customHeight="false" outlineLevel="0" collapsed="false">
      <c r="G337" s="0" t="str">
        <f aca="false">IF(A337="","",SUMIFS('TRANSAKSI PENJUALAN'!$K$5:$K$504,'TRANSAKSI PENJUALAN'!$B$5:$B$504,B337,'TRANSAKSI PENJUALAN'!$E$5:$E$504,C337,'TRANSAKSI PENJUALAN'!$L$5:$L$504,"Tunai",'TRANSAKSI PENJUALAN'!$M$5:$M$504,"Lunas"))</f>
        <v/>
      </c>
      <c r="J337" s="0" t="str">
        <f aca="false">IF(A337="","",F337+G337+H337-I337)</f>
        <v/>
      </c>
      <c r="L337" s="0" t="str">
        <f aca="false">IF(A337="","",IF(NOT(ISNUMBER(K337)),"ISI KAS FISIK",K337-J337))</f>
        <v/>
      </c>
      <c r="M337" s="0" t="str">
        <f aca="false">IF(A337="","",IF(NOT(ISNUMBER(L337)),"BELUM TUTUP",IF(L337=0,"Pas",IF(L337&gt;0,"Lebih","Kurang"))))</f>
        <v/>
      </c>
    </row>
    <row r="338" customFormat="false" ht="15" hidden="false" customHeight="false" outlineLevel="0" collapsed="false">
      <c r="G338" s="0" t="str">
        <f aca="false">IF(A338="","",SUMIFS('TRANSAKSI PENJUALAN'!$K$5:$K$504,'TRANSAKSI PENJUALAN'!$B$5:$B$504,B338,'TRANSAKSI PENJUALAN'!$E$5:$E$504,C338,'TRANSAKSI PENJUALAN'!$L$5:$L$504,"Tunai",'TRANSAKSI PENJUALAN'!$M$5:$M$504,"Lunas"))</f>
        <v/>
      </c>
      <c r="J338" s="0" t="str">
        <f aca="false">IF(A338="","",F338+G338+H338-I338)</f>
        <v/>
      </c>
      <c r="L338" s="0" t="str">
        <f aca="false">IF(A338="","",IF(NOT(ISNUMBER(K338)),"ISI KAS FISIK",K338-J338))</f>
        <v/>
      </c>
      <c r="M338" s="0" t="str">
        <f aca="false">IF(A338="","",IF(NOT(ISNUMBER(L338)),"BELUM TUTUP",IF(L338=0,"Pas",IF(L338&gt;0,"Lebih","Kurang"))))</f>
        <v/>
      </c>
    </row>
    <row r="339" customFormat="false" ht="15" hidden="false" customHeight="false" outlineLevel="0" collapsed="false">
      <c r="G339" s="0" t="str">
        <f aca="false">IF(A339="","",SUMIFS('TRANSAKSI PENJUALAN'!$K$5:$K$504,'TRANSAKSI PENJUALAN'!$B$5:$B$504,B339,'TRANSAKSI PENJUALAN'!$E$5:$E$504,C339,'TRANSAKSI PENJUALAN'!$L$5:$L$504,"Tunai",'TRANSAKSI PENJUALAN'!$M$5:$M$504,"Lunas"))</f>
        <v/>
      </c>
      <c r="J339" s="0" t="str">
        <f aca="false">IF(A339="","",F339+G339+H339-I339)</f>
        <v/>
      </c>
      <c r="L339" s="0" t="str">
        <f aca="false">IF(A339="","",IF(NOT(ISNUMBER(K339)),"ISI KAS FISIK",K339-J339))</f>
        <v/>
      </c>
      <c r="M339" s="0" t="str">
        <f aca="false">IF(A339="","",IF(NOT(ISNUMBER(L339)),"BELUM TUTUP",IF(L339=0,"Pas",IF(L339&gt;0,"Lebih","Kurang"))))</f>
        <v/>
      </c>
    </row>
    <row r="340" customFormat="false" ht="15" hidden="false" customHeight="false" outlineLevel="0" collapsed="false">
      <c r="G340" s="0" t="str">
        <f aca="false">IF(A340="","",SUMIFS('TRANSAKSI PENJUALAN'!$K$5:$K$504,'TRANSAKSI PENJUALAN'!$B$5:$B$504,B340,'TRANSAKSI PENJUALAN'!$E$5:$E$504,C340,'TRANSAKSI PENJUALAN'!$L$5:$L$504,"Tunai",'TRANSAKSI PENJUALAN'!$M$5:$M$504,"Lunas"))</f>
        <v/>
      </c>
      <c r="J340" s="0" t="str">
        <f aca="false">IF(A340="","",F340+G340+H340-I340)</f>
        <v/>
      </c>
      <c r="L340" s="0" t="str">
        <f aca="false">IF(A340="","",IF(NOT(ISNUMBER(K340)),"ISI KAS FISIK",K340-J340))</f>
        <v/>
      </c>
      <c r="M340" s="0" t="str">
        <f aca="false">IF(A340="","",IF(NOT(ISNUMBER(L340)),"BELUM TUTUP",IF(L340=0,"Pas",IF(L340&gt;0,"Lebih","Kurang"))))</f>
        <v/>
      </c>
    </row>
    <row r="341" customFormat="false" ht="15" hidden="false" customHeight="false" outlineLevel="0" collapsed="false">
      <c r="G341" s="0" t="str">
        <f aca="false">IF(A341="","",SUMIFS('TRANSAKSI PENJUALAN'!$K$5:$K$504,'TRANSAKSI PENJUALAN'!$B$5:$B$504,B341,'TRANSAKSI PENJUALAN'!$E$5:$E$504,C341,'TRANSAKSI PENJUALAN'!$L$5:$L$504,"Tunai",'TRANSAKSI PENJUALAN'!$M$5:$M$504,"Lunas"))</f>
        <v/>
      </c>
      <c r="J341" s="0" t="str">
        <f aca="false">IF(A341="","",F341+G341+H341-I341)</f>
        <v/>
      </c>
      <c r="L341" s="0" t="str">
        <f aca="false">IF(A341="","",IF(NOT(ISNUMBER(K341)),"ISI KAS FISIK",K341-J341))</f>
        <v/>
      </c>
      <c r="M341" s="0" t="str">
        <f aca="false">IF(A341="","",IF(NOT(ISNUMBER(L341)),"BELUM TUTUP",IF(L341=0,"Pas",IF(L341&gt;0,"Lebih","Kurang"))))</f>
        <v/>
      </c>
    </row>
    <row r="342" customFormat="false" ht="15" hidden="false" customHeight="false" outlineLevel="0" collapsed="false">
      <c r="G342" s="0" t="str">
        <f aca="false">IF(A342="","",SUMIFS('TRANSAKSI PENJUALAN'!$K$5:$K$504,'TRANSAKSI PENJUALAN'!$B$5:$B$504,B342,'TRANSAKSI PENJUALAN'!$E$5:$E$504,C342,'TRANSAKSI PENJUALAN'!$L$5:$L$504,"Tunai",'TRANSAKSI PENJUALAN'!$M$5:$M$504,"Lunas"))</f>
        <v/>
      </c>
      <c r="J342" s="0" t="str">
        <f aca="false">IF(A342="","",F342+G342+H342-I342)</f>
        <v/>
      </c>
      <c r="L342" s="0" t="str">
        <f aca="false">IF(A342="","",IF(NOT(ISNUMBER(K342)),"ISI KAS FISIK",K342-J342))</f>
        <v/>
      </c>
      <c r="M342" s="0" t="str">
        <f aca="false">IF(A342="","",IF(NOT(ISNUMBER(L342)),"BELUM TUTUP",IF(L342=0,"Pas",IF(L342&gt;0,"Lebih","Kurang"))))</f>
        <v/>
      </c>
    </row>
    <row r="343" customFormat="false" ht="15" hidden="false" customHeight="false" outlineLevel="0" collapsed="false">
      <c r="G343" s="0" t="str">
        <f aca="false">IF(A343="","",SUMIFS('TRANSAKSI PENJUALAN'!$K$5:$K$504,'TRANSAKSI PENJUALAN'!$B$5:$B$504,B343,'TRANSAKSI PENJUALAN'!$E$5:$E$504,C343,'TRANSAKSI PENJUALAN'!$L$5:$L$504,"Tunai",'TRANSAKSI PENJUALAN'!$M$5:$M$504,"Lunas"))</f>
        <v/>
      </c>
      <c r="J343" s="0" t="str">
        <f aca="false">IF(A343="","",F343+G343+H343-I343)</f>
        <v/>
      </c>
      <c r="L343" s="0" t="str">
        <f aca="false">IF(A343="","",IF(NOT(ISNUMBER(K343)),"ISI KAS FISIK",K343-J343))</f>
        <v/>
      </c>
      <c r="M343" s="0" t="str">
        <f aca="false">IF(A343="","",IF(NOT(ISNUMBER(L343)),"BELUM TUTUP",IF(L343=0,"Pas",IF(L343&gt;0,"Lebih","Kurang"))))</f>
        <v/>
      </c>
    </row>
    <row r="344" customFormat="false" ht="15" hidden="false" customHeight="false" outlineLevel="0" collapsed="false">
      <c r="G344" s="0" t="str">
        <f aca="false">IF(A344="","",SUMIFS('TRANSAKSI PENJUALAN'!$K$5:$K$504,'TRANSAKSI PENJUALAN'!$B$5:$B$504,B344,'TRANSAKSI PENJUALAN'!$E$5:$E$504,C344,'TRANSAKSI PENJUALAN'!$L$5:$L$504,"Tunai",'TRANSAKSI PENJUALAN'!$M$5:$M$504,"Lunas"))</f>
        <v/>
      </c>
      <c r="J344" s="0" t="str">
        <f aca="false">IF(A344="","",F344+G344+H344-I344)</f>
        <v/>
      </c>
      <c r="L344" s="0" t="str">
        <f aca="false">IF(A344="","",IF(NOT(ISNUMBER(K344)),"ISI KAS FISIK",K344-J344))</f>
        <v/>
      </c>
      <c r="M344" s="0" t="str">
        <f aca="false">IF(A344="","",IF(NOT(ISNUMBER(L344)),"BELUM TUTUP",IF(L344=0,"Pas",IF(L344&gt;0,"Lebih","Kurang"))))</f>
        <v/>
      </c>
    </row>
    <row r="345" customFormat="false" ht="15" hidden="false" customHeight="false" outlineLevel="0" collapsed="false">
      <c r="G345" s="0" t="str">
        <f aca="false">IF(A345="","",SUMIFS('TRANSAKSI PENJUALAN'!$K$5:$K$504,'TRANSAKSI PENJUALAN'!$B$5:$B$504,B345,'TRANSAKSI PENJUALAN'!$E$5:$E$504,C345,'TRANSAKSI PENJUALAN'!$L$5:$L$504,"Tunai",'TRANSAKSI PENJUALAN'!$M$5:$M$504,"Lunas"))</f>
        <v/>
      </c>
      <c r="J345" s="0" t="str">
        <f aca="false">IF(A345="","",F345+G345+H345-I345)</f>
        <v/>
      </c>
      <c r="L345" s="0" t="str">
        <f aca="false">IF(A345="","",IF(NOT(ISNUMBER(K345)),"ISI KAS FISIK",K345-J345))</f>
        <v/>
      </c>
      <c r="M345" s="0" t="str">
        <f aca="false">IF(A345="","",IF(NOT(ISNUMBER(L345)),"BELUM TUTUP",IF(L345=0,"Pas",IF(L345&gt;0,"Lebih","Kurang"))))</f>
        <v/>
      </c>
    </row>
    <row r="346" customFormat="false" ht="15" hidden="false" customHeight="false" outlineLevel="0" collapsed="false">
      <c r="G346" s="0" t="str">
        <f aca="false">IF(A346="","",SUMIFS('TRANSAKSI PENJUALAN'!$K$5:$K$504,'TRANSAKSI PENJUALAN'!$B$5:$B$504,B346,'TRANSAKSI PENJUALAN'!$E$5:$E$504,C346,'TRANSAKSI PENJUALAN'!$L$5:$L$504,"Tunai",'TRANSAKSI PENJUALAN'!$M$5:$M$504,"Lunas"))</f>
        <v/>
      </c>
      <c r="J346" s="0" t="str">
        <f aca="false">IF(A346="","",F346+G346+H346-I346)</f>
        <v/>
      </c>
      <c r="L346" s="0" t="str">
        <f aca="false">IF(A346="","",IF(NOT(ISNUMBER(K346)),"ISI KAS FISIK",K346-J346))</f>
        <v/>
      </c>
      <c r="M346" s="0" t="str">
        <f aca="false">IF(A346="","",IF(NOT(ISNUMBER(L346)),"BELUM TUTUP",IF(L346=0,"Pas",IF(L346&gt;0,"Lebih","Kurang"))))</f>
        <v/>
      </c>
    </row>
    <row r="347" customFormat="false" ht="15" hidden="false" customHeight="false" outlineLevel="0" collapsed="false">
      <c r="G347" s="0" t="str">
        <f aca="false">IF(A347="","",SUMIFS('TRANSAKSI PENJUALAN'!$K$5:$K$504,'TRANSAKSI PENJUALAN'!$B$5:$B$504,B347,'TRANSAKSI PENJUALAN'!$E$5:$E$504,C347,'TRANSAKSI PENJUALAN'!$L$5:$L$504,"Tunai",'TRANSAKSI PENJUALAN'!$M$5:$M$504,"Lunas"))</f>
        <v/>
      </c>
      <c r="J347" s="0" t="str">
        <f aca="false">IF(A347="","",F347+G347+H347-I347)</f>
        <v/>
      </c>
      <c r="L347" s="0" t="str">
        <f aca="false">IF(A347="","",IF(NOT(ISNUMBER(K347)),"ISI KAS FISIK",K347-J347))</f>
        <v/>
      </c>
      <c r="M347" s="0" t="str">
        <f aca="false">IF(A347="","",IF(NOT(ISNUMBER(L347)),"BELUM TUTUP",IF(L347=0,"Pas",IF(L347&gt;0,"Lebih","Kurang"))))</f>
        <v/>
      </c>
    </row>
    <row r="348" customFormat="false" ht="15" hidden="false" customHeight="false" outlineLevel="0" collapsed="false">
      <c r="G348" s="0" t="str">
        <f aca="false">IF(A348="","",SUMIFS('TRANSAKSI PENJUALAN'!$K$5:$K$504,'TRANSAKSI PENJUALAN'!$B$5:$B$504,B348,'TRANSAKSI PENJUALAN'!$E$5:$E$504,C348,'TRANSAKSI PENJUALAN'!$L$5:$L$504,"Tunai",'TRANSAKSI PENJUALAN'!$M$5:$M$504,"Lunas"))</f>
        <v/>
      </c>
      <c r="J348" s="0" t="str">
        <f aca="false">IF(A348="","",F348+G348+H348-I348)</f>
        <v/>
      </c>
      <c r="L348" s="0" t="str">
        <f aca="false">IF(A348="","",IF(NOT(ISNUMBER(K348)),"ISI KAS FISIK",K348-J348))</f>
        <v/>
      </c>
      <c r="M348" s="0" t="str">
        <f aca="false">IF(A348="","",IF(NOT(ISNUMBER(L348)),"BELUM TUTUP",IF(L348=0,"Pas",IF(L348&gt;0,"Lebih","Kurang"))))</f>
        <v/>
      </c>
    </row>
    <row r="349" customFormat="false" ht="15" hidden="false" customHeight="false" outlineLevel="0" collapsed="false">
      <c r="G349" s="0" t="str">
        <f aca="false">IF(A349="","",SUMIFS('TRANSAKSI PENJUALAN'!$K$5:$K$504,'TRANSAKSI PENJUALAN'!$B$5:$B$504,B349,'TRANSAKSI PENJUALAN'!$E$5:$E$504,C349,'TRANSAKSI PENJUALAN'!$L$5:$L$504,"Tunai",'TRANSAKSI PENJUALAN'!$M$5:$M$504,"Lunas"))</f>
        <v/>
      </c>
      <c r="J349" s="0" t="str">
        <f aca="false">IF(A349="","",F349+G349+H349-I349)</f>
        <v/>
      </c>
      <c r="L349" s="0" t="str">
        <f aca="false">IF(A349="","",IF(NOT(ISNUMBER(K349)),"ISI KAS FISIK",K349-J349))</f>
        <v/>
      </c>
      <c r="M349" s="0" t="str">
        <f aca="false">IF(A349="","",IF(NOT(ISNUMBER(L349)),"BELUM TUTUP",IF(L349=0,"Pas",IF(L349&gt;0,"Lebih","Kurang"))))</f>
        <v/>
      </c>
    </row>
    <row r="350" customFormat="false" ht="15" hidden="false" customHeight="false" outlineLevel="0" collapsed="false">
      <c r="G350" s="0" t="str">
        <f aca="false">IF(A350="","",SUMIFS('TRANSAKSI PENJUALAN'!$K$5:$K$504,'TRANSAKSI PENJUALAN'!$B$5:$B$504,B350,'TRANSAKSI PENJUALAN'!$E$5:$E$504,C350,'TRANSAKSI PENJUALAN'!$L$5:$L$504,"Tunai",'TRANSAKSI PENJUALAN'!$M$5:$M$504,"Lunas"))</f>
        <v/>
      </c>
      <c r="J350" s="0" t="str">
        <f aca="false">IF(A350="","",F350+G350+H350-I350)</f>
        <v/>
      </c>
      <c r="L350" s="0" t="str">
        <f aca="false">IF(A350="","",IF(NOT(ISNUMBER(K350)),"ISI KAS FISIK",K350-J350))</f>
        <v/>
      </c>
      <c r="M350" s="0" t="str">
        <f aca="false">IF(A350="","",IF(NOT(ISNUMBER(L350)),"BELUM TUTUP",IF(L350=0,"Pas",IF(L350&gt;0,"Lebih","Kurang"))))</f>
        <v/>
      </c>
    </row>
    <row r="351" customFormat="false" ht="15" hidden="false" customHeight="false" outlineLevel="0" collapsed="false">
      <c r="G351" s="0" t="str">
        <f aca="false">IF(A351="","",SUMIFS('TRANSAKSI PENJUALAN'!$K$5:$K$504,'TRANSAKSI PENJUALAN'!$B$5:$B$504,B351,'TRANSAKSI PENJUALAN'!$E$5:$E$504,C351,'TRANSAKSI PENJUALAN'!$L$5:$L$504,"Tunai",'TRANSAKSI PENJUALAN'!$M$5:$M$504,"Lunas"))</f>
        <v/>
      </c>
      <c r="J351" s="0" t="str">
        <f aca="false">IF(A351="","",F351+G351+H351-I351)</f>
        <v/>
      </c>
      <c r="L351" s="0" t="str">
        <f aca="false">IF(A351="","",IF(NOT(ISNUMBER(K351)),"ISI KAS FISIK",K351-J351))</f>
        <v/>
      </c>
      <c r="M351" s="0" t="str">
        <f aca="false">IF(A351="","",IF(NOT(ISNUMBER(L351)),"BELUM TUTUP",IF(L351=0,"Pas",IF(L351&gt;0,"Lebih","Kurang"))))</f>
        <v/>
      </c>
    </row>
    <row r="352" customFormat="false" ht="15" hidden="false" customHeight="false" outlineLevel="0" collapsed="false">
      <c r="G352" s="0" t="str">
        <f aca="false">IF(A352="","",SUMIFS('TRANSAKSI PENJUALAN'!$K$5:$K$504,'TRANSAKSI PENJUALAN'!$B$5:$B$504,B352,'TRANSAKSI PENJUALAN'!$E$5:$E$504,C352,'TRANSAKSI PENJUALAN'!$L$5:$L$504,"Tunai",'TRANSAKSI PENJUALAN'!$M$5:$M$504,"Lunas"))</f>
        <v/>
      </c>
      <c r="J352" s="0" t="str">
        <f aca="false">IF(A352="","",F352+G352+H352-I352)</f>
        <v/>
      </c>
      <c r="L352" s="0" t="str">
        <f aca="false">IF(A352="","",IF(NOT(ISNUMBER(K352)),"ISI KAS FISIK",K352-J352))</f>
        <v/>
      </c>
      <c r="M352" s="0" t="str">
        <f aca="false">IF(A352="","",IF(NOT(ISNUMBER(L352)),"BELUM TUTUP",IF(L352=0,"Pas",IF(L352&gt;0,"Lebih","Kurang"))))</f>
        <v/>
      </c>
    </row>
    <row r="353" customFormat="false" ht="15" hidden="false" customHeight="false" outlineLevel="0" collapsed="false">
      <c r="G353" s="0" t="str">
        <f aca="false">IF(A353="","",SUMIFS('TRANSAKSI PENJUALAN'!$K$5:$K$504,'TRANSAKSI PENJUALAN'!$B$5:$B$504,B353,'TRANSAKSI PENJUALAN'!$E$5:$E$504,C353,'TRANSAKSI PENJUALAN'!$L$5:$L$504,"Tunai",'TRANSAKSI PENJUALAN'!$M$5:$M$504,"Lunas"))</f>
        <v/>
      </c>
      <c r="J353" s="0" t="str">
        <f aca="false">IF(A353="","",F353+G353+H353-I353)</f>
        <v/>
      </c>
      <c r="L353" s="0" t="str">
        <f aca="false">IF(A353="","",IF(NOT(ISNUMBER(K353)),"ISI KAS FISIK",K353-J353))</f>
        <v/>
      </c>
      <c r="M353" s="0" t="str">
        <f aca="false">IF(A353="","",IF(NOT(ISNUMBER(L353)),"BELUM TUTUP",IF(L353=0,"Pas",IF(L353&gt;0,"Lebih","Kurang"))))</f>
        <v/>
      </c>
    </row>
    <row r="354" customFormat="false" ht="15" hidden="false" customHeight="false" outlineLevel="0" collapsed="false">
      <c r="G354" s="0" t="str">
        <f aca="false">IF(A354="","",SUMIFS('TRANSAKSI PENJUALAN'!$K$5:$K$504,'TRANSAKSI PENJUALAN'!$B$5:$B$504,B354,'TRANSAKSI PENJUALAN'!$E$5:$E$504,C354,'TRANSAKSI PENJUALAN'!$L$5:$L$504,"Tunai",'TRANSAKSI PENJUALAN'!$M$5:$M$504,"Lunas"))</f>
        <v/>
      </c>
      <c r="J354" s="0" t="str">
        <f aca="false">IF(A354="","",F354+G354+H354-I354)</f>
        <v/>
      </c>
      <c r="L354" s="0" t="str">
        <f aca="false">IF(A354="","",IF(NOT(ISNUMBER(K354)),"ISI KAS FISIK",K354-J354))</f>
        <v/>
      </c>
      <c r="M354" s="0" t="str">
        <f aca="false">IF(A354="","",IF(NOT(ISNUMBER(L354)),"BELUM TUTUP",IF(L354=0,"Pas",IF(L354&gt;0,"Lebih","Kurang"))))</f>
        <v/>
      </c>
    </row>
    <row r="355" customFormat="false" ht="15" hidden="false" customHeight="false" outlineLevel="0" collapsed="false">
      <c r="G355" s="0" t="str">
        <f aca="false">IF(A355="","",SUMIFS('TRANSAKSI PENJUALAN'!$K$5:$K$504,'TRANSAKSI PENJUALAN'!$B$5:$B$504,B355,'TRANSAKSI PENJUALAN'!$E$5:$E$504,C355,'TRANSAKSI PENJUALAN'!$L$5:$L$504,"Tunai",'TRANSAKSI PENJUALAN'!$M$5:$M$504,"Lunas"))</f>
        <v/>
      </c>
      <c r="J355" s="0" t="str">
        <f aca="false">IF(A355="","",F355+G355+H355-I355)</f>
        <v/>
      </c>
      <c r="L355" s="0" t="str">
        <f aca="false">IF(A355="","",IF(NOT(ISNUMBER(K355)),"ISI KAS FISIK",K355-J355))</f>
        <v/>
      </c>
      <c r="M355" s="0" t="str">
        <f aca="false">IF(A355="","",IF(NOT(ISNUMBER(L355)),"BELUM TUTUP",IF(L355=0,"Pas",IF(L355&gt;0,"Lebih","Kurang"))))</f>
        <v/>
      </c>
    </row>
    <row r="356" customFormat="false" ht="15" hidden="false" customHeight="false" outlineLevel="0" collapsed="false">
      <c r="G356" s="0" t="str">
        <f aca="false">IF(A356="","",SUMIFS('TRANSAKSI PENJUALAN'!$K$5:$K$504,'TRANSAKSI PENJUALAN'!$B$5:$B$504,B356,'TRANSAKSI PENJUALAN'!$E$5:$E$504,C356,'TRANSAKSI PENJUALAN'!$L$5:$L$504,"Tunai",'TRANSAKSI PENJUALAN'!$M$5:$M$504,"Lunas"))</f>
        <v/>
      </c>
      <c r="J356" s="0" t="str">
        <f aca="false">IF(A356="","",F356+G356+H356-I356)</f>
        <v/>
      </c>
      <c r="L356" s="0" t="str">
        <f aca="false">IF(A356="","",IF(NOT(ISNUMBER(K356)),"ISI KAS FISIK",K356-J356))</f>
        <v/>
      </c>
      <c r="M356" s="0" t="str">
        <f aca="false">IF(A356="","",IF(NOT(ISNUMBER(L356)),"BELUM TUTUP",IF(L356=0,"Pas",IF(L356&gt;0,"Lebih","Kurang"))))</f>
        <v/>
      </c>
    </row>
    <row r="357" customFormat="false" ht="15" hidden="false" customHeight="false" outlineLevel="0" collapsed="false">
      <c r="G357" s="0" t="str">
        <f aca="false">IF(A357="","",SUMIFS('TRANSAKSI PENJUALAN'!$K$5:$K$504,'TRANSAKSI PENJUALAN'!$B$5:$B$504,B357,'TRANSAKSI PENJUALAN'!$E$5:$E$504,C357,'TRANSAKSI PENJUALAN'!$L$5:$L$504,"Tunai",'TRANSAKSI PENJUALAN'!$M$5:$M$504,"Lunas"))</f>
        <v/>
      </c>
      <c r="J357" s="0" t="str">
        <f aca="false">IF(A357="","",F357+G357+H357-I357)</f>
        <v/>
      </c>
      <c r="L357" s="0" t="str">
        <f aca="false">IF(A357="","",IF(NOT(ISNUMBER(K357)),"ISI KAS FISIK",K357-J357))</f>
        <v/>
      </c>
      <c r="M357" s="0" t="str">
        <f aca="false">IF(A357="","",IF(NOT(ISNUMBER(L357)),"BELUM TUTUP",IF(L357=0,"Pas",IF(L357&gt;0,"Lebih","Kurang"))))</f>
        <v/>
      </c>
    </row>
    <row r="358" customFormat="false" ht="15" hidden="false" customHeight="false" outlineLevel="0" collapsed="false">
      <c r="G358" s="0" t="str">
        <f aca="false">IF(A358="","",SUMIFS('TRANSAKSI PENJUALAN'!$K$5:$K$504,'TRANSAKSI PENJUALAN'!$B$5:$B$504,B358,'TRANSAKSI PENJUALAN'!$E$5:$E$504,C358,'TRANSAKSI PENJUALAN'!$L$5:$L$504,"Tunai",'TRANSAKSI PENJUALAN'!$M$5:$M$504,"Lunas"))</f>
        <v/>
      </c>
      <c r="J358" s="0" t="str">
        <f aca="false">IF(A358="","",F358+G358+H358-I358)</f>
        <v/>
      </c>
      <c r="L358" s="0" t="str">
        <f aca="false">IF(A358="","",IF(NOT(ISNUMBER(K358)),"ISI KAS FISIK",K358-J358))</f>
        <v/>
      </c>
      <c r="M358" s="0" t="str">
        <f aca="false">IF(A358="","",IF(NOT(ISNUMBER(L358)),"BELUM TUTUP",IF(L358=0,"Pas",IF(L358&gt;0,"Lebih","Kurang"))))</f>
        <v/>
      </c>
    </row>
    <row r="359" customFormat="false" ht="15" hidden="false" customHeight="false" outlineLevel="0" collapsed="false">
      <c r="G359" s="0" t="str">
        <f aca="false">IF(A359="","",SUMIFS('TRANSAKSI PENJUALAN'!$K$5:$K$504,'TRANSAKSI PENJUALAN'!$B$5:$B$504,B359,'TRANSAKSI PENJUALAN'!$E$5:$E$504,C359,'TRANSAKSI PENJUALAN'!$L$5:$L$504,"Tunai",'TRANSAKSI PENJUALAN'!$M$5:$M$504,"Lunas"))</f>
        <v/>
      </c>
      <c r="J359" s="0" t="str">
        <f aca="false">IF(A359="","",F359+G359+H359-I359)</f>
        <v/>
      </c>
      <c r="L359" s="0" t="str">
        <f aca="false">IF(A359="","",IF(NOT(ISNUMBER(K359)),"ISI KAS FISIK",K359-J359))</f>
        <v/>
      </c>
      <c r="M359" s="0" t="str">
        <f aca="false">IF(A359="","",IF(NOT(ISNUMBER(L359)),"BELUM TUTUP",IF(L359=0,"Pas",IF(L359&gt;0,"Lebih","Kurang"))))</f>
        <v/>
      </c>
    </row>
    <row r="360" customFormat="false" ht="15" hidden="false" customHeight="false" outlineLevel="0" collapsed="false">
      <c r="G360" s="0" t="str">
        <f aca="false">IF(A360="","",SUMIFS('TRANSAKSI PENJUALAN'!$K$5:$K$504,'TRANSAKSI PENJUALAN'!$B$5:$B$504,B360,'TRANSAKSI PENJUALAN'!$E$5:$E$504,C360,'TRANSAKSI PENJUALAN'!$L$5:$L$504,"Tunai",'TRANSAKSI PENJUALAN'!$M$5:$M$504,"Lunas"))</f>
        <v/>
      </c>
      <c r="J360" s="0" t="str">
        <f aca="false">IF(A360="","",F360+G360+H360-I360)</f>
        <v/>
      </c>
      <c r="L360" s="0" t="str">
        <f aca="false">IF(A360="","",IF(NOT(ISNUMBER(K360)),"ISI KAS FISIK",K360-J360))</f>
        <v/>
      </c>
      <c r="M360" s="0" t="str">
        <f aca="false">IF(A360="","",IF(NOT(ISNUMBER(L360)),"BELUM TUTUP",IF(L360=0,"Pas",IF(L360&gt;0,"Lebih","Kurang"))))</f>
        <v/>
      </c>
    </row>
    <row r="361" customFormat="false" ht="15" hidden="false" customHeight="false" outlineLevel="0" collapsed="false">
      <c r="G361" s="0" t="str">
        <f aca="false">IF(A361="","",SUMIFS('TRANSAKSI PENJUALAN'!$K$5:$K$504,'TRANSAKSI PENJUALAN'!$B$5:$B$504,B361,'TRANSAKSI PENJUALAN'!$E$5:$E$504,C361,'TRANSAKSI PENJUALAN'!$L$5:$L$504,"Tunai",'TRANSAKSI PENJUALAN'!$M$5:$M$504,"Lunas"))</f>
        <v/>
      </c>
      <c r="J361" s="0" t="str">
        <f aca="false">IF(A361="","",F361+G361+H361-I361)</f>
        <v/>
      </c>
      <c r="L361" s="0" t="str">
        <f aca="false">IF(A361="","",IF(NOT(ISNUMBER(K361)),"ISI KAS FISIK",K361-J361))</f>
        <v/>
      </c>
      <c r="M361" s="0" t="str">
        <f aca="false">IF(A361="","",IF(NOT(ISNUMBER(L361)),"BELUM TUTUP",IF(L361=0,"Pas",IF(L361&gt;0,"Lebih","Kurang"))))</f>
        <v/>
      </c>
    </row>
    <row r="362" customFormat="false" ht="15" hidden="false" customHeight="false" outlineLevel="0" collapsed="false">
      <c r="G362" s="0" t="str">
        <f aca="false">IF(A362="","",SUMIFS('TRANSAKSI PENJUALAN'!$K$5:$K$504,'TRANSAKSI PENJUALAN'!$B$5:$B$504,B362,'TRANSAKSI PENJUALAN'!$E$5:$E$504,C362,'TRANSAKSI PENJUALAN'!$L$5:$L$504,"Tunai",'TRANSAKSI PENJUALAN'!$M$5:$M$504,"Lunas"))</f>
        <v/>
      </c>
      <c r="J362" s="0" t="str">
        <f aca="false">IF(A362="","",F362+G362+H362-I362)</f>
        <v/>
      </c>
      <c r="L362" s="0" t="str">
        <f aca="false">IF(A362="","",IF(NOT(ISNUMBER(K362)),"ISI KAS FISIK",K362-J362))</f>
        <v/>
      </c>
      <c r="M362" s="0" t="str">
        <f aca="false">IF(A362="","",IF(NOT(ISNUMBER(L362)),"BELUM TUTUP",IF(L362=0,"Pas",IF(L362&gt;0,"Lebih","Kurang"))))</f>
        <v/>
      </c>
    </row>
    <row r="363" customFormat="false" ht="15" hidden="false" customHeight="false" outlineLevel="0" collapsed="false">
      <c r="G363" s="0" t="str">
        <f aca="false">IF(A363="","",SUMIFS('TRANSAKSI PENJUALAN'!$K$5:$K$504,'TRANSAKSI PENJUALAN'!$B$5:$B$504,B363,'TRANSAKSI PENJUALAN'!$E$5:$E$504,C363,'TRANSAKSI PENJUALAN'!$L$5:$L$504,"Tunai",'TRANSAKSI PENJUALAN'!$M$5:$M$504,"Lunas"))</f>
        <v/>
      </c>
      <c r="J363" s="0" t="str">
        <f aca="false">IF(A363="","",F363+G363+H363-I363)</f>
        <v/>
      </c>
      <c r="L363" s="0" t="str">
        <f aca="false">IF(A363="","",IF(NOT(ISNUMBER(K363)),"ISI KAS FISIK",K363-J363))</f>
        <v/>
      </c>
      <c r="M363" s="0" t="str">
        <f aca="false">IF(A363="","",IF(NOT(ISNUMBER(L363)),"BELUM TUTUP",IF(L363=0,"Pas",IF(L363&gt;0,"Lebih","Kurang"))))</f>
        <v/>
      </c>
    </row>
    <row r="364" customFormat="false" ht="15" hidden="false" customHeight="false" outlineLevel="0" collapsed="false">
      <c r="G364" s="0" t="str">
        <f aca="false">IF(A364="","",SUMIFS('TRANSAKSI PENJUALAN'!$K$5:$K$504,'TRANSAKSI PENJUALAN'!$B$5:$B$504,B364,'TRANSAKSI PENJUALAN'!$E$5:$E$504,C364,'TRANSAKSI PENJUALAN'!$L$5:$L$504,"Tunai",'TRANSAKSI PENJUALAN'!$M$5:$M$504,"Lunas"))</f>
        <v/>
      </c>
      <c r="J364" s="0" t="str">
        <f aca="false">IF(A364="","",F364+G364+H364-I364)</f>
        <v/>
      </c>
      <c r="L364" s="0" t="str">
        <f aca="false">IF(A364="","",IF(NOT(ISNUMBER(K364)),"ISI KAS FISIK",K364-J364))</f>
        <v/>
      </c>
      <c r="M364" s="0" t="str">
        <f aca="false">IF(A364="","",IF(NOT(ISNUMBER(L364)),"BELUM TUTUP",IF(L364=0,"Pas",IF(L364&gt;0,"Lebih","Kurang"))))</f>
        <v/>
      </c>
    </row>
    <row r="365" customFormat="false" ht="15" hidden="false" customHeight="false" outlineLevel="0" collapsed="false">
      <c r="G365" s="0" t="str">
        <f aca="false">IF(A365="","",SUMIFS('TRANSAKSI PENJUALAN'!$K$5:$K$504,'TRANSAKSI PENJUALAN'!$B$5:$B$504,B365,'TRANSAKSI PENJUALAN'!$E$5:$E$504,C365,'TRANSAKSI PENJUALAN'!$L$5:$L$504,"Tunai",'TRANSAKSI PENJUALAN'!$M$5:$M$504,"Lunas"))</f>
        <v/>
      </c>
      <c r="J365" s="0" t="str">
        <f aca="false">IF(A365="","",F365+G365+H365-I365)</f>
        <v/>
      </c>
      <c r="L365" s="0" t="str">
        <f aca="false">IF(A365="","",IF(NOT(ISNUMBER(K365)),"ISI KAS FISIK",K365-J365))</f>
        <v/>
      </c>
      <c r="M365" s="0" t="str">
        <f aca="false">IF(A365="","",IF(NOT(ISNUMBER(L365)),"BELUM TUTUP",IF(L365=0,"Pas",IF(L365&gt;0,"Lebih","Kurang"))))</f>
        <v/>
      </c>
    </row>
    <row r="366" customFormat="false" ht="15" hidden="false" customHeight="false" outlineLevel="0" collapsed="false">
      <c r="G366" s="0" t="str">
        <f aca="false">IF(A366="","",SUMIFS('TRANSAKSI PENJUALAN'!$K$5:$K$504,'TRANSAKSI PENJUALAN'!$B$5:$B$504,B366,'TRANSAKSI PENJUALAN'!$E$5:$E$504,C366,'TRANSAKSI PENJUALAN'!$L$5:$L$504,"Tunai",'TRANSAKSI PENJUALAN'!$M$5:$M$504,"Lunas"))</f>
        <v/>
      </c>
      <c r="J366" s="0" t="str">
        <f aca="false">IF(A366="","",F366+G366+H366-I366)</f>
        <v/>
      </c>
      <c r="L366" s="0" t="str">
        <f aca="false">IF(A366="","",IF(NOT(ISNUMBER(K366)),"ISI KAS FISIK",K366-J366))</f>
        <v/>
      </c>
      <c r="M366" s="0" t="str">
        <f aca="false">IF(A366="","",IF(NOT(ISNUMBER(L366)),"BELUM TUTUP",IF(L366=0,"Pas",IF(L366&gt;0,"Lebih","Kurang"))))</f>
        <v/>
      </c>
    </row>
    <row r="367" customFormat="false" ht="15" hidden="false" customHeight="false" outlineLevel="0" collapsed="false">
      <c r="G367" s="0" t="str">
        <f aca="false">IF(A367="","",SUMIFS('TRANSAKSI PENJUALAN'!$K$5:$K$504,'TRANSAKSI PENJUALAN'!$B$5:$B$504,B367,'TRANSAKSI PENJUALAN'!$E$5:$E$504,C367,'TRANSAKSI PENJUALAN'!$L$5:$L$504,"Tunai",'TRANSAKSI PENJUALAN'!$M$5:$M$504,"Lunas"))</f>
        <v/>
      </c>
      <c r="J367" s="0" t="str">
        <f aca="false">IF(A367="","",F367+G367+H367-I367)</f>
        <v/>
      </c>
      <c r="L367" s="0" t="str">
        <f aca="false">IF(A367="","",IF(NOT(ISNUMBER(K367)),"ISI KAS FISIK",K367-J367))</f>
        <v/>
      </c>
      <c r="M367" s="0" t="str">
        <f aca="false">IF(A367="","",IF(NOT(ISNUMBER(L367)),"BELUM TUTUP",IF(L367=0,"Pas",IF(L367&gt;0,"Lebih","Kurang"))))</f>
        <v/>
      </c>
    </row>
    <row r="368" customFormat="false" ht="15" hidden="false" customHeight="false" outlineLevel="0" collapsed="false">
      <c r="G368" s="0" t="str">
        <f aca="false">IF(A368="","",SUMIFS('TRANSAKSI PENJUALAN'!$K$5:$K$504,'TRANSAKSI PENJUALAN'!$B$5:$B$504,B368,'TRANSAKSI PENJUALAN'!$E$5:$E$504,C368,'TRANSAKSI PENJUALAN'!$L$5:$L$504,"Tunai",'TRANSAKSI PENJUALAN'!$M$5:$M$504,"Lunas"))</f>
        <v/>
      </c>
      <c r="J368" s="0" t="str">
        <f aca="false">IF(A368="","",F368+G368+H368-I368)</f>
        <v/>
      </c>
      <c r="L368" s="0" t="str">
        <f aca="false">IF(A368="","",IF(NOT(ISNUMBER(K368)),"ISI KAS FISIK",K368-J368))</f>
        <v/>
      </c>
      <c r="M368" s="0" t="str">
        <f aca="false">IF(A368="","",IF(NOT(ISNUMBER(L368)),"BELUM TUTUP",IF(L368=0,"Pas",IF(L368&gt;0,"Lebih","Kurang"))))</f>
        <v/>
      </c>
    </row>
    <row r="369" customFormat="false" ht="15" hidden="false" customHeight="false" outlineLevel="0" collapsed="false">
      <c r="G369" s="0" t="str">
        <f aca="false">IF(A369="","",SUMIFS('TRANSAKSI PENJUALAN'!$K$5:$K$504,'TRANSAKSI PENJUALAN'!$B$5:$B$504,B369,'TRANSAKSI PENJUALAN'!$E$5:$E$504,C369,'TRANSAKSI PENJUALAN'!$L$5:$L$504,"Tunai",'TRANSAKSI PENJUALAN'!$M$5:$M$504,"Lunas"))</f>
        <v/>
      </c>
      <c r="J369" s="0" t="str">
        <f aca="false">IF(A369="","",F369+G369+H369-I369)</f>
        <v/>
      </c>
      <c r="L369" s="0" t="str">
        <f aca="false">IF(A369="","",IF(NOT(ISNUMBER(K369)),"ISI KAS FISIK",K369-J369))</f>
        <v/>
      </c>
      <c r="M369" s="0" t="str">
        <f aca="false">IF(A369="","",IF(NOT(ISNUMBER(L369)),"BELUM TUTUP",IF(L369=0,"Pas",IF(L369&gt;0,"Lebih","Kurang"))))</f>
        <v/>
      </c>
    </row>
    <row r="370" customFormat="false" ht="15" hidden="false" customHeight="false" outlineLevel="0" collapsed="false">
      <c r="G370" s="0" t="str">
        <f aca="false">IF(A370="","",SUMIFS('TRANSAKSI PENJUALAN'!$K$5:$K$504,'TRANSAKSI PENJUALAN'!$B$5:$B$504,B370,'TRANSAKSI PENJUALAN'!$E$5:$E$504,C370,'TRANSAKSI PENJUALAN'!$L$5:$L$504,"Tunai",'TRANSAKSI PENJUALAN'!$M$5:$M$504,"Lunas"))</f>
        <v/>
      </c>
      <c r="J370" s="0" t="str">
        <f aca="false">IF(A370="","",F370+G370+H370-I370)</f>
        <v/>
      </c>
      <c r="L370" s="0" t="str">
        <f aca="false">IF(A370="","",IF(NOT(ISNUMBER(K370)),"ISI KAS FISIK",K370-J370))</f>
        <v/>
      </c>
      <c r="M370" s="0" t="str">
        <f aca="false">IF(A370="","",IF(NOT(ISNUMBER(L370)),"BELUM TUTUP",IF(L370=0,"Pas",IF(L370&gt;0,"Lebih","Kurang"))))</f>
        <v/>
      </c>
    </row>
    <row r="371" customFormat="false" ht="15" hidden="false" customHeight="false" outlineLevel="0" collapsed="false">
      <c r="G371" s="0" t="str">
        <f aca="false">IF(A371="","",SUMIFS('TRANSAKSI PENJUALAN'!$K$5:$K$504,'TRANSAKSI PENJUALAN'!$B$5:$B$504,B371,'TRANSAKSI PENJUALAN'!$E$5:$E$504,C371,'TRANSAKSI PENJUALAN'!$L$5:$L$504,"Tunai",'TRANSAKSI PENJUALAN'!$M$5:$M$504,"Lunas"))</f>
        <v/>
      </c>
      <c r="J371" s="0" t="str">
        <f aca="false">IF(A371="","",F371+G371+H371-I371)</f>
        <v/>
      </c>
      <c r="L371" s="0" t="str">
        <f aca="false">IF(A371="","",IF(NOT(ISNUMBER(K371)),"ISI KAS FISIK",K371-J371))</f>
        <v/>
      </c>
      <c r="M371" s="0" t="str">
        <f aca="false">IF(A371="","",IF(NOT(ISNUMBER(L371)),"BELUM TUTUP",IF(L371=0,"Pas",IF(L371&gt;0,"Lebih","Kurang"))))</f>
        <v/>
      </c>
    </row>
    <row r="372" customFormat="false" ht="15" hidden="false" customHeight="false" outlineLevel="0" collapsed="false">
      <c r="G372" s="0" t="str">
        <f aca="false">IF(A372="","",SUMIFS('TRANSAKSI PENJUALAN'!$K$5:$K$504,'TRANSAKSI PENJUALAN'!$B$5:$B$504,B372,'TRANSAKSI PENJUALAN'!$E$5:$E$504,C372,'TRANSAKSI PENJUALAN'!$L$5:$L$504,"Tunai",'TRANSAKSI PENJUALAN'!$M$5:$M$504,"Lunas"))</f>
        <v/>
      </c>
      <c r="J372" s="0" t="str">
        <f aca="false">IF(A372="","",F372+G372+H372-I372)</f>
        <v/>
      </c>
      <c r="L372" s="0" t="str">
        <f aca="false">IF(A372="","",IF(NOT(ISNUMBER(K372)),"ISI KAS FISIK",K372-J372))</f>
        <v/>
      </c>
      <c r="M372" s="0" t="str">
        <f aca="false">IF(A372="","",IF(NOT(ISNUMBER(L372)),"BELUM TUTUP",IF(L372=0,"Pas",IF(L372&gt;0,"Lebih","Kurang"))))</f>
        <v/>
      </c>
    </row>
    <row r="373" customFormat="false" ht="15" hidden="false" customHeight="false" outlineLevel="0" collapsed="false">
      <c r="G373" s="0" t="str">
        <f aca="false">IF(A373="","",SUMIFS('TRANSAKSI PENJUALAN'!$K$5:$K$504,'TRANSAKSI PENJUALAN'!$B$5:$B$504,B373,'TRANSAKSI PENJUALAN'!$E$5:$E$504,C373,'TRANSAKSI PENJUALAN'!$L$5:$L$504,"Tunai",'TRANSAKSI PENJUALAN'!$M$5:$M$504,"Lunas"))</f>
        <v/>
      </c>
      <c r="J373" s="0" t="str">
        <f aca="false">IF(A373="","",F373+G373+H373-I373)</f>
        <v/>
      </c>
      <c r="L373" s="0" t="str">
        <f aca="false">IF(A373="","",IF(NOT(ISNUMBER(K373)),"ISI KAS FISIK",K373-J373))</f>
        <v/>
      </c>
      <c r="M373" s="0" t="str">
        <f aca="false">IF(A373="","",IF(NOT(ISNUMBER(L373)),"BELUM TUTUP",IF(L373=0,"Pas",IF(L373&gt;0,"Lebih","Kurang"))))</f>
        <v/>
      </c>
    </row>
    <row r="374" customFormat="false" ht="15" hidden="false" customHeight="false" outlineLevel="0" collapsed="false">
      <c r="G374" s="0" t="str">
        <f aca="false">IF(A374="","",SUMIFS('TRANSAKSI PENJUALAN'!$K$5:$K$504,'TRANSAKSI PENJUALAN'!$B$5:$B$504,B374,'TRANSAKSI PENJUALAN'!$E$5:$E$504,C374,'TRANSAKSI PENJUALAN'!$L$5:$L$504,"Tunai",'TRANSAKSI PENJUALAN'!$M$5:$M$504,"Lunas"))</f>
        <v/>
      </c>
      <c r="J374" s="0" t="str">
        <f aca="false">IF(A374="","",F374+G374+H374-I374)</f>
        <v/>
      </c>
      <c r="L374" s="0" t="str">
        <f aca="false">IF(A374="","",IF(NOT(ISNUMBER(K374)),"ISI KAS FISIK",K374-J374))</f>
        <v/>
      </c>
      <c r="M374" s="0" t="str">
        <f aca="false">IF(A374="","",IF(NOT(ISNUMBER(L374)),"BELUM TUTUP",IF(L374=0,"Pas",IF(L374&gt;0,"Lebih","Kurang"))))</f>
        <v/>
      </c>
    </row>
    <row r="375" customFormat="false" ht="15" hidden="false" customHeight="false" outlineLevel="0" collapsed="false">
      <c r="G375" s="0" t="str">
        <f aca="false">IF(A375="","",SUMIFS('TRANSAKSI PENJUALAN'!$K$5:$K$504,'TRANSAKSI PENJUALAN'!$B$5:$B$504,B375,'TRANSAKSI PENJUALAN'!$E$5:$E$504,C375,'TRANSAKSI PENJUALAN'!$L$5:$L$504,"Tunai",'TRANSAKSI PENJUALAN'!$M$5:$M$504,"Lunas"))</f>
        <v/>
      </c>
      <c r="J375" s="0" t="str">
        <f aca="false">IF(A375="","",F375+G375+H375-I375)</f>
        <v/>
      </c>
      <c r="L375" s="0" t="str">
        <f aca="false">IF(A375="","",IF(NOT(ISNUMBER(K375)),"ISI KAS FISIK",K375-J375))</f>
        <v/>
      </c>
      <c r="M375" s="0" t="str">
        <f aca="false">IF(A375="","",IF(NOT(ISNUMBER(L375)),"BELUM TUTUP",IF(L375=0,"Pas",IF(L375&gt;0,"Lebih","Kurang"))))</f>
        <v/>
      </c>
    </row>
    <row r="376" customFormat="false" ht="15" hidden="false" customHeight="false" outlineLevel="0" collapsed="false">
      <c r="G376" s="0" t="str">
        <f aca="false">IF(A376="","",SUMIFS('TRANSAKSI PENJUALAN'!$K$5:$K$504,'TRANSAKSI PENJUALAN'!$B$5:$B$504,B376,'TRANSAKSI PENJUALAN'!$E$5:$E$504,C376,'TRANSAKSI PENJUALAN'!$L$5:$L$504,"Tunai",'TRANSAKSI PENJUALAN'!$M$5:$M$504,"Lunas"))</f>
        <v/>
      </c>
      <c r="J376" s="0" t="str">
        <f aca="false">IF(A376="","",F376+G376+H376-I376)</f>
        <v/>
      </c>
      <c r="L376" s="0" t="str">
        <f aca="false">IF(A376="","",IF(NOT(ISNUMBER(K376)),"ISI KAS FISIK",K376-J376))</f>
        <v/>
      </c>
      <c r="M376" s="0" t="str">
        <f aca="false">IF(A376="","",IF(NOT(ISNUMBER(L376)),"BELUM TUTUP",IF(L376=0,"Pas",IF(L376&gt;0,"Lebih","Kurang"))))</f>
        <v/>
      </c>
    </row>
    <row r="377" customFormat="false" ht="15" hidden="false" customHeight="false" outlineLevel="0" collapsed="false">
      <c r="G377" s="0" t="str">
        <f aca="false">IF(A377="","",SUMIFS('TRANSAKSI PENJUALAN'!$K$5:$K$504,'TRANSAKSI PENJUALAN'!$B$5:$B$504,B377,'TRANSAKSI PENJUALAN'!$E$5:$E$504,C377,'TRANSAKSI PENJUALAN'!$L$5:$L$504,"Tunai",'TRANSAKSI PENJUALAN'!$M$5:$M$504,"Lunas"))</f>
        <v/>
      </c>
      <c r="J377" s="0" t="str">
        <f aca="false">IF(A377="","",F377+G377+H377-I377)</f>
        <v/>
      </c>
      <c r="L377" s="0" t="str">
        <f aca="false">IF(A377="","",IF(NOT(ISNUMBER(K377)),"ISI KAS FISIK",K377-J377))</f>
        <v/>
      </c>
      <c r="M377" s="0" t="str">
        <f aca="false">IF(A377="","",IF(NOT(ISNUMBER(L377)),"BELUM TUTUP",IF(L377=0,"Pas",IF(L377&gt;0,"Lebih","Kurang"))))</f>
        <v/>
      </c>
    </row>
    <row r="378" customFormat="false" ht="15" hidden="false" customHeight="false" outlineLevel="0" collapsed="false">
      <c r="G378" s="0" t="str">
        <f aca="false">IF(A378="","",SUMIFS('TRANSAKSI PENJUALAN'!$K$5:$K$504,'TRANSAKSI PENJUALAN'!$B$5:$B$504,B378,'TRANSAKSI PENJUALAN'!$E$5:$E$504,C378,'TRANSAKSI PENJUALAN'!$L$5:$L$504,"Tunai",'TRANSAKSI PENJUALAN'!$M$5:$M$504,"Lunas"))</f>
        <v/>
      </c>
      <c r="J378" s="0" t="str">
        <f aca="false">IF(A378="","",F378+G378+H378-I378)</f>
        <v/>
      </c>
      <c r="L378" s="0" t="str">
        <f aca="false">IF(A378="","",IF(NOT(ISNUMBER(K378)),"ISI KAS FISIK",K378-J378))</f>
        <v/>
      </c>
      <c r="M378" s="0" t="str">
        <f aca="false">IF(A378="","",IF(NOT(ISNUMBER(L378)),"BELUM TUTUP",IF(L378=0,"Pas",IF(L378&gt;0,"Lebih","Kurang"))))</f>
        <v/>
      </c>
    </row>
    <row r="379" customFormat="false" ht="15" hidden="false" customHeight="false" outlineLevel="0" collapsed="false">
      <c r="G379" s="0" t="str">
        <f aca="false">IF(A379="","",SUMIFS('TRANSAKSI PENJUALAN'!$K$5:$K$504,'TRANSAKSI PENJUALAN'!$B$5:$B$504,B379,'TRANSAKSI PENJUALAN'!$E$5:$E$504,C379,'TRANSAKSI PENJUALAN'!$L$5:$L$504,"Tunai",'TRANSAKSI PENJUALAN'!$M$5:$M$504,"Lunas"))</f>
        <v/>
      </c>
      <c r="J379" s="0" t="str">
        <f aca="false">IF(A379="","",F379+G379+H379-I379)</f>
        <v/>
      </c>
      <c r="L379" s="0" t="str">
        <f aca="false">IF(A379="","",IF(NOT(ISNUMBER(K379)),"ISI KAS FISIK",K379-J379))</f>
        <v/>
      </c>
      <c r="M379" s="0" t="str">
        <f aca="false">IF(A379="","",IF(NOT(ISNUMBER(L379)),"BELUM TUTUP",IF(L379=0,"Pas",IF(L379&gt;0,"Lebih","Kurang"))))</f>
        <v/>
      </c>
    </row>
    <row r="380" customFormat="false" ht="15" hidden="false" customHeight="false" outlineLevel="0" collapsed="false">
      <c r="G380" s="0" t="str">
        <f aca="false">IF(A380="","",SUMIFS('TRANSAKSI PENJUALAN'!$K$5:$K$504,'TRANSAKSI PENJUALAN'!$B$5:$B$504,B380,'TRANSAKSI PENJUALAN'!$E$5:$E$504,C380,'TRANSAKSI PENJUALAN'!$L$5:$L$504,"Tunai",'TRANSAKSI PENJUALAN'!$M$5:$M$504,"Lunas"))</f>
        <v/>
      </c>
      <c r="J380" s="0" t="str">
        <f aca="false">IF(A380="","",F380+G380+H380-I380)</f>
        <v/>
      </c>
      <c r="L380" s="0" t="str">
        <f aca="false">IF(A380="","",IF(NOT(ISNUMBER(K380)),"ISI KAS FISIK",K380-J380))</f>
        <v/>
      </c>
      <c r="M380" s="0" t="str">
        <f aca="false">IF(A380="","",IF(NOT(ISNUMBER(L380)),"BELUM TUTUP",IF(L380=0,"Pas",IF(L380&gt;0,"Lebih","Kurang"))))</f>
        <v/>
      </c>
    </row>
    <row r="381" customFormat="false" ht="15" hidden="false" customHeight="false" outlineLevel="0" collapsed="false">
      <c r="G381" s="0" t="str">
        <f aca="false">IF(A381="","",SUMIFS('TRANSAKSI PENJUALAN'!$K$5:$K$504,'TRANSAKSI PENJUALAN'!$B$5:$B$504,B381,'TRANSAKSI PENJUALAN'!$E$5:$E$504,C381,'TRANSAKSI PENJUALAN'!$L$5:$L$504,"Tunai",'TRANSAKSI PENJUALAN'!$M$5:$M$504,"Lunas"))</f>
        <v/>
      </c>
      <c r="J381" s="0" t="str">
        <f aca="false">IF(A381="","",F381+G381+H381-I381)</f>
        <v/>
      </c>
      <c r="L381" s="0" t="str">
        <f aca="false">IF(A381="","",IF(NOT(ISNUMBER(K381)),"ISI KAS FISIK",K381-J381))</f>
        <v/>
      </c>
      <c r="M381" s="0" t="str">
        <f aca="false">IF(A381="","",IF(NOT(ISNUMBER(L381)),"BELUM TUTUP",IF(L381=0,"Pas",IF(L381&gt;0,"Lebih","Kurang"))))</f>
        <v/>
      </c>
    </row>
    <row r="382" customFormat="false" ht="15" hidden="false" customHeight="false" outlineLevel="0" collapsed="false">
      <c r="G382" s="0" t="str">
        <f aca="false">IF(A382="","",SUMIFS('TRANSAKSI PENJUALAN'!$K$5:$K$504,'TRANSAKSI PENJUALAN'!$B$5:$B$504,B382,'TRANSAKSI PENJUALAN'!$E$5:$E$504,C382,'TRANSAKSI PENJUALAN'!$L$5:$L$504,"Tunai",'TRANSAKSI PENJUALAN'!$M$5:$M$504,"Lunas"))</f>
        <v/>
      </c>
      <c r="J382" s="0" t="str">
        <f aca="false">IF(A382="","",F382+G382+H382-I382)</f>
        <v/>
      </c>
      <c r="L382" s="0" t="str">
        <f aca="false">IF(A382="","",IF(NOT(ISNUMBER(K382)),"ISI KAS FISIK",K382-J382))</f>
        <v/>
      </c>
      <c r="M382" s="0" t="str">
        <f aca="false">IF(A382="","",IF(NOT(ISNUMBER(L382)),"BELUM TUTUP",IF(L382=0,"Pas",IF(L382&gt;0,"Lebih","Kurang"))))</f>
        <v/>
      </c>
    </row>
    <row r="383" customFormat="false" ht="15" hidden="false" customHeight="false" outlineLevel="0" collapsed="false">
      <c r="G383" s="0" t="str">
        <f aca="false">IF(A383="","",SUMIFS('TRANSAKSI PENJUALAN'!$K$5:$K$504,'TRANSAKSI PENJUALAN'!$B$5:$B$504,B383,'TRANSAKSI PENJUALAN'!$E$5:$E$504,C383,'TRANSAKSI PENJUALAN'!$L$5:$L$504,"Tunai",'TRANSAKSI PENJUALAN'!$M$5:$M$504,"Lunas"))</f>
        <v/>
      </c>
      <c r="J383" s="0" t="str">
        <f aca="false">IF(A383="","",F383+G383+H383-I383)</f>
        <v/>
      </c>
      <c r="L383" s="0" t="str">
        <f aca="false">IF(A383="","",IF(NOT(ISNUMBER(K383)),"ISI KAS FISIK",K383-J383))</f>
        <v/>
      </c>
      <c r="M383" s="0" t="str">
        <f aca="false">IF(A383="","",IF(NOT(ISNUMBER(L383)),"BELUM TUTUP",IF(L383=0,"Pas",IF(L383&gt;0,"Lebih","Kurang"))))</f>
        <v/>
      </c>
    </row>
    <row r="384" customFormat="false" ht="15" hidden="false" customHeight="false" outlineLevel="0" collapsed="false">
      <c r="G384" s="0" t="str">
        <f aca="false">IF(A384="","",SUMIFS('TRANSAKSI PENJUALAN'!$K$5:$K$504,'TRANSAKSI PENJUALAN'!$B$5:$B$504,B384,'TRANSAKSI PENJUALAN'!$E$5:$E$504,C384,'TRANSAKSI PENJUALAN'!$L$5:$L$504,"Tunai",'TRANSAKSI PENJUALAN'!$M$5:$M$504,"Lunas"))</f>
        <v/>
      </c>
      <c r="J384" s="0" t="str">
        <f aca="false">IF(A384="","",F384+G384+H384-I384)</f>
        <v/>
      </c>
      <c r="L384" s="0" t="str">
        <f aca="false">IF(A384="","",IF(NOT(ISNUMBER(K384)),"ISI KAS FISIK",K384-J384))</f>
        <v/>
      </c>
      <c r="M384" s="0" t="str">
        <f aca="false">IF(A384="","",IF(NOT(ISNUMBER(L384)),"BELUM TUTUP",IF(L384=0,"Pas",IF(L384&gt;0,"Lebih","Kurang"))))</f>
        <v/>
      </c>
    </row>
    <row r="385" customFormat="false" ht="15" hidden="false" customHeight="false" outlineLevel="0" collapsed="false">
      <c r="G385" s="0" t="str">
        <f aca="false">IF(A385="","",SUMIFS('TRANSAKSI PENJUALAN'!$K$5:$K$504,'TRANSAKSI PENJUALAN'!$B$5:$B$504,B385,'TRANSAKSI PENJUALAN'!$E$5:$E$504,C385,'TRANSAKSI PENJUALAN'!$L$5:$L$504,"Tunai",'TRANSAKSI PENJUALAN'!$M$5:$M$504,"Lunas"))</f>
        <v/>
      </c>
      <c r="J385" s="0" t="str">
        <f aca="false">IF(A385="","",F385+G385+H385-I385)</f>
        <v/>
      </c>
      <c r="L385" s="0" t="str">
        <f aca="false">IF(A385="","",IF(NOT(ISNUMBER(K385)),"ISI KAS FISIK",K385-J385))</f>
        <v/>
      </c>
      <c r="M385" s="0" t="str">
        <f aca="false">IF(A385="","",IF(NOT(ISNUMBER(L385)),"BELUM TUTUP",IF(L385=0,"Pas",IF(L385&gt;0,"Lebih","Kurang"))))</f>
        <v/>
      </c>
    </row>
    <row r="386" customFormat="false" ht="15" hidden="false" customHeight="false" outlineLevel="0" collapsed="false">
      <c r="G386" s="0" t="str">
        <f aca="false">IF(A386="","",SUMIFS('TRANSAKSI PENJUALAN'!$K$5:$K$504,'TRANSAKSI PENJUALAN'!$B$5:$B$504,B386,'TRANSAKSI PENJUALAN'!$E$5:$E$504,C386,'TRANSAKSI PENJUALAN'!$L$5:$L$504,"Tunai",'TRANSAKSI PENJUALAN'!$M$5:$M$504,"Lunas"))</f>
        <v/>
      </c>
      <c r="J386" s="0" t="str">
        <f aca="false">IF(A386="","",F386+G386+H386-I386)</f>
        <v/>
      </c>
      <c r="L386" s="0" t="str">
        <f aca="false">IF(A386="","",IF(NOT(ISNUMBER(K386)),"ISI KAS FISIK",K386-J386))</f>
        <v/>
      </c>
      <c r="M386" s="0" t="str">
        <f aca="false">IF(A386="","",IF(NOT(ISNUMBER(L386)),"BELUM TUTUP",IF(L386=0,"Pas",IF(L386&gt;0,"Lebih","Kurang"))))</f>
        <v/>
      </c>
    </row>
    <row r="387" customFormat="false" ht="15" hidden="false" customHeight="false" outlineLevel="0" collapsed="false">
      <c r="G387" s="0" t="str">
        <f aca="false">IF(A387="","",SUMIFS('TRANSAKSI PENJUALAN'!$K$5:$K$504,'TRANSAKSI PENJUALAN'!$B$5:$B$504,B387,'TRANSAKSI PENJUALAN'!$E$5:$E$504,C387,'TRANSAKSI PENJUALAN'!$L$5:$L$504,"Tunai",'TRANSAKSI PENJUALAN'!$M$5:$M$504,"Lunas"))</f>
        <v/>
      </c>
      <c r="J387" s="0" t="str">
        <f aca="false">IF(A387="","",F387+G387+H387-I387)</f>
        <v/>
      </c>
      <c r="L387" s="0" t="str">
        <f aca="false">IF(A387="","",IF(NOT(ISNUMBER(K387)),"ISI KAS FISIK",K387-J387))</f>
        <v/>
      </c>
      <c r="M387" s="0" t="str">
        <f aca="false">IF(A387="","",IF(NOT(ISNUMBER(L387)),"BELUM TUTUP",IF(L387=0,"Pas",IF(L387&gt;0,"Lebih","Kurang"))))</f>
        <v/>
      </c>
    </row>
    <row r="388" customFormat="false" ht="15" hidden="false" customHeight="false" outlineLevel="0" collapsed="false">
      <c r="G388" s="0" t="str">
        <f aca="false">IF(A388="","",SUMIFS('TRANSAKSI PENJUALAN'!$K$5:$K$504,'TRANSAKSI PENJUALAN'!$B$5:$B$504,B388,'TRANSAKSI PENJUALAN'!$E$5:$E$504,C388,'TRANSAKSI PENJUALAN'!$L$5:$L$504,"Tunai",'TRANSAKSI PENJUALAN'!$M$5:$M$504,"Lunas"))</f>
        <v/>
      </c>
      <c r="J388" s="0" t="str">
        <f aca="false">IF(A388="","",F388+G388+H388-I388)</f>
        <v/>
      </c>
      <c r="L388" s="0" t="str">
        <f aca="false">IF(A388="","",IF(NOT(ISNUMBER(K388)),"ISI KAS FISIK",K388-J388))</f>
        <v/>
      </c>
      <c r="M388" s="0" t="str">
        <f aca="false">IF(A388="","",IF(NOT(ISNUMBER(L388)),"BELUM TUTUP",IF(L388=0,"Pas",IF(L388&gt;0,"Lebih","Kurang"))))</f>
        <v/>
      </c>
    </row>
    <row r="389" customFormat="false" ht="15" hidden="false" customHeight="false" outlineLevel="0" collapsed="false">
      <c r="G389" s="0" t="str">
        <f aca="false">IF(A389="","",SUMIFS('TRANSAKSI PENJUALAN'!$K$5:$K$504,'TRANSAKSI PENJUALAN'!$B$5:$B$504,B389,'TRANSAKSI PENJUALAN'!$E$5:$E$504,C389,'TRANSAKSI PENJUALAN'!$L$5:$L$504,"Tunai",'TRANSAKSI PENJUALAN'!$M$5:$M$504,"Lunas"))</f>
        <v/>
      </c>
      <c r="J389" s="0" t="str">
        <f aca="false">IF(A389="","",F389+G389+H389-I389)</f>
        <v/>
      </c>
      <c r="L389" s="0" t="str">
        <f aca="false">IF(A389="","",IF(NOT(ISNUMBER(K389)),"ISI KAS FISIK",K389-J389))</f>
        <v/>
      </c>
      <c r="M389" s="0" t="str">
        <f aca="false">IF(A389="","",IF(NOT(ISNUMBER(L389)),"BELUM TUTUP",IF(L389=0,"Pas",IF(L389&gt;0,"Lebih","Kurang"))))</f>
        <v/>
      </c>
    </row>
    <row r="390" customFormat="false" ht="15" hidden="false" customHeight="false" outlineLevel="0" collapsed="false">
      <c r="G390" s="0" t="str">
        <f aca="false">IF(A390="","",SUMIFS('TRANSAKSI PENJUALAN'!$K$5:$K$504,'TRANSAKSI PENJUALAN'!$B$5:$B$504,B390,'TRANSAKSI PENJUALAN'!$E$5:$E$504,C390,'TRANSAKSI PENJUALAN'!$L$5:$L$504,"Tunai",'TRANSAKSI PENJUALAN'!$M$5:$M$504,"Lunas"))</f>
        <v/>
      </c>
      <c r="J390" s="0" t="str">
        <f aca="false">IF(A390="","",F390+G390+H390-I390)</f>
        <v/>
      </c>
      <c r="L390" s="0" t="str">
        <f aca="false">IF(A390="","",IF(NOT(ISNUMBER(K390)),"ISI KAS FISIK",K390-J390))</f>
        <v/>
      </c>
      <c r="M390" s="0" t="str">
        <f aca="false">IF(A390="","",IF(NOT(ISNUMBER(L390)),"BELUM TUTUP",IF(L390=0,"Pas",IF(L390&gt;0,"Lebih","Kurang"))))</f>
        <v/>
      </c>
    </row>
    <row r="391" customFormat="false" ht="15" hidden="false" customHeight="false" outlineLevel="0" collapsed="false">
      <c r="G391" s="0" t="str">
        <f aca="false">IF(A391="","",SUMIFS('TRANSAKSI PENJUALAN'!$K$5:$K$504,'TRANSAKSI PENJUALAN'!$B$5:$B$504,B391,'TRANSAKSI PENJUALAN'!$E$5:$E$504,C391,'TRANSAKSI PENJUALAN'!$L$5:$L$504,"Tunai",'TRANSAKSI PENJUALAN'!$M$5:$M$504,"Lunas"))</f>
        <v/>
      </c>
      <c r="J391" s="0" t="str">
        <f aca="false">IF(A391="","",F391+G391+H391-I391)</f>
        <v/>
      </c>
      <c r="L391" s="0" t="str">
        <f aca="false">IF(A391="","",IF(NOT(ISNUMBER(K391)),"ISI KAS FISIK",K391-J391))</f>
        <v/>
      </c>
      <c r="M391" s="0" t="str">
        <f aca="false">IF(A391="","",IF(NOT(ISNUMBER(L391)),"BELUM TUTUP",IF(L391=0,"Pas",IF(L391&gt;0,"Lebih","Kurang"))))</f>
        <v/>
      </c>
    </row>
    <row r="392" customFormat="false" ht="15" hidden="false" customHeight="false" outlineLevel="0" collapsed="false">
      <c r="G392" s="0" t="str">
        <f aca="false">IF(A392="","",SUMIFS('TRANSAKSI PENJUALAN'!$K$5:$K$504,'TRANSAKSI PENJUALAN'!$B$5:$B$504,B392,'TRANSAKSI PENJUALAN'!$E$5:$E$504,C392,'TRANSAKSI PENJUALAN'!$L$5:$L$504,"Tunai",'TRANSAKSI PENJUALAN'!$M$5:$M$504,"Lunas"))</f>
        <v/>
      </c>
      <c r="J392" s="0" t="str">
        <f aca="false">IF(A392="","",F392+G392+H392-I392)</f>
        <v/>
      </c>
      <c r="L392" s="0" t="str">
        <f aca="false">IF(A392="","",IF(NOT(ISNUMBER(K392)),"ISI KAS FISIK",K392-J392))</f>
        <v/>
      </c>
      <c r="M392" s="0" t="str">
        <f aca="false">IF(A392="","",IF(NOT(ISNUMBER(L392)),"BELUM TUTUP",IF(L392=0,"Pas",IF(L392&gt;0,"Lebih","Kurang"))))</f>
        <v/>
      </c>
    </row>
    <row r="393" customFormat="false" ht="15" hidden="false" customHeight="false" outlineLevel="0" collapsed="false">
      <c r="G393" s="0" t="str">
        <f aca="false">IF(A393="","",SUMIFS('TRANSAKSI PENJUALAN'!$K$5:$K$504,'TRANSAKSI PENJUALAN'!$B$5:$B$504,B393,'TRANSAKSI PENJUALAN'!$E$5:$E$504,C393,'TRANSAKSI PENJUALAN'!$L$5:$L$504,"Tunai",'TRANSAKSI PENJUALAN'!$M$5:$M$504,"Lunas"))</f>
        <v/>
      </c>
      <c r="J393" s="0" t="str">
        <f aca="false">IF(A393="","",F393+G393+H393-I393)</f>
        <v/>
      </c>
      <c r="L393" s="0" t="str">
        <f aca="false">IF(A393="","",IF(NOT(ISNUMBER(K393)),"ISI KAS FISIK",K393-J393))</f>
        <v/>
      </c>
      <c r="M393" s="0" t="str">
        <f aca="false">IF(A393="","",IF(NOT(ISNUMBER(L393)),"BELUM TUTUP",IF(L393=0,"Pas",IF(L393&gt;0,"Lebih","Kurang"))))</f>
        <v/>
      </c>
    </row>
    <row r="394" customFormat="false" ht="15" hidden="false" customHeight="false" outlineLevel="0" collapsed="false">
      <c r="G394" s="0" t="str">
        <f aca="false">IF(A394="","",SUMIFS('TRANSAKSI PENJUALAN'!$K$5:$K$504,'TRANSAKSI PENJUALAN'!$B$5:$B$504,B394,'TRANSAKSI PENJUALAN'!$E$5:$E$504,C394,'TRANSAKSI PENJUALAN'!$L$5:$L$504,"Tunai",'TRANSAKSI PENJUALAN'!$M$5:$M$504,"Lunas"))</f>
        <v/>
      </c>
      <c r="J394" s="0" t="str">
        <f aca="false">IF(A394="","",F394+G394+H394-I394)</f>
        <v/>
      </c>
      <c r="L394" s="0" t="str">
        <f aca="false">IF(A394="","",IF(NOT(ISNUMBER(K394)),"ISI KAS FISIK",K394-J394))</f>
        <v/>
      </c>
      <c r="M394" s="0" t="str">
        <f aca="false">IF(A394="","",IF(NOT(ISNUMBER(L394)),"BELUM TUTUP",IF(L394=0,"Pas",IF(L394&gt;0,"Lebih","Kurang"))))</f>
        <v/>
      </c>
    </row>
    <row r="395" customFormat="false" ht="15" hidden="false" customHeight="false" outlineLevel="0" collapsed="false">
      <c r="G395" s="0" t="str">
        <f aca="false">IF(A395="","",SUMIFS('TRANSAKSI PENJUALAN'!$K$5:$K$504,'TRANSAKSI PENJUALAN'!$B$5:$B$504,B395,'TRANSAKSI PENJUALAN'!$E$5:$E$504,C395,'TRANSAKSI PENJUALAN'!$L$5:$L$504,"Tunai",'TRANSAKSI PENJUALAN'!$M$5:$M$504,"Lunas"))</f>
        <v/>
      </c>
      <c r="J395" s="0" t="str">
        <f aca="false">IF(A395="","",F395+G395+H395-I395)</f>
        <v/>
      </c>
      <c r="L395" s="0" t="str">
        <f aca="false">IF(A395="","",IF(NOT(ISNUMBER(K395)),"ISI KAS FISIK",K395-J395))</f>
        <v/>
      </c>
      <c r="M395" s="0" t="str">
        <f aca="false">IF(A395="","",IF(NOT(ISNUMBER(L395)),"BELUM TUTUP",IF(L395=0,"Pas",IF(L395&gt;0,"Lebih","Kurang"))))</f>
        <v/>
      </c>
    </row>
    <row r="396" customFormat="false" ht="15" hidden="false" customHeight="false" outlineLevel="0" collapsed="false">
      <c r="G396" s="0" t="str">
        <f aca="false">IF(A396="","",SUMIFS('TRANSAKSI PENJUALAN'!$K$5:$K$504,'TRANSAKSI PENJUALAN'!$B$5:$B$504,B396,'TRANSAKSI PENJUALAN'!$E$5:$E$504,C396,'TRANSAKSI PENJUALAN'!$L$5:$L$504,"Tunai",'TRANSAKSI PENJUALAN'!$M$5:$M$504,"Lunas"))</f>
        <v/>
      </c>
      <c r="J396" s="0" t="str">
        <f aca="false">IF(A396="","",F396+G396+H396-I396)</f>
        <v/>
      </c>
      <c r="L396" s="0" t="str">
        <f aca="false">IF(A396="","",IF(NOT(ISNUMBER(K396)),"ISI KAS FISIK",K396-J396))</f>
        <v/>
      </c>
      <c r="M396" s="0" t="str">
        <f aca="false">IF(A396="","",IF(NOT(ISNUMBER(L396)),"BELUM TUTUP",IF(L396=0,"Pas",IF(L396&gt;0,"Lebih","Kurang"))))</f>
        <v/>
      </c>
    </row>
    <row r="397" customFormat="false" ht="15" hidden="false" customHeight="false" outlineLevel="0" collapsed="false">
      <c r="G397" s="0" t="str">
        <f aca="false">IF(A397="","",SUMIFS('TRANSAKSI PENJUALAN'!$K$5:$K$504,'TRANSAKSI PENJUALAN'!$B$5:$B$504,B397,'TRANSAKSI PENJUALAN'!$E$5:$E$504,C397,'TRANSAKSI PENJUALAN'!$L$5:$L$504,"Tunai",'TRANSAKSI PENJUALAN'!$M$5:$M$504,"Lunas"))</f>
        <v/>
      </c>
      <c r="J397" s="0" t="str">
        <f aca="false">IF(A397="","",F397+G397+H397-I397)</f>
        <v/>
      </c>
      <c r="L397" s="0" t="str">
        <f aca="false">IF(A397="","",IF(NOT(ISNUMBER(K397)),"ISI KAS FISIK",K397-J397))</f>
        <v/>
      </c>
      <c r="M397" s="0" t="str">
        <f aca="false">IF(A397="","",IF(NOT(ISNUMBER(L397)),"BELUM TUTUP",IF(L397=0,"Pas",IF(L397&gt;0,"Lebih","Kurang"))))</f>
        <v/>
      </c>
    </row>
    <row r="398" customFormat="false" ht="15" hidden="false" customHeight="false" outlineLevel="0" collapsed="false">
      <c r="G398" s="0" t="str">
        <f aca="false">IF(A398="","",SUMIFS('TRANSAKSI PENJUALAN'!$K$5:$K$504,'TRANSAKSI PENJUALAN'!$B$5:$B$504,B398,'TRANSAKSI PENJUALAN'!$E$5:$E$504,C398,'TRANSAKSI PENJUALAN'!$L$5:$L$504,"Tunai",'TRANSAKSI PENJUALAN'!$M$5:$M$504,"Lunas"))</f>
        <v/>
      </c>
      <c r="J398" s="0" t="str">
        <f aca="false">IF(A398="","",F398+G398+H398-I398)</f>
        <v/>
      </c>
      <c r="L398" s="0" t="str">
        <f aca="false">IF(A398="","",IF(NOT(ISNUMBER(K398)),"ISI KAS FISIK",K398-J398))</f>
        <v/>
      </c>
      <c r="M398" s="0" t="str">
        <f aca="false">IF(A398="","",IF(NOT(ISNUMBER(L398)),"BELUM TUTUP",IF(L398=0,"Pas",IF(L398&gt;0,"Lebih","Kurang"))))</f>
        <v/>
      </c>
    </row>
    <row r="399" customFormat="false" ht="15" hidden="false" customHeight="false" outlineLevel="0" collapsed="false">
      <c r="G399" s="0" t="str">
        <f aca="false">IF(A399="","",SUMIFS('TRANSAKSI PENJUALAN'!$K$5:$K$504,'TRANSAKSI PENJUALAN'!$B$5:$B$504,B399,'TRANSAKSI PENJUALAN'!$E$5:$E$504,C399,'TRANSAKSI PENJUALAN'!$L$5:$L$504,"Tunai",'TRANSAKSI PENJUALAN'!$M$5:$M$504,"Lunas"))</f>
        <v/>
      </c>
      <c r="J399" s="0" t="str">
        <f aca="false">IF(A399="","",F399+G399+H399-I399)</f>
        <v/>
      </c>
      <c r="L399" s="0" t="str">
        <f aca="false">IF(A399="","",IF(NOT(ISNUMBER(K399)),"ISI KAS FISIK",K399-J399))</f>
        <v/>
      </c>
      <c r="M399" s="0" t="str">
        <f aca="false">IF(A399="","",IF(NOT(ISNUMBER(L399)),"BELUM TUTUP",IF(L399=0,"Pas",IF(L399&gt;0,"Lebih","Kurang"))))</f>
        <v/>
      </c>
    </row>
    <row r="400" customFormat="false" ht="15" hidden="false" customHeight="false" outlineLevel="0" collapsed="false">
      <c r="G400" s="0" t="str">
        <f aca="false">IF(A400="","",SUMIFS('TRANSAKSI PENJUALAN'!$K$5:$K$504,'TRANSAKSI PENJUALAN'!$B$5:$B$504,B400,'TRANSAKSI PENJUALAN'!$E$5:$E$504,C400,'TRANSAKSI PENJUALAN'!$L$5:$L$504,"Tunai",'TRANSAKSI PENJUALAN'!$M$5:$M$504,"Lunas"))</f>
        <v/>
      </c>
      <c r="J400" s="0" t="str">
        <f aca="false">IF(A400="","",F400+G400+H400-I400)</f>
        <v/>
      </c>
      <c r="L400" s="0" t="str">
        <f aca="false">IF(A400="","",IF(NOT(ISNUMBER(K400)),"ISI KAS FISIK",K400-J400))</f>
        <v/>
      </c>
      <c r="M400" s="0" t="str">
        <f aca="false">IF(A400="","",IF(NOT(ISNUMBER(L400)),"BELUM TUTUP",IF(L400=0,"Pas",IF(L400&gt;0,"Lebih","Kurang"))))</f>
        <v/>
      </c>
    </row>
    <row r="401" customFormat="false" ht="15" hidden="false" customHeight="false" outlineLevel="0" collapsed="false">
      <c r="G401" s="0" t="str">
        <f aca="false">IF(A401="","",SUMIFS('TRANSAKSI PENJUALAN'!$K$5:$K$504,'TRANSAKSI PENJUALAN'!$B$5:$B$504,B401,'TRANSAKSI PENJUALAN'!$E$5:$E$504,C401,'TRANSAKSI PENJUALAN'!$L$5:$L$504,"Tunai",'TRANSAKSI PENJUALAN'!$M$5:$M$504,"Lunas"))</f>
        <v/>
      </c>
      <c r="J401" s="0" t="str">
        <f aca="false">IF(A401="","",F401+G401+H401-I401)</f>
        <v/>
      </c>
      <c r="L401" s="0" t="str">
        <f aca="false">IF(A401="","",IF(NOT(ISNUMBER(K401)),"ISI KAS FISIK",K401-J401))</f>
        <v/>
      </c>
      <c r="M401" s="0" t="str">
        <f aca="false">IF(A401="","",IF(NOT(ISNUMBER(L401)),"BELUM TUTUP",IF(L401=0,"Pas",IF(L401&gt;0,"Lebih","Kurang"))))</f>
        <v/>
      </c>
    </row>
    <row r="402" customFormat="false" ht="15" hidden="false" customHeight="false" outlineLevel="0" collapsed="false">
      <c r="G402" s="0" t="str">
        <f aca="false">IF(A402="","",SUMIFS('TRANSAKSI PENJUALAN'!$K$5:$K$504,'TRANSAKSI PENJUALAN'!$B$5:$B$504,B402,'TRANSAKSI PENJUALAN'!$E$5:$E$504,C402,'TRANSAKSI PENJUALAN'!$L$5:$L$504,"Tunai",'TRANSAKSI PENJUALAN'!$M$5:$M$504,"Lunas"))</f>
        <v/>
      </c>
      <c r="J402" s="0" t="str">
        <f aca="false">IF(A402="","",F402+G402+H402-I402)</f>
        <v/>
      </c>
      <c r="L402" s="0" t="str">
        <f aca="false">IF(A402="","",IF(NOT(ISNUMBER(K402)),"ISI KAS FISIK",K402-J402))</f>
        <v/>
      </c>
      <c r="M402" s="0" t="str">
        <f aca="false">IF(A402="","",IF(NOT(ISNUMBER(L402)),"BELUM TUTUP",IF(L402=0,"Pas",IF(L402&gt;0,"Lebih","Kurang"))))</f>
        <v/>
      </c>
    </row>
    <row r="403" customFormat="false" ht="15" hidden="false" customHeight="false" outlineLevel="0" collapsed="false">
      <c r="G403" s="0" t="str">
        <f aca="false">IF(A403="","",SUMIFS('TRANSAKSI PENJUALAN'!$K$5:$K$504,'TRANSAKSI PENJUALAN'!$B$5:$B$504,B403,'TRANSAKSI PENJUALAN'!$E$5:$E$504,C403,'TRANSAKSI PENJUALAN'!$L$5:$L$504,"Tunai",'TRANSAKSI PENJUALAN'!$M$5:$M$504,"Lunas"))</f>
        <v/>
      </c>
      <c r="J403" s="0" t="str">
        <f aca="false">IF(A403="","",F403+G403+H403-I403)</f>
        <v/>
      </c>
      <c r="L403" s="0" t="str">
        <f aca="false">IF(A403="","",IF(NOT(ISNUMBER(K403)),"ISI KAS FISIK",K403-J403))</f>
        <v/>
      </c>
      <c r="M403" s="0" t="str">
        <f aca="false">IF(A403="","",IF(NOT(ISNUMBER(L403)),"BELUM TUTUP",IF(L403=0,"Pas",IF(L403&gt;0,"Lebih","Kurang"))))</f>
        <v/>
      </c>
    </row>
    <row r="404" customFormat="false" ht="15" hidden="false" customHeight="false" outlineLevel="0" collapsed="false">
      <c r="G404" s="0" t="str">
        <f aca="false">IF(A404="","",SUMIFS('TRANSAKSI PENJUALAN'!$K$5:$K$504,'TRANSAKSI PENJUALAN'!$B$5:$B$504,B404,'TRANSAKSI PENJUALAN'!$E$5:$E$504,C404,'TRANSAKSI PENJUALAN'!$L$5:$L$504,"Tunai",'TRANSAKSI PENJUALAN'!$M$5:$M$504,"Lunas"))</f>
        <v/>
      </c>
      <c r="J404" s="0" t="str">
        <f aca="false">IF(A404="","",F404+G404+H404-I404)</f>
        <v/>
      </c>
      <c r="L404" s="0" t="str">
        <f aca="false">IF(A404="","",IF(NOT(ISNUMBER(K404)),"ISI KAS FISIK",K404-J404))</f>
        <v/>
      </c>
      <c r="M404" s="0" t="str">
        <f aca="false">IF(A404="","",IF(NOT(ISNUMBER(L404)),"BELUM TUTUP",IF(L404=0,"Pas",IF(L404&gt;0,"Lebih","Kurang"))))</f>
        <v/>
      </c>
    </row>
    <row r="405" customFormat="false" ht="15" hidden="false" customHeight="false" outlineLevel="0" collapsed="false">
      <c r="G405" s="0" t="str">
        <f aca="false">IF(A405="","",SUMIFS('TRANSAKSI PENJUALAN'!$K$5:$K$504,'TRANSAKSI PENJUALAN'!$B$5:$B$504,B405,'TRANSAKSI PENJUALAN'!$E$5:$E$504,C405,'TRANSAKSI PENJUALAN'!$L$5:$L$504,"Tunai",'TRANSAKSI PENJUALAN'!$M$5:$M$504,"Lunas"))</f>
        <v/>
      </c>
      <c r="J405" s="0" t="str">
        <f aca="false">IF(A405="","",F405+G405+H405-I405)</f>
        <v/>
      </c>
      <c r="L405" s="0" t="str">
        <f aca="false">IF(A405="","",IF(NOT(ISNUMBER(K405)),"ISI KAS FISIK",K405-J405))</f>
        <v/>
      </c>
      <c r="M405" s="0" t="str">
        <f aca="false">IF(A405="","",IF(NOT(ISNUMBER(L405)),"BELUM TUTUP",IF(L405=0,"Pas",IF(L405&gt;0,"Lebih","Kurang"))))</f>
        <v/>
      </c>
    </row>
    <row r="406" customFormat="false" ht="15" hidden="false" customHeight="false" outlineLevel="0" collapsed="false">
      <c r="G406" s="0" t="str">
        <f aca="false">IF(A406="","",SUMIFS('TRANSAKSI PENJUALAN'!$K$5:$K$504,'TRANSAKSI PENJUALAN'!$B$5:$B$504,B406,'TRANSAKSI PENJUALAN'!$E$5:$E$504,C406,'TRANSAKSI PENJUALAN'!$L$5:$L$504,"Tunai",'TRANSAKSI PENJUALAN'!$M$5:$M$504,"Lunas"))</f>
        <v/>
      </c>
      <c r="J406" s="0" t="str">
        <f aca="false">IF(A406="","",F406+G406+H406-I406)</f>
        <v/>
      </c>
      <c r="L406" s="0" t="str">
        <f aca="false">IF(A406="","",IF(NOT(ISNUMBER(K406)),"ISI KAS FISIK",K406-J406))</f>
        <v/>
      </c>
      <c r="M406" s="0" t="str">
        <f aca="false">IF(A406="","",IF(NOT(ISNUMBER(L406)),"BELUM TUTUP",IF(L406=0,"Pas",IF(L406&gt;0,"Lebih","Kurang"))))</f>
        <v/>
      </c>
    </row>
    <row r="407" customFormat="false" ht="15" hidden="false" customHeight="false" outlineLevel="0" collapsed="false">
      <c r="G407" s="0" t="str">
        <f aca="false">IF(A407="","",SUMIFS('TRANSAKSI PENJUALAN'!$K$5:$K$504,'TRANSAKSI PENJUALAN'!$B$5:$B$504,B407,'TRANSAKSI PENJUALAN'!$E$5:$E$504,C407,'TRANSAKSI PENJUALAN'!$L$5:$L$504,"Tunai",'TRANSAKSI PENJUALAN'!$M$5:$M$504,"Lunas"))</f>
        <v/>
      </c>
      <c r="J407" s="0" t="str">
        <f aca="false">IF(A407="","",F407+G407+H407-I407)</f>
        <v/>
      </c>
      <c r="L407" s="0" t="str">
        <f aca="false">IF(A407="","",IF(NOT(ISNUMBER(K407)),"ISI KAS FISIK",K407-J407))</f>
        <v/>
      </c>
      <c r="M407" s="0" t="str">
        <f aca="false">IF(A407="","",IF(NOT(ISNUMBER(L407)),"BELUM TUTUP",IF(L407=0,"Pas",IF(L407&gt;0,"Lebih","Kurang"))))</f>
        <v/>
      </c>
    </row>
    <row r="408" customFormat="false" ht="15" hidden="false" customHeight="false" outlineLevel="0" collapsed="false">
      <c r="G408" s="0" t="str">
        <f aca="false">IF(A408="","",SUMIFS('TRANSAKSI PENJUALAN'!$K$5:$K$504,'TRANSAKSI PENJUALAN'!$B$5:$B$504,B408,'TRANSAKSI PENJUALAN'!$E$5:$E$504,C408,'TRANSAKSI PENJUALAN'!$L$5:$L$504,"Tunai",'TRANSAKSI PENJUALAN'!$M$5:$M$504,"Lunas"))</f>
        <v/>
      </c>
      <c r="J408" s="0" t="str">
        <f aca="false">IF(A408="","",F408+G408+H408-I408)</f>
        <v/>
      </c>
      <c r="L408" s="0" t="str">
        <f aca="false">IF(A408="","",IF(NOT(ISNUMBER(K408)),"ISI KAS FISIK",K408-J408))</f>
        <v/>
      </c>
      <c r="M408" s="0" t="str">
        <f aca="false">IF(A408="","",IF(NOT(ISNUMBER(L408)),"BELUM TUTUP",IF(L408=0,"Pas",IF(L408&gt;0,"Lebih","Kurang"))))</f>
        <v/>
      </c>
    </row>
    <row r="409" customFormat="false" ht="15" hidden="false" customHeight="false" outlineLevel="0" collapsed="false">
      <c r="G409" s="0" t="str">
        <f aca="false">IF(A409="","",SUMIFS('TRANSAKSI PENJUALAN'!$K$5:$K$504,'TRANSAKSI PENJUALAN'!$B$5:$B$504,B409,'TRANSAKSI PENJUALAN'!$E$5:$E$504,C409,'TRANSAKSI PENJUALAN'!$L$5:$L$504,"Tunai",'TRANSAKSI PENJUALAN'!$M$5:$M$504,"Lunas"))</f>
        <v/>
      </c>
      <c r="J409" s="0" t="str">
        <f aca="false">IF(A409="","",F409+G409+H409-I409)</f>
        <v/>
      </c>
      <c r="L409" s="0" t="str">
        <f aca="false">IF(A409="","",IF(NOT(ISNUMBER(K409)),"ISI KAS FISIK",K409-J409))</f>
        <v/>
      </c>
      <c r="M409" s="0" t="str">
        <f aca="false">IF(A409="","",IF(NOT(ISNUMBER(L409)),"BELUM TUTUP",IF(L409=0,"Pas",IF(L409&gt;0,"Lebih","Kurang"))))</f>
        <v/>
      </c>
    </row>
    <row r="410" customFormat="false" ht="15" hidden="false" customHeight="false" outlineLevel="0" collapsed="false">
      <c r="G410" s="0" t="str">
        <f aca="false">IF(A410="","",SUMIFS('TRANSAKSI PENJUALAN'!$K$5:$K$504,'TRANSAKSI PENJUALAN'!$B$5:$B$504,B410,'TRANSAKSI PENJUALAN'!$E$5:$E$504,C410,'TRANSAKSI PENJUALAN'!$L$5:$L$504,"Tunai",'TRANSAKSI PENJUALAN'!$M$5:$M$504,"Lunas"))</f>
        <v/>
      </c>
      <c r="J410" s="0" t="str">
        <f aca="false">IF(A410="","",F410+G410+H410-I410)</f>
        <v/>
      </c>
      <c r="L410" s="0" t="str">
        <f aca="false">IF(A410="","",IF(NOT(ISNUMBER(K410)),"ISI KAS FISIK",K410-J410))</f>
        <v/>
      </c>
      <c r="M410" s="0" t="str">
        <f aca="false">IF(A410="","",IF(NOT(ISNUMBER(L410)),"BELUM TUTUP",IF(L410=0,"Pas",IF(L410&gt;0,"Lebih","Kurang"))))</f>
        <v/>
      </c>
    </row>
    <row r="411" customFormat="false" ht="15" hidden="false" customHeight="false" outlineLevel="0" collapsed="false">
      <c r="G411" s="0" t="str">
        <f aca="false">IF(A411="","",SUMIFS('TRANSAKSI PENJUALAN'!$K$5:$K$504,'TRANSAKSI PENJUALAN'!$B$5:$B$504,B411,'TRANSAKSI PENJUALAN'!$E$5:$E$504,C411,'TRANSAKSI PENJUALAN'!$L$5:$L$504,"Tunai",'TRANSAKSI PENJUALAN'!$M$5:$M$504,"Lunas"))</f>
        <v/>
      </c>
      <c r="J411" s="0" t="str">
        <f aca="false">IF(A411="","",F411+G411+H411-I411)</f>
        <v/>
      </c>
      <c r="L411" s="0" t="str">
        <f aca="false">IF(A411="","",IF(NOT(ISNUMBER(K411)),"ISI KAS FISIK",K411-J411))</f>
        <v/>
      </c>
      <c r="M411" s="0" t="str">
        <f aca="false">IF(A411="","",IF(NOT(ISNUMBER(L411)),"BELUM TUTUP",IF(L411=0,"Pas",IF(L411&gt;0,"Lebih","Kurang"))))</f>
        <v/>
      </c>
    </row>
    <row r="412" customFormat="false" ht="15" hidden="false" customHeight="false" outlineLevel="0" collapsed="false">
      <c r="G412" s="0" t="str">
        <f aca="false">IF(A412="","",SUMIFS('TRANSAKSI PENJUALAN'!$K$5:$K$504,'TRANSAKSI PENJUALAN'!$B$5:$B$504,B412,'TRANSAKSI PENJUALAN'!$E$5:$E$504,C412,'TRANSAKSI PENJUALAN'!$L$5:$L$504,"Tunai",'TRANSAKSI PENJUALAN'!$M$5:$M$504,"Lunas"))</f>
        <v/>
      </c>
      <c r="J412" s="0" t="str">
        <f aca="false">IF(A412="","",F412+G412+H412-I412)</f>
        <v/>
      </c>
      <c r="L412" s="0" t="str">
        <f aca="false">IF(A412="","",IF(NOT(ISNUMBER(K412)),"ISI KAS FISIK",K412-J412))</f>
        <v/>
      </c>
      <c r="M412" s="0" t="str">
        <f aca="false">IF(A412="","",IF(NOT(ISNUMBER(L412)),"BELUM TUTUP",IF(L412=0,"Pas",IF(L412&gt;0,"Lebih","Kurang"))))</f>
        <v/>
      </c>
    </row>
    <row r="413" customFormat="false" ht="15" hidden="false" customHeight="false" outlineLevel="0" collapsed="false">
      <c r="G413" s="0" t="str">
        <f aca="false">IF(A413="","",SUMIFS('TRANSAKSI PENJUALAN'!$K$5:$K$504,'TRANSAKSI PENJUALAN'!$B$5:$B$504,B413,'TRANSAKSI PENJUALAN'!$E$5:$E$504,C413,'TRANSAKSI PENJUALAN'!$L$5:$L$504,"Tunai",'TRANSAKSI PENJUALAN'!$M$5:$M$504,"Lunas"))</f>
        <v/>
      </c>
      <c r="J413" s="0" t="str">
        <f aca="false">IF(A413="","",F413+G413+H413-I413)</f>
        <v/>
      </c>
      <c r="L413" s="0" t="str">
        <f aca="false">IF(A413="","",IF(NOT(ISNUMBER(K413)),"ISI KAS FISIK",K413-J413))</f>
        <v/>
      </c>
      <c r="M413" s="0" t="str">
        <f aca="false">IF(A413="","",IF(NOT(ISNUMBER(L413)),"BELUM TUTUP",IF(L413=0,"Pas",IF(L413&gt;0,"Lebih","Kurang"))))</f>
        <v/>
      </c>
    </row>
    <row r="414" customFormat="false" ht="15" hidden="false" customHeight="false" outlineLevel="0" collapsed="false">
      <c r="G414" s="0" t="str">
        <f aca="false">IF(A414="","",SUMIFS('TRANSAKSI PENJUALAN'!$K$5:$K$504,'TRANSAKSI PENJUALAN'!$B$5:$B$504,B414,'TRANSAKSI PENJUALAN'!$E$5:$E$504,C414,'TRANSAKSI PENJUALAN'!$L$5:$L$504,"Tunai",'TRANSAKSI PENJUALAN'!$M$5:$M$504,"Lunas"))</f>
        <v/>
      </c>
      <c r="J414" s="0" t="str">
        <f aca="false">IF(A414="","",F414+G414+H414-I414)</f>
        <v/>
      </c>
      <c r="L414" s="0" t="str">
        <f aca="false">IF(A414="","",IF(NOT(ISNUMBER(K414)),"ISI KAS FISIK",K414-J414))</f>
        <v/>
      </c>
      <c r="M414" s="0" t="str">
        <f aca="false">IF(A414="","",IF(NOT(ISNUMBER(L414)),"BELUM TUTUP",IF(L414=0,"Pas",IF(L414&gt;0,"Lebih","Kurang"))))</f>
        <v/>
      </c>
    </row>
    <row r="415" customFormat="false" ht="15" hidden="false" customHeight="false" outlineLevel="0" collapsed="false">
      <c r="G415" s="0" t="str">
        <f aca="false">IF(A415="","",SUMIFS('TRANSAKSI PENJUALAN'!$K$5:$K$504,'TRANSAKSI PENJUALAN'!$B$5:$B$504,B415,'TRANSAKSI PENJUALAN'!$E$5:$E$504,C415,'TRANSAKSI PENJUALAN'!$L$5:$L$504,"Tunai",'TRANSAKSI PENJUALAN'!$M$5:$M$504,"Lunas"))</f>
        <v/>
      </c>
      <c r="J415" s="0" t="str">
        <f aca="false">IF(A415="","",F415+G415+H415-I415)</f>
        <v/>
      </c>
      <c r="L415" s="0" t="str">
        <f aca="false">IF(A415="","",IF(NOT(ISNUMBER(K415)),"ISI KAS FISIK",K415-J415))</f>
        <v/>
      </c>
      <c r="M415" s="0" t="str">
        <f aca="false">IF(A415="","",IF(NOT(ISNUMBER(L415)),"BELUM TUTUP",IF(L415=0,"Pas",IF(L415&gt;0,"Lebih","Kurang"))))</f>
        <v/>
      </c>
    </row>
    <row r="416" customFormat="false" ht="15" hidden="false" customHeight="false" outlineLevel="0" collapsed="false">
      <c r="G416" s="0" t="str">
        <f aca="false">IF(A416="","",SUMIFS('TRANSAKSI PENJUALAN'!$K$5:$K$504,'TRANSAKSI PENJUALAN'!$B$5:$B$504,B416,'TRANSAKSI PENJUALAN'!$E$5:$E$504,C416,'TRANSAKSI PENJUALAN'!$L$5:$L$504,"Tunai",'TRANSAKSI PENJUALAN'!$M$5:$M$504,"Lunas"))</f>
        <v/>
      </c>
      <c r="J416" s="0" t="str">
        <f aca="false">IF(A416="","",F416+G416+H416-I416)</f>
        <v/>
      </c>
      <c r="L416" s="0" t="str">
        <f aca="false">IF(A416="","",IF(NOT(ISNUMBER(K416)),"ISI KAS FISIK",K416-J416))</f>
        <v/>
      </c>
      <c r="M416" s="0" t="str">
        <f aca="false">IF(A416="","",IF(NOT(ISNUMBER(L416)),"BELUM TUTUP",IF(L416=0,"Pas",IF(L416&gt;0,"Lebih","Kurang"))))</f>
        <v/>
      </c>
    </row>
    <row r="417" customFormat="false" ht="15" hidden="false" customHeight="false" outlineLevel="0" collapsed="false">
      <c r="G417" s="0" t="str">
        <f aca="false">IF(A417="","",SUMIFS('TRANSAKSI PENJUALAN'!$K$5:$K$504,'TRANSAKSI PENJUALAN'!$B$5:$B$504,B417,'TRANSAKSI PENJUALAN'!$E$5:$E$504,C417,'TRANSAKSI PENJUALAN'!$L$5:$L$504,"Tunai",'TRANSAKSI PENJUALAN'!$M$5:$M$504,"Lunas"))</f>
        <v/>
      </c>
      <c r="J417" s="0" t="str">
        <f aca="false">IF(A417="","",F417+G417+H417-I417)</f>
        <v/>
      </c>
      <c r="L417" s="0" t="str">
        <f aca="false">IF(A417="","",IF(NOT(ISNUMBER(K417)),"ISI KAS FISIK",K417-J417))</f>
        <v/>
      </c>
      <c r="M417" s="0" t="str">
        <f aca="false">IF(A417="","",IF(NOT(ISNUMBER(L417)),"BELUM TUTUP",IF(L417=0,"Pas",IF(L417&gt;0,"Lebih","Kurang"))))</f>
        <v/>
      </c>
    </row>
    <row r="418" customFormat="false" ht="15" hidden="false" customHeight="false" outlineLevel="0" collapsed="false">
      <c r="G418" s="0" t="str">
        <f aca="false">IF(A418="","",SUMIFS('TRANSAKSI PENJUALAN'!$K$5:$K$504,'TRANSAKSI PENJUALAN'!$B$5:$B$504,B418,'TRANSAKSI PENJUALAN'!$E$5:$E$504,C418,'TRANSAKSI PENJUALAN'!$L$5:$L$504,"Tunai",'TRANSAKSI PENJUALAN'!$M$5:$M$504,"Lunas"))</f>
        <v/>
      </c>
      <c r="J418" s="0" t="str">
        <f aca="false">IF(A418="","",F418+G418+H418-I418)</f>
        <v/>
      </c>
      <c r="L418" s="0" t="str">
        <f aca="false">IF(A418="","",IF(NOT(ISNUMBER(K418)),"ISI KAS FISIK",K418-J418))</f>
        <v/>
      </c>
      <c r="M418" s="0" t="str">
        <f aca="false">IF(A418="","",IF(NOT(ISNUMBER(L418)),"BELUM TUTUP",IF(L418=0,"Pas",IF(L418&gt;0,"Lebih","Kurang"))))</f>
        <v/>
      </c>
    </row>
    <row r="419" customFormat="false" ht="15" hidden="false" customHeight="false" outlineLevel="0" collapsed="false">
      <c r="G419" s="0" t="str">
        <f aca="false">IF(A419="","",SUMIFS('TRANSAKSI PENJUALAN'!$K$5:$K$504,'TRANSAKSI PENJUALAN'!$B$5:$B$504,B419,'TRANSAKSI PENJUALAN'!$E$5:$E$504,C419,'TRANSAKSI PENJUALAN'!$L$5:$L$504,"Tunai",'TRANSAKSI PENJUALAN'!$M$5:$M$504,"Lunas"))</f>
        <v/>
      </c>
      <c r="J419" s="0" t="str">
        <f aca="false">IF(A419="","",F419+G419+H419-I419)</f>
        <v/>
      </c>
      <c r="L419" s="0" t="str">
        <f aca="false">IF(A419="","",IF(NOT(ISNUMBER(K419)),"ISI KAS FISIK",K419-J419))</f>
        <v/>
      </c>
      <c r="M419" s="0" t="str">
        <f aca="false">IF(A419="","",IF(NOT(ISNUMBER(L419)),"BELUM TUTUP",IF(L419=0,"Pas",IF(L419&gt;0,"Lebih","Kurang"))))</f>
        <v/>
      </c>
    </row>
    <row r="420" customFormat="false" ht="15" hidden="false" customHeight="false" outlineLevel="0" collapsed="false">
      <c r="G420" s="0" t="str">
        <f aca="false">IF(A420="","",SUMIFS('TRANSAKSI PENJUALAN'!$K$5:$K$504,'TRANSAKSI PENJUALAN'!$B$5:$B$504,B420,'TRANSAKSI PENJUALAN'!$E$5:$E$504,C420,'TRANSAKSI PENJUALAN'!$L$5:$L$504,"Tunai",'TRANSAKSI PENJUALAN'!$M$5:$M$504,"Lunas"))</f>
        <v/>
      </c>
      <c r="J420" s="0" t="str">
        <f aca="false">IF(A420="","",F420+G420+H420-I420)</f>
        <v/>
      </c>
      <c r="L420" s="0" t="str">
        <f aca="false">IF(A420="","",IF(NOT(ISNUMBER(K420)),"ISI KAS FISIK",K420-J420))</f>
        <v/>
      </c>
      <c r="M420" s="0" t="str">
        <f aca="false">IF(A420="","",IF(NOT(ISNUMBER(L420)),"BELUM TUTUP",IF(L420=0,"Pas",IF(L420&gt;0,"Lebih","Kurang"))))</f>
        <v/>
      </c>
    </row>
    <row r="421" customFormat="false" ht="15" hidden="false" customHeight="false" outlineLevel="0" collapsed="false">
      <c r="G421" s="0" t="str">
        <f aca="false">IF(A421="","",SUMIFS('TRANSAKSI PENJUALAN'!$K$5:$K$504,'TRANSAKSI PENJUALAN'!$B$5:$B$504,B421,'TRANSAKSI PENJUALAN'!$E$5:$E$504,C421,'TRANSAKSI PENJUALAN'!$L$5:$L$504,"Tunai",'TRANSAKSI PENJUALAN'!$M$5:$M$504,"Lunas"))</f>
        <v/>
      </c>
      <c r="J421" s="0" t="str">
        <f aca="false">IF(A421="","",F421+G421+H421-I421)</f>
        <v/>
      </c>
      <c r="L421" s="0" t="str">
        <f aca="false">IF(A421="","",IF(NOT(ISNUMBER(K421)),"ISI KAS FISIK",K421-J421))</f>
        <v/>
      </c>
      <c r="M421" s="0" t="str">
        <f aca="false">IF(A421="","",IF(NOT(ISNUMBER(L421)),"BELUM TUTUP",IF(L421=0,"Pas",IF(L421&gt;0,"Lebih","Kurang"))))</f>
        <v/>
      </c>
    </row>
    <row r="422" customFormat="false" ht="15" hidden="false" customHeight="false" outlineLevel="0" collapsed="false">
      <c r="G422" s="0" t="str">
        <f aca="false">IF(A422="","",SUMIFS('TRANSAKSI PENJUALAN'!$K$5:$K$504,'TRANSAKSI PENJUALAN'!$B$5:$B$504,B422,'TRANSAKSI PENJUALAN'!$E$5:$E$504,C422,'TRANSAKSI PENJUALAN'!$L$5:$L$504,"Tunai",'TRANSAKSI PENJUALAN'!$M$5:$M$504,"Lunas"))</f>
        <v/>
      </c>
      <c r="J422" s="0" t="str">
        <f aca="false">IF(A422="","",F422+G422+H422-I422)</f>
        <v/>
      </c>
      <c r="L422" s="0" t="str">
        <f aca="false">IF(A422="","",IF(NOT(ISNUMBER(K422)),"ISI KAS FISIK",K422-J422))</f>
        <v/>
      </c>
      <c r="M422" s="0" t="str">
        <f aca="false">IF(A422="","",IF(NOT(ISNUMBER(L422)),"BELUM TUTUP",IF(L422=0,"Pas",IF(L422&gt;0,"Lebih","Kurang"))))</f>
        <v/>
      </c>
    </row>
    <row r="423" customFormat="false" ht="15" hidden="false" customHeight="false" outlineLevel="0" collapsed="false">
      <c r="G423" s="0" t="str">
        <f aca="false">IF(A423="","",SUMIFS('TRANSAKSI PENJUALAN'!$K$5:$K$504,'TRANSAKSI PENJUALAN'!$B$5:$B$504,B423,'TRANSAKSI PENJUALAN'!$E$5:$E$504,C423,'TRANSAKSI PENJUALAN'!$L$5:$L$504,"Tunai",'TRANSAKSI PENJUALAN'!$M$5:$M$504,"Lunas"))</f>
        <v/>
      </c>
      <c r="J423" s="0" t="str">
        <f aca="false">IF(A423="","",F423+G423+H423-I423)</f>
        <v/>
      </c>
      <c r="L423" s="0" t="str">
        <f aca="false">IF(A423="","",IF(NOT(ISNUMBER(K423)),"ISI KAS FISIK",K423-J423))</f>
        <v/>
      </c>
      <c r="M423" s="0" t="str">
        <f aca="false">IF(A423="","",IF(NOT(ISNUMBER(L423)),"BELUM TUTUP",IF(L423=0,"Pas",IF(L423&gt;0,"Lebih","Kurang"))))</f>
        <v/>
      </c>
    </row>
    <row r="424" customFormat="false" ht="15" hidden="false" customHeight="false" outlineLevel="0" collapsed="false">
      <c r="G424" s="0" t="str">
        <f aca="false">IF(A424="","",SUMIFS('TRANSAKSI PENJUALAN'!$K$5:$K$504,'TRANSAKSI PENJUALAN'!$B$5:$B$504,B424,'TRANSAKSI PENJUALAN'!$E$5:$E$504,C424,'TRANSAKSI PENJUALAN'!$L$5:$L$504,"Tunai",'TRANSAKSI PENJUALAN'!$M$5:$M$504,"Lunas"))</f>
        <v/>
      </c>
      <c r="J424" s="0" t="str">
        <f aca="false">IF(A424="","",F424+G424+H424-I424)</f>
        <v/>
      </c>
      <c r="L424" s="0" t="str">
        <f aca="false">IF(A424="","",IF(NOT(ISNUMBER(K424)),"ISI KAS FISIK",K424-J424))</f>
        <v/>
      </c>
      <c r="M424" s="0" t="str">
        <f aca="false">IF(A424="","",IF(NOT(ISNUMBER(L424)),"BELUM TUTUP",IF(L424=0,"Pas",IF(L424&gt;0,"Lebih","Kurang"))))</f>
        <v/>
      </c>
    </row>
    <row r="425" customFormat="false" ht="15" hidden="false" customHeight="false" outlineLevel="0" collapsed="false">
      <c r="G425" s="0" t="str">
        <f aca="false">IF(A425="","",SUMIFS('TRANSAKSI PENJUALAN'!$K$5:$K$504,'TRANSAKSI PENJUALAN'!$B$5:$B$504,B425,'TRANSAKSI PENJUALAN'!$E$5:$E$504,C425,'TRANSAKSI PENJUALAN'!$L$5:$L$504,"Tunai",'TRANSAKSI PENJUALAN'!$M$5:$M$504,"Lunas"))</f>
        <v/>
      </c>
      <c r="J425" s="0" t="str">
        <f aca="false">IF(A425="","",F425+G425+H425-I425)</f>
        <v/>
      </c>
      <c r="L425" s="0" t="str">
        <f aca="false">IF(A425="","",IF(NOT(ISNUMBER(K425)),"ISI KAS FISIK",K425-J425))</f>
        <v/>
      </c>
      <c r="M425" s="0" t="str">
        <f aca="false">IF(A425="","",IF(NOT(ISNUMBER(L425)),"BELUM TUTUP",IF(L425=0,"Pas",IF(L425&gt;0,"Lebih","Kurang"))))</f>
        <v/>
      </c>
    </row>
    <row r="426" customFormat="false" ht="15" hidden="false" customHeight="false" outlineLevel="0" collapsed="false">
      <c r="G426" s="0" t="str">
        <f aca="false">IF(A426="","",SUMIFS('TRANSAKSI PENJUALAN'!$K$5:$K$504,'TRANSAKSI PENJUALAN'!$B$5:$B$504,B426,'TRANSAKSI PENJUALAN'!$E$5:$E$504,C426,'TRANSAKSI PENJUALAN'!$L$5:$L$504,"Tunai",'TRANSAKSI PENJUALAN'!$M$5:$M$504,"Lunas"))</f>
        <v/>
      </c>
      <c r="J426" s="0" t="str">
        <f aca="false">IF(A426="","",F426+G426+H426-I426)</f>
        <v/>
      </c>
      <c r="L426" s="0" t="str">
        <f aca="false">IF(A426="","",IF(NOT(ISNUMBER(K426)),"ISI KAS FISIK",K426-J426))</f>
        <v/>
      </c>
      <c r="M426" s="0" t="str">
        <f aca="false">IF(A426="","",IF(NOT(ISNUMBER(L426)),"BELUM TUTUP",IF(L426=0,"Pas",IF(L426&gt;0,"Lebih","Kurang"))))</f>
        <v/>
      </c>
    </row>
    <row r="427" customFormat="false" ht="15" hidden="false" customHeight="false" outlineLevel="0" collapsed="false">
      <c r="G427" s="0" t="str">
        <f aca="false">IF(A427="","",SUMIFS('TRANSAKSI PENJUALAN'!$K$5:$K$504,'TRANSAKSI PENJUALAN'!$B$5:$B$504,B427,'TRANSAKSI PENJUALAN'!$E$5:$E$504,C427,'TRANSAKSI PENJUALAN'!$L$5:$L$504,"Tunai",'TRANSAKSI PENJUALAN'!$M$5:$M$504,"Lunas"))</f>
        <v/>
      </c>
      <c r="J427" s="0" t="str">
        <f aca="false">IF(A427="","",F427+G427+H427-I427)</f>
        <v/>
      </c>
      <c r="L427" s="0" t="str">
        <f aca="false">IF(A427="","",IF(NOT(ISNUMBER(K427)),"ISI KAS FISIK",K427-J427))</f>
        <v/>
      </c>
      <c r="M427" s="0" t="str">
        <f aca="false">IF(A427="","",IF(NOT(ISNUMBER(L427)),"BELUM TUTUP",IF(L427=0,"Pas",IF(L427&gt;0,"Lebih","Kurang"))))</f>
        <v/>
      </c>
    </row>
    <row r="428" customFormat="false" ht="15" hidden="false" customHeight="false" outlineLevel="0" collapsed="false">
      <c r="G428" s="0" t="str">
        <f aca="false">IF(A428="","",SUMIFS('TRANSAKSI PENJUALAN'!$K$5:$K$504,'TRANSAKSI PENJUALAN'!$B$5:$B$504,B428,'TRANSAKSI PENJUALAN'!$E$5:$E$504,C428,'TRANSAKSI PENJUALAN'!$L$5:$L$504,"Tunai",'TRANSAKSI PENJUALAN'!$M$5:$M$504,"Lunas"))</f>
        <v/>
      </c>
      <c r="J428" s="0" t="str">
        <f aca="false">IF(A428="","",F428+G428+H428-I428)</f>
        <v/>
      </c>
      <c r="L428" s="0" t="str">
        <f aca="false">IF(A428="","",IF(NOT(ISNUMBER(K428)),"ISI KAS FISIK",K428-J428))</f>
        <v/>
      </c>
      <c r="M428" s="0" t="str">
        <f aca="false">IF(A428="","",IF(NOT(ISNUMBER(L428)),"BELUM TUTUP",IF(L428=0,"Pas",IF(L428&gt;0,"Lebih","Kurang"))))</f>
        <v/>
      </c>
    </row>
    <row r="429" customFormat="false" ht="15" hidden="false" customHeight="false" outlineLevel="0" collapsed="false">
      <c r="G429" s="0" t="str">
        <f aca="false">IF(A429="","",SUMIFS('TRANSAKSI PENJUALAN'!$K$5:$K$504,'TRANSAKSI PENJUALAN'!$B$5:$B$504,B429,'TRANSAKSI PENJUALAN'!$E$5:$E$504,C429,'TRANSAKSI PENJUALAN'!$L$5:$L$504,"Tunai",'TRANSAKSI PENJUALAN'!$M$5:$M$504,"Lunas"))</f>
        <v/>
      </c>
      <c r="J429" s="0" t="str">
        <f aca="false">IF(A429="","",F429+G429+H429-I429)</f>
        <v/>
      </c>
      <c r="L429" s="0" t="str">
        <f aca="false">IF(A429="","",IF(NOT(ISNUMBER(K429)),"ISI KAS FISIK",K429-J429))</f>
        <v/>
      </c>
      <c r="M429" s="0" t="str">
        <f aca="false">IF(A429="","",IF(NOT(ISNUMBER(L429)),"BELUM TUTUP",IF(L429=0,"Pas",IF(L429&gt;0,"Lebih","Kurang"))))</f>
        <v/>
      </c>
    </row>
    <row r="430" customFormat="false" ht="15" hidden="false" customHeight="false" outlineLevel="0" collapsed="false">
      <c r="G430" s="0" t="str">
        <f aca="false">IF(A430="","",SUMIFS('TRANSAKSI PENJUALAN'!$K$5:$K$504,'TRANSAKSI PENJUALAN'!$B$5:$B$504,B430,'TRANSAKSI PENJUALAN'!$E$5:$E$504,C430,'TRANSAKSI PENJUALAN'!$L$5:$L$504,"Tunai",'TRANSAKSI PENJUALAN'!$M$5:$M$504,"Lunas"))</f>
        <v/>
      </c>
      <c r="J430" s="0" t="str">
        <f aca="false">IF(A430="","",F430+G430+H430-I430)</f>
        <v/>
      </c>
      <c r="L430" s="0" t="str">
        <f aca="false">IF(A430="","",IF(NOT(ISNUMBER(K430)),"ISI KAS FISIK",K430-J430))</f>
        <v/>
      </c>
      <c r="M430" s="0" t="str">
        <f aca="false">IF(A430="","",IF(NOT(ISNUMBER(L430)),"BELUM TUTUP",IF(L430=0,"Pas",IF(L430&gt;0,"Lebih","Kurang"))))</f>
        <v/>
      </c>
    </row>
    <row r="431" customFormat="false" ht="15" hidden="false" customHeight="false" outlineLevel="0" collapsed="false">
      <c r="G431" s="0" t="str">
        <f aca="false">IF(A431="","",SUMIFS('TRANSAKSI PENJUALAN'!$K$5:$K$504,'TRANSAKSI PENJUALAN'!$B$5:$B$504,B431,'TRANSAKSI PENJUALAN'!$E$5:$E$504,C431,'TRANSAKSI PENJUALAN'!$L$5:$L$504,"Tunai",'TRANSAKSI PENJUALAN'!$M$5:$M$504,"Lunas"))</f>
        <v/>
      </c>
      <c r="J431" s="0" t="str">
        <f aca="false">IF(A431="","",F431+G431+H431-I431)</f>
        <v/>
      </c>
      <c r="L431" s="0" t="str">
        <f aca="false">IF(A431="","",IF(NOT(ISNUMBER(K431)),"ISI KAS FISIK",K431-J431))</f>
        <v/>
      </c>
      <c r="M431" s="0" t="str">
        <f aca="false">IF(A431="","",IF(NOT(ISNUMBER(L431)),"BELUM TUTUP",IF(L431=0,"Pas",IF(L431&gt;0,"Lebih","Kurang"))))</f>
        <v/>
      </c>
    </row>
    <row r="432" customFormat="false" ht="15" hidden="false" customHeight="false" outlineLevel="0" collapsed="false">
      <c r="G432" s="0" t="str">
        <f aca="false">IF(A432="","",SUMIFS('TRANSAKSI PENJUALAN'!$K$5:$K$504,'TRANSAKSI PENJUALAN'!$B$5:$B$504,B432,'TRANSAKSI PENJUALAN'!$E$5:$E$504,C432,'TRANSAKSI PENJUALAN'!$L$5:$L$504,"Tunai",'TRANSAKSI PENJUALAN'!$M$5:$M$504,"Lunas"))</f>
        <v/>
      </c>
      <c r="J432" s="0" t="str">
        <f aca="false">IF(A432="","",F432+G432+H432-I432)</f>
        <v/>
      </c>
      <c r="L432" s="0" t="str">
        <f aca="false">IF(A432="","",IF(NOT(ISNUMBER(K432)),"ISI KAS FISIK",K432-J432))</f>
        <v/>
      </c>
      <c r="M432" s="0" t="str">
        <f aca="false">IF(A432="","",IF(NOT(ISNUMBER(L432)),"BELUM TUTUP",IF(L432=0,"Pas",IF(L432&gt;0,"Lebih","Kurang"))))</f>
        <v/>
      </c>
    </row>
    <row r="433" customFormat="false" ht="15" hidden="false" customHeight="false" outlineLevel="0" collapsed="false">
      <c r="G433" s="0" t="str">
        <f aca="false">IF(A433="","",SUMIFS('TRANSAKSI PENJUALAN'!$K$5:$K$504,'TRANSAKSI PENJUALAN'!$B$5:$B$504,B433,'TRANSAKSI PENJUALAN'!$E$5:$E$504,C433,'TRANSAKSI PENJUALAN'!$L$5:$L$504,"Tunai",'TRANSAKSI PENJUALAN'!$M$5:$M$504,"Lunas"))</f>
        <v/>
      </c>
      <c r="J433" s="0" t="str">
        <f aca="false">IF(A433="","",F433+G433+H433-I433)</f>
        <v/>
      </c>
      <c r="L433" s="0" t="str">
        <f aca="false">IF(A433="","",IF(NOT(ISNUMBER(K433)),"ISI KAS FISIK",K433-J433))</f>
        <v/>
      </c>
      <c r="M433" s="0" t="str">
        <f aca="false">IF(A433="","",IF(NOT(ISNUMBER(L433)),"BELUM TUTUP",IF(L433=0,"Pas",IF(L433&gt;0,"Lebih","Kurang"))))</f>
        <v/>
      </c>
    </row>
    <row r="434" customFormat="false" ht="15" hidden="false" customHeight="false" outlineLevel="0" collapsed="false">
      <c r="G434" s="0" t="str">
        <f aca="false">IF(A434="","",SUMIFS('TRANSAKSI PENJUALAN'!$K$5:$K$504,'TRANSAKSI PENJUALAN'!$B$5:$B$504,B434,'TRANSAKSI PENJUALAN'!$E$5:$E$504,C434,'TRANSAKSI PENJUALAN'!$L$5:$L$504,"Tunai",'TRANSAKSI PENJUALAN'!$M$5:$M$504,"Lunas"))</f>
        <v/>
      </c>
      <c r="J434" s="0" t="str">
        <f aca="false">IF(A434="","",F434+G434+H434-I434)</f>
        <v/>
      </c>
      <c r="L434" s="0" t="str">
        <f aca="false">IF(A434="","",IF(NOT(ISNUMBER(K434)),"ISI KAS FISIK",K434-J434))</f>
        <v/>
      </c>
      <c r="M434" s="0" t="str">
        <f aca="false">IF(A434="","",IF(NOT(ISNUMBER(L434)),"BELUM TUTUP",IF(L434=0,"Pas",IF(L434&gt;0,"Lebih","Kurang"))))</f>
        <v/>
      </c>
    </row>
    <row r="435" customFormat="false" ht="15" hidden="false" customHeight="false" outlineLevel="0" collapsed="false">
      <c r="G435" s="0" t="str">
        <f aca="false">IF(A435="","",SUMIFS('TRANSAKSI PENJUALAN'!$K$5:$K$504,'TRANSAKSI PENJUALAN'!$B$5:$B$504,B435,'TRANSAKSI PENJUALAN'!$E$5:$E$504,C435,'TRANSAKSI PENJUALAN'!$L$5:$L$504,"Tunai",'TRANSAKSI PENJUALAN'!$M$5:$M$504,"Lunas"))</f>
        <v/>
      </c>
      <c r="J435" s="0" t="str">
        <f aca="false">IF(A435="","",F435+G435+H435-I435)</f>
        <v/>
      </c>
      <c r="L435" s="0" t="str">
        <f aca="false">IF(A435="","",IF(NOT(ISNUMBER(K435)),"ISI KAS FISIK",K435-J435))</f>
        <v/>
      </c>
      <c r="M435" s="0" t="str">
        <f aca="false">IF(A435="","",IF(NOT(ISNUMBER(L435)),"BELUM TUTUP",IF(L435=0,"Pas",IF(L435&gt;0,"Lebih","Kurang"))))</f>
        <v/>
      </c>
    </row>
    <row r="436" customFormat="false" ht="15" hidden="false" customHeight="false" outlineLevel="0" collapsed="false">
      <c r="G436" s="0" t="str">
        <f aca="false">IF(A436="","",SUMIFS('TRANSAKSI PENJUALAN'!$K$5:$K$504,'TRANSAKSI PENJUALAN'!$B$5:$B$504,B436,'TRANSAKSI PENJUALAN'!$E$5:$E$504,C436,'TRANSAKSI PENJUALAN'!$L$5:$L$504,"Tunai",'TRANSAKSI PENJUALAN'!$M$5:$M$504,"Lunas"))</f>
        <v/>
      </c>
      <c r="J436" s="0" t="str">
        <f aca="false">IF(A436="","",F436+G436+H436-I436)</f>
        <v/>
      </c>
      <c r="L436" s="0" t="str">
        <f aca="false">IF(A436="","",IF(NOT(ISNUMBER(K436)),"ISI KAS FISIK",K436-J436))</f>
        <v/>
      </c>
      <c r="M436" s="0" t="str">
        <f aca="false">IF(A436="","",IF(NOT(ISNUMBER(L436)),"BELUM TUTUP",IF(L436=0,"Pas",IF(L436&gt;0,"Lebih","Kurang"))))</f>
        <v/>
      </c>
    </row>
    <row r="437" customFormat="false" ht="15" hidden="false" customHeight="false" outlineLevel="0" collapsed="false">
      <c r="G437" s="0" t="str">
        <f aca="false">IF(A437="","",SUMIFS('TRANSAKSI PENJUALAN'!$K$5:$K$504,'TRANSAKSI PENJUALAN'!$B$5:$B$504,B437,'TRANSAKSI PENJUALAN'!$E$5:$E$504,C437,'TRANSAKSI PENJUALAN'!$L$5:$L$504,"Tunai",'TRANSAKSI PENJUALAN'!$M$5:$M$504,"Lunas"))</f>
        <v/>
      </c>
      <c r="J437" s="0" t="str">
        <f aca="false">IF(A437="","",F437+G437+H437-I437)</f>
        <v/>
      </c>
      <c r="L437" s="0" t="str">
        <f aca="false">IF(A437="","",IF(NOT(ISNUMBER(K437)),"ISI KAS FISIK",K437-J437))</f>
        <v/>
      </c>
      <c r="M437" s="0" t="str">
        <f aca="false">IF(A437="","",IF(NOT(ISNUMBER(L437)),"BELUM TUTUP",IF(L437=0,"Pas",IF(L437&gt;0,"Lebih","Kurang"))))</f>
        <v/>
      </c>
    </row>
    <row r="438" customFormat="false" ht="15" hidden="false" customHeight="false" outlineLevel="0" collapsed="false">
      <c r="G438" s="0" t="str">
        <f aca="false">IF(A438="","",SUMIFS('TRANSAKSI PENJUALAN'!$K$5:$K$504,'TRANSAKSI PENJUALAN'!$B$5:$B$504,B438,'TRANSAKSI PENJUALAN'!$E$5:$E$504,C438,'TRANSAKSI PENJUALAN'!$L$5:$L$504,"Tunai",'TRANSAKSI PENJUALAN'!$M$5:$M$504,"Lunas"))</f>
        <v/>
      </c>
      <c r="J438" s="0" t="str">
        <f aca="false">IF(A438="","",F438+G438+H438-I438)</f>
        <v/>
      </c>
      <c r="L438" s="0" t="str">
        <f aca="false">IF(A438="","",IF(NOT(ISNUMBER(K438)),"ISI KAS FISIK",K438-J438))</f>
        <v/>
      </c>
      <c r="M438" s="0" t="str">
        <f aca="false">IF(A438="","",IF(NOT(ISNUMBER(L438)),"BELUM TUTUP",IF(L438=0,"Pas",IF(L438&gt;0,"Lebih","Kurang"))))</f>
        <v/>
      </c>
    </row>
    <row r="439" customFormat="false" ht="15" hidden="false" customHeight="false" outlineLevel="0" collapsed="false">
      <c r="G439" s="0" t="str">
        <f aca="false">IF(A439="","",SUMIFS('TRANSAKSI PENJUALAN'!$K$5:$K$504,'TRANSAKSI PENJUALAN'!$B$5:$B$504,B439,'TRANSAKSI PENJUALAN'!$E$5:$E$504,C439,'TRANSAKSI PENJUALAN'!$L$5:$L$504,"Tunai",'TRANSAKSI PENJUALAN'!$M$5:$M$504,"Lunas"))</f>
        <v/>
      </c>
      <c r="J439" s="0" t="str">
        <f aca="false">IF(A439="","",F439+G439+H439-I439)</f>
        <v/>
      </c>
      <c r="L439" s="0" t="str">
        <f aca="false">IF(A439="","",IF(NOT(ISNUMBER(K439)),"ISI KAS FISIK",K439-J439))</f>
        <v/>
      </c>
      <c r="M439" s="0" t="str">
        <f aca="false">IF(A439="","",IF(NOT(ISNUMBER(L439)),"BELUM TUTUP",IF(L439=0,"Pas",IF(L439&gt;0,"Lebih","Kurang"))))</f>
        <v/>
      </c>
    </row>
    <row r="440" customFormat="false" ht="15" hidden="false" customHeight="false" outlineLevel="0" collapsed="false">
      <c r="G440" s="0" t="str">
        <f aca="false">IF(A440="","",SUMIFS('TRANSAKSI PENJUALAN'!$K$5:$K$504,'TRANSAKSI PENJUALAN'!$B$5:$B$504,B440,'TRANSAKSI PENJUALAN'!$E$5:$E$504,C440,'TRANSAKSI PENJUALAN'!$L$5:$L$504,"Tunai",'TRANSAKSI PENJUALAN'!$M$5:$M$504,"Lunas"))</f>
        <v/>
      </c>
      <c r="J440" s="0" t="str">
        <f aca="false">IF(A440="","",F440+G440+H440-I440)</f>
        <v/>
      </c>
      <c r="L440" s="0" t="str">
        <f aca="false">IF(A440="","",IF(NOT(ISNUMBER(K440)),"ISI KAS FISIK",K440-J440))</f>
        <v/>
      </c>
      <c r="M440" s="0" t="str">
        <f aca="false">IF(A440="","",IF(NOT(ISNUMBER(L440)),"BELUM TUTUP",IF(L440=0,"Pas",IF(L440&gt;0,"Lebih","Kurang"))))</f>
        <v/>
      </c>
    </row>
    <row r="441" customFormat="false" ht="15" hidden="false" customHeight="false" outlineLevel="0" collapsed="false">
      <c r="G441" s="0" t="str">
        <f aca="false">IF(A441="","",SUMIFS('TRANSAKSI PENJUALAN'!$K$5:$K$504,'TRANSAKSI PENJUALAN'!$B$5:$B$504,B441,'TRANSAKSI PENJUALAN'!$E$5:$E$504,C441,'TRANSAKSI PENJUALAN'!$L$5:$L$504,"Tunai",'TRANSAKSI PENJUALAN'!$M$5:$M$504,"Lunas"))</f>
        <v/>
      </c>
      <c r="J441" s="0" t="str">
        <f aca="false">IF(A441="","",F441+G441+H441-I441)</f>
        <v/>
      </c>
      <c r="L441" s="0" t="str">
        <f aca="false">IF(A441="","",IF(NOT(ISNUMBER(K441)),"ISI KAS FISIK",K441-J441))</f>
        <v/>
      </c>
      <c r="M441" s="0" t="str">
        <f aca="false">IF(A441="","",IF(NOT(ISNUMBER(L441)),"BELUM TUTUP",IF(L441=0,"Pas",IF(L441&gt;0,"Lebih","Kurang"))))</f>
        <v/>
      </c>
    </row>
    <row r="442" customFormat="false" ht="15" hidden="false" customHeight="false" outlineLevel="0" collapsed="false">
      <c r="G442" s="0" t="str">
        <f aca="false">IF(A442="","",SUMIFS('TRANSAKSI PENJUALAN'!$K$5:$K$504,'TRANSAKSI PENJUALAN'!$B$5:$B$504,B442,'TRANSAKSI PENJUALAN'!$E$5:$E$504,C442,'TRANSAKSI PENJUALAN'!$L$5:$L$504,"Tunai",'TRANSAKSI PENJUALAN'!$M$5:$M$504,"Lunas"))</f>
        <v/>
      </c>
      <c r="J442" s="0" t="str">
        <f aca="false">IF(A442="","",F442+G442+H442-I442)</f>
        <v/>
      </c>
      <c r="L442" s="0" t="str">
        <f aca="false">IF(A442="","",IF(NOT(ISNUMBER(K442)),"ISI KAS FISIK",K442-J442))</f>
        <v/>
      </c>
      <c r="M442" s="0" t="str">
        <f aca="false">IF(A442="","",IF(NOT(ISNUMBER(L442)),"BELUM TUTUP",IF(L442=0,"Pas",IF(L442&gt;0,"Lebih","Kurang"))))</f>
        <v/>
      </c>
    </row>
    <row r="443" customFormat="false" ht="15" hidden="false" customHeight="false" outlineLevel="0" collapsed="false">
      <c r="G443" s="0" t="str">
        <f aca="false">IF(A443="","",SUMIFS('TRANSAKSI PENJUALAN'!$K$5:$K$504,'TRANSAKSI PENJUALAN'!$B$5:$B$504,B443,'TRANSAKSI PENJUALAN'!$E$5:$E$504,C443,'TRANSAKSI PENJUALAN'!$L$5:$L$504,"Tunai",'TRANSAKSI PENJUALAN'!$M$5:$M$504,"Lunas"))</f>
        <v/>
      </c>
      <c r="J443" s="0" t="str">
        <f aca="false">IF(A443="","",F443+G443+H443-I443)</f>
        <v/>
      </c>
      <c r="L443" s="0" t="str">
        <f aca="false">IF(A443="","",IF(NOT(ISNUMBER(K443)),"ISI KAS FISIK",K443-J443))</f>
        <v/>
      </c>
      <c r="M443" s="0" t="str">
        <f aca="false">IF(A443="","",IF(NOT(ISNUMBER(L443)),"BELUM TUTUP",IF(L443=0,"Pas",IF(L443&gt;0,"Lebih","Kurang"))))</f>
        <v/>
      </c>
    </row>
    <row r="444" customFormat="false" ht="15" hidden="false" customHeight="false" outlineLevel="0" collapsed="false">
      <c r="G444" s="0" t="str">
        <f aca="false">IF(A444="","",SUMIFS('TRANSAKSI PENJUALAN'!$K$5:$K$504,'TRANSAKSI PENJUALAN'!$B$5:$B$504,B444,'TRANSAKSI PENJUALAN'!$E$5:$E$504,C444,'TRANSAKSI PENJUALAN'!$L$5:$L$504,"Tunai",'TRANSAKSI PENJUALAN'!$M$5:$M$504,"Lunas"))</f>
        <v/>
      </c>
      <c r="J444" s="0" t="str">
        <f aca="false">IF(A444="","",F444+G444+H444-I444)</f>
        <v/>
      </c>
      <c r="L444" s="0" t="str">
        <f aca="false">IF(A444="","",IF(NOT(ISNUMBER(K444)),"ISI KAS FISIK",K444-J444))</f>
        <v/>
      </c>
      <c r="M444" s="0" t="str">
        <f aca="false">IF(A444="","",IF(NOT(ISNUMBER(L444)),"BELUM TUTUP",IF(L444=0,"Pas",IF(L444&gt;0,"Lebih","Kurang"))))</f>
        <v/>
      </c>
    </row>
    <row r="445" customFormat="false" ht="15" hidden="false" customHeight="false" outlineLevel="0" collapsed="false">
      <c r="G445" s="0" t="str">
        <f aca="false">IF(A445="","",SUMIFS('TRANSAKSI PENJUALAN'!$K$5:$K$504,'TRANSAKSI PENJUALAN'!$B$5:$B$504,B445,'TRANSAKSI PENJUALAN'!$E$5:$E$504,C445,'TRANSAKSI PENJUALAN'!$L$5:$L$504,"Tunai",'TRANSAKSI PENJUALAN'!$M$5:$M$504,"Lunas"))</f>
        <v/>
      </c>
      <c r="J445" s="0" t="str">
        <f aca="false">IF(A445="","",F445+G445+H445-I445)</f>
        <v/>
      </c>
      <c r="L445" s="0" t="str">
        <f aca="false">IF(A445="","",IF(NOT(ISNUMBER(K445)),"ISI KAS FISIK",K445-J445))</f>
        <v/>
      </c>
      <c r="M445" s="0" t="str">
        <f aca="false">IF(A445="","",IF(NOT(ISNUMBER(L445)),"BELUM TUTUP",IF(L445=0,"Pas",IF(L445&gt;0,"Lebih","Kurang"))))</f>
        <v/>
      </c>
    </row>
    <row r="446" customFormat="false" ht="15" hidden="false" customHeight="false" outlineLevel="0" collapsed="false">
      <c r="G446" s="0" t="str">
        <f aca="false">IF(A446="","",SUMIFS('TRANSAKSI PENJUALAN'!$K$5:$K$504,'TRANSAKSI PENJUALAN'!$B$5:$B$504,B446,'TRANSAKSI PENJUALAN'!$E$5:$E$504,C446,'TRANSAKSI PENJUALAN'!$L$5:$L$504,"Tunai",'TRANSAKSI PENJUALAN'!$M$5:$M$504,"Lunas"))</f>
        <v/>
      </c>
      <c r="J446" s="0" t="str">
        <f aca="false">IF(A446="","",F446+G446+H446-I446)</f>
        <v/>
      </c>
      <c r="L446" s="0" t="str">
        <f aca="false">IF(A446="","",IF(NOT(ISNUMBER(K446)),"ISI KAS FISIK",K446-J446))</f>
        <v/>
      </c>
      <c r="M446" s="0" t="str">
        <f aca="false">IF(A446="","",IF(NOT(ISNUMBER(L446)),"BELUM TUTUP",IF(L446=0,"Pas",IF(L446&gt;0,"Lebih","Kurang"))))</f>
        <v/>
      </c>
    </row>
    <row r="447" customFormat="false" ht="15" hidden="false" customHeight="false" outlineLevel="0" collapsed="false">
      <c r="G447" s="0" t="str">
        <f aca="false">IF(A447="","",SUMIFS('TRANSAKSI PENJUALAN'!$K$5:$K$504,'TRANSAKSI PENJUALAN'!$B$5:$B$504,B447,'TRANSAKSI PENJUALAN'!$E$5:$E$504,C447,'TRANSAKSI PENJUALAN'!$L$5:$L$504,"Tunai",'TRANSAKSI PENJUALAN'!$M$5:$M$504,"Lunas"))</f>
        <v/>
      </c>
      <c r="J447" s="0" t="str">
        <f aca="false">IF(A447="","",F447+G447+H447-I447)</f>
        <v/>
      </c>
      <c r="L447" s="0" t="str">
        <f aca="false">IF(A447="","",IF(NOT(ISNUMBER(K447)),"ISI KAS FISIK",K447-J447))</f>
        <v/>
      </c>
      <c r="M447" s="0" t="str">
        <f aca="false">IF(A447="","",IF(NOT(ISNUMBER(L447)),"BELUM TUTUP",IF(L447=0,"Pas",IF(L447&gt;0,"Lebih","Kurang"))))</f>
        <v/>
      </c>
    </row>
    <row r="448" customFormat="false" ht="15" hidden="false" customHeight="false" outlineLevel="0" collapsed="false">
      <c r="G448" s="0" t="str">
        <f aca="false">IF(A448="","",SUMIFS('TRANSAKSI PENJUALAN'!$K$5:$K$504,'TRANSAKSI PENJUALAN'!$B$5:$B$504,B448,'TRANSAKSI PENJUALAN'!$E$5:$E$504,C448,'TRANSAKSI PENJUALAN'!$L$5:$L$504,"Tunai",'TRANSAKSI PENJUALAN'!$M$5:$M$504,"Lunas"))</f>
        <v/>
      </c>
      <c r="J448" s="0" t="str">
        <f aca="false">IF(A448="","",F448+G448+H448-I448)</f>
        <v/>
      </c>
      <c r="L448" s="0" t="str">
        <f aca="false">IF(A448="","",IF(NOT(ISNUMBER(K448)),"ISI KAS FISIK",K448-J448))</f>
        <v/>
      </c>
      <c r="M448" s="0" t="str">
        <f aca="false">IF(A448="","",IF(NOT(ISNUMBER(L448)),"BELUM TUTUP",IF(L448=0,"Pas",IF(L448&gt;0,"Lebih","Kurang"))))</f>
        <v/>
      </c>
    </row>
    <row r="449" customFormat="false" ht="15" hidden="false" customHeight="false" outlineLevel="0" collapsed="false">
      <c r="G449" s="0" t="str">
        <f aca="false">IF(A449="","",SUMIFS('TRANSAKSI PENJUALAN'!$K$5:$K$504,'TRANSAKSI PENJUALAN'!$B$5:$B$504,B449,'TRANSAKSI PENJUALAN'!$E$5:$E$504,C449,'TRANSAKSI PENJUALAN'!$L$5:$L$504,"Tunai",'TRANSAKSI PENJUALAN'!$M$5:$M$504,"Lunas"))</f>
        <v/>
      </c>
      <c r="J449" s="0" t="str">
        <f aca="false">IF(A449="","",F449+G449+H449-I449)</f>
        <v/>
      </c>
      <c r="L449" s="0" t="str">
        <f aca="false">IF(A449="","",IF(NOT(ISNUMBER(K449)),"ISI KAS FISIK",K449-J449))</f>
        <v/>
      </c>
      <c r="M449" s="0" t="str">
        <f aca="false">IF(A449="","",IF(NOT(ISNUMBER(L449)),"BELUM TUTUP",IF(L449=0,"Pas",IF(L449&gt;0,"Lebih","Kurang"))))</f>
        <v/>
      </c>
    </row>
    <row r="450" customFormat="false" ht="15" hidden="false" customHeight="false" outlineLevel="0" collapsed="false">
      <c r="G450" s="0" t="str">
        <f aca="false">IF(A450="","",SUMIFS('TRANSAKSI PENJUALAN'!$K$5:$K$504,'TRANSAKSI PENJUALAN'!$B$5:$B$504,B450,'TRANSAKSI PENJUALAN'!$E$5:$E$504,C450,'TRANSAKSI PENJUALAN'!$L$5:$L$504,"Tunai",'TRANSAKSI PENJUALAN'!$M$5:$M$504,"Lunas"))</f>
        <v/>
      </c>
      <c r="J450" s="0" t="str">
        <f aca="false">IF(A450="","",F450+G450+H450-I450)</f>
        <v/>
      </c>
      <c r="L450" s="0" t="str">
        <f aca="false">IF(A450="","",IF(NOT(ISNUMBER(K450)),"ISI KAS FISIK",K450-J450))</f>
        <v/>
      </c>
      <c r="M450" s="0" t="str">
        <f aca="false">IF(A450="","",IF(NOT(ISNUMBER(L450)),"BELUM TUTUP",IF(L450=0,"Pas",IF(L450&gt;0,"Lebih","Kurang"))))</f>
        <v/>
      </c>
    </row>
    <row r="451" customFormat="false" ht="15" hidden="false" customHeight="false" outlineLevel="0" collapsed="false">
      <c r="G451" s="0" t="str">
        <f aca="false">IF(A451="","",SUMIFS('TRANSAKSI PENJUALAN'!$K$5:$K$504,'TRANSAKSI PENJUALAN'!$B$5:$B$504,B451,'TRANSAKSI PENJUALAN'!$E$5:$E$504,C451,'TRANSAKSI PENJUALAN'!$L$5:$L$504,"Tunai",'TRANSAKSI PENJUALAN'!$M$5:$M$504,"Lunas"))</f>
        <v/>
      </c>
      <c r="J451" s="0" t="str">
        <f aca="false">IF(A451="","",F451+G451+H451-I451)</f>
        <v/>
      </c>
      <c r="L451" s="0" t="str">
        <f aca="false">IF(A451="","",IF(NOT(ISNUMBER(K451)),"ISI KAS FISIK",K451-J451))</f>
        <v/>
      </c>
      <c r="M451" s="0" t="str">
        <f aca="false">IF(A451="","",IF(NOT(ISNUMBER(L451)),"BELUM TUTUP",IF(L451=0,"Pas",IF(L451&gt;0,"Lebih","Kurang"))))</f>
        <v/>
      </c>
    </row>
    <row r="452" customFormat="false" ht="15" hidden="false" customHeight="false" outlineLevel="0" collapsed="false">
      <c r="G452" s="0" t="str">
        <f aca="false">IF(A452="","",SUMIFS('TRANSAKSI PENJUALAN'!$K$5:$K$504,'TRANSAKSI PENJUALAN'!$B$5:$B$504,B452,'TRANSAKSI PENJUALAN'!$E$5:$E$504,C452,'TRANSAKSI PENJUALAN'!$L$5:$L$504,"Tunai",'TRANSAKSI PENJUALAN'!$M$5:$M$504,"Lunas"))</f>
        <v/>
      </c>
      <c r="J452" s="0" t="str">
        <f aca="false">IF(A452="","",F452+G452+H452-I452)</f>
        <v/>
      </c>
      <c r="L452" s="0" t="str">
        <f aca="false">IF(A452="","",IF(NOT(ISNUMBER(K452)),"ISI KAS FISIK",K452-J452))</f>
        <v/>
      </c>
      <c r="M452" s="0" t="str">
        <f aca="false">IF(A452="","",IF(NOT(ISNUMBER(L452)),"BELUM TUTUP",IF(L452=0,"Pas",IF(L452&gt;0,"Lebih","Kurang"))))</f>
        <v/>
      </c>
    </row>
    <row r="453" customFormat="false" ht="15" hidden="false" customHeight="false" outlineLevel="0" collapsed="false">
      <c r="G453" s="0" t="str">
        <f aca="false">IF(A453="","",SUMIFS('TRANSAKSI PENJUALAN'!$K$5:$K$504,'TRANSAKSI PENJUALAN'!$B$5:$B$504,B453,'TRANSAKSI PENJUALAN'!$E$5:$E$504,C453,'TRANSAKSI PENJUALAN'!$L$5:$L$504,"Tunai",'TRANSAKSI PENJUALAN'!$M$5:$M$504,"Lunas"))</f>
        <v/>
      </c>
      <c r="J453" s="0" t="str">
        <f aca="false">IF(A453="","",F453+G453+H453-I453)</f>
        <v/>
      </c>
      <c r="L453" s="0" t="str">
        <f aca="false">IF(A453="","",IF(NOT(ISNUMBER(K453)),"ISI KAS FISIK",K453-J453))</f>
        <v/>
      </c>
      <c r="M453" s="0" t="str">
        <f aca="false">IF(A453="","",IF(NOT(ISNUMBER(L453)),"BELUM TUTUP",IF(L453=0,"Pas",IF(L453&gt;0,"Lebih","Kurang"))))</f>
        <v/>
      </c>
    </row>
    <row r="454" customFormat="false" ht="15" hidden="false" customHeight="false" outlineLevel="0" collapsed="false">
      <c r="G454" s="0" t="str">
        <f aca="false">IF(A454="","",SUMIFS('TRANSAKSI PENJUALAN'!$K$5:$K$504,'TRANSAKSI PENJUALAN'!$B$5:$B$504,B454,'TRANSAKSI PENJUALAN'!$E$5:$E$504,C454,'TRANSAKSI PENJUALAN'!$L$5:$L$504,"Tunai",'TRANSAKSI PENJUALAN'!$M$5:$M$504,"Lunas"))</f>
        <v/>
      </c>
      <c r="J454" s="0" t="str">
        <f aca="false">IF(A454="","",F454+G454+H454-I454)</f>
        <v/>
      </c>
      <c r="L454" s="0" t="str">
        <f aca="false">IF(A454="","",IF(NOT(ISNUMBER(K454)),"ISI KAS FISIK",K454-J454))</f>
        <v/>
      </c>
      <c r="M454" s="0" t="str">
        <f aca="false">IF(A454="","",IF(NOT(ISNUMBER(L454)),"BELUM TUTUP",IF(L454=0,"Pas",IF(L454&gt;0,"Lebih","Kurang"))))</f>
        <v/>
      </c>
    </row>
    <row r="455" customFormat="false" ht="15" hidden="false" customHeight="false" outlineLevel="0" collapsed="false">
      <c r="G455" s="0" t="str">
        <f aca="false">IF(A455="","",SUMIFS('TRANSAKSI PENJUALAN'!$K$5:$K$504,'TRANSAKSI PENJUALAN'!$B$5:$B$504,B455,'TRANSAKSI PENJUALAN'!$E$5:$E$504,C455,'TRANSAKSI PENJUALAN'!$L$5:$L$504,"Tunai",'TRANSAKSI PENJUALAN'!$M$5:$M$504,"Lunas"))</f>
        <v/>
      </c>
      <c r="J455" s="0" t="str">
        <f aca="false">IF(A455="","",F455+G455+H455-I455)</f>
        <v/>
      </c>
      <c r="L455" s="0" t="str">
        <f aca="false">IF(A455="","",IF(NOT(ISNUMBER(K455)),"ISI KAS FISIK",K455-J455))</f>
        <v/>
      </c>
      <c r="M455" s="0" t="str">
        <f aca="false">IF(A455="","",IF(NOT(ISNUMBER(L455)),"BELUM TUTUP",IF(L455=0,"Pas",IF(L455&gt;0,"Lebih","Kurang"))))</f>
        <v/>
      </c>
    </row>
    <row r="456" customFormat="false" ht="15" hidden="false" customHeight="false" outlineLevel="0" collapsed="false">
      <c r="G456" s="0" t="str">
        <f aca="false">IF(A456="","",SUMIFS('TRANSAKSI PENJUALAN'!$K$5:$K$504,'TRANSAKSI PENJUALAN'!$B$5:$B$504,B456,'TRANSAKSI PENJUALAN'!$E$5:$E$504,C456,'TRANSAKSI PENJUALAN'!$L$5:$L$504,"Tunai",'TRANSAKSI PENJUALAN'!$M$5:$M$504,"Lunas"))</f>
        <v/>
      </c>
      <c r="J456" s="0" t="str">
        <f aca="false">IF(A456="","",F456+G456+H456-I456)</f>
        <v/>
      </c>
      <c r="L456" s="0" t="str">
        <f aca="false">IF(A456="","",IF(NOT(ISNUMBER(K456)),"ISI KAS FISIK",K456-J456))</f>
        <v/>
      </c>
      <c r="M456" s="0" t="str">
        <f aca="false">IF(A456="","",IF(NOT(ISNUMBER(L456)),"BELUM TUTUP",IF(L456=0,"Pas",IF(L456&gt;0,"Lebih","Kurang"))))</f>
        <v/>
      </c>
    </row>
    <row r="457" customFormat="false" ht="15" hidden="false" customHeight="false" outlineLevel="0" collapsed="false">
      <c r="G457" s="0" t="str">
        <f aca="false">IF(A457="","",SUMIFS('TRANSAKSI PENJUALAN'!$K$5:$K$504,'TRANSAKSI PENJUALAN'!$B$5:$B$504,B457,'TRANSAKSI PENJUALAN'!$E$5:$E$504,C457,'TRANSAKSI PENJUALAN'!$L$5:$L$504,"Tunai",'TRANSAKSI PENJUALAN'!$M$5:$M$504,"Lunas"))</f>
        <v/>
      </c>
      <c r="J457" s="0" t="str">
        <f aca="false">IF(A457="","",F457+G457+H457-I457)</f>
        <v/>
      </c>
      <c r="L457" s="0" t="str">
        <f aca="false">IF(A457="","",IF(NOT(ISNUMBER(K457)),"ISI KAS FISIK",K457-J457))</f>
        <v/>
      </c>
      <c r="M457" s="0" t="str">
        <f aca="false">IF(A457="","",IF(NOT(ISNUMBER(L457)),"BELUM TUTUP",IF(L457=0,"Pas",IF(L457&gt;0,"Lebih","Kurang"))))</f>
        <v/>
      </c>
    </row>
    <row r="458" customFormat="false" ht="15" hidden="false" customHeight="false" outlineLevel="0" collapsed="false">
      <c r="G458" s="0" t="str">
        <f aca="false">IF(A458="","",SUMIFS('TRANSAKSI PENJUALAN'!$K$5:$K$504,'TRANSAKSI PENJUALAN'!$B$5:$B$504,B458,'TRANSAKSI PENJUALAN'!$E$5:$E$504,C458,'TRANSAKSI PENJUALAN'!$L$5:$L$504,"Tunai",'TRANSAKSI PENJUALAN'!$M$5:$M$504,"Lunas"))</f>
        <v/>
      </c>
      <c r="J458" s="0" t="str">
        <f aca="false">IF(A458="","",F458+G458+H458-I458)</f>
        <v/>
      </c>
      <c r="L458" s="0" t="str">
        <f aca="false">IF(A458="","",IF(NOT(ISNUMBER(K458)),"ISI KAS FISIK",K458-J458))</f>
        <v/>
      </c>
      <c r="M458" s="0" t="str">
        <f aca="false">IF(A458="","",IF(NOT(ISNUMBER(L458)),"BELUM TUTUP",IF(L458=0,"Pas",IF(L458&gt;0,"Lebih","Kurang"))))</f>
        <v/>
      </c>
    </row>
    <row r="459" customFormat="false" ht="15" hidden="false" customHeight="false" outlineLevel="0" collapsed="false">
      <c r="G459" s="0" t="str">
        <f aca="false">IF(A459="","",SUMIFS('TRANSAKSI PENJUALAN'!$K$5:$K$504,'TRANSAKSI PENJUALAN'!$B$5:$B$504,B459,'TRANSAKSI PENJUALAN'!$E$5:$E$504,C459,'TRANSAKSI PENJUALAN'!$L$5:$L$504,"Tunai",'TRANSAKSI PENJUALAN'!$M$5:$M$504,"Lunas"))</f>
        <v/>
      </c>
      <c r="J459" s="0" t="str">
        <f aca="false">IF(A459="","",F459+G459+H459-I459)</f>
        <v/>
      </c>
      <c r="L459" s="0" t="str">
        <f aca="false">IF(A459="","",IF(NOT(ISNUMBER(K459)),"ISI KAS FISIK",K459-J459))</f>
        <v/>
      </c>
      <c r="M459" s="0" t="str">
        <f aca="false">IF(A459="","",IF(NOT(ISNUMBER(L459)),"BELUM TUTUP",IF(L459=0,"Pas",IF(L459&gt;0,"Lebih","Kurang"))))</f>
        <v/>
      </c>
    </row>
    <row r="460" customFormat="false" ht="15" hidden="false" customHeight="false" outlineLevel="0" collapsed="false">
      <c r="G460" s="0" t="str">
        <f aca="false">IF(A460="","",SUMIFS('TRANSAKSI PENJUALAN'!$K$5:$K$504,'TRANSAKSI PENJUALAN'!$B$5:$B$504,B460,'TRANSAKSI PENJUALAN'!$E$5:$E$504,C460,'TRANSAKSI PENJUALAN'!$L$5:$L$504,"Tunai",'TRANSAKSI PENJUALAN'!$M$5:$M$504,"Lunas"))</f>
        <v/>
      </c>
      <c r="J460" s="0" t="str">
        <f aca="false">IF(A460="","",F460+G460+H460-I460)</f>
        <v/>
      </c>
      <c r="L460" s="0" t="str">
        <f aca="false">IF(A460="","",IF(NOT(ISNUMBER(K460)),"ISI KAS FISIK",K460-J460))</f>
        <v/>
      </c>
      <c r="M460" s="0" t="str">
        <f aca="false">IF(A460="","",IF(NOT(ISNUMBER(L460)),"BELUM TUTUP",IF(L460=0,"Pas",IF(L460&gt;0,"Lebih","Kurang"))))</f>
        <v/>
      </c>
    </row>
    <row r="461" customFormat="false" ht="15" hidden="false" customHeight="false" outlineLevel="0" collapsed="false">
      <c r="G461" s="0" t="str">
        <f aca="false">IF(A461="","",SUMIFS('TRANSAKSI PENJUALAN'!$K$5:$K$504,'TRANSAKSI PENJUALAN'!$B$5:$B$504,B461,'TRANSAKSI PENJUALAN'!$E$5:$E$504,C461,'TRANSAKSI PENJUALAN'!$L$5:$L$504,"Tunai",'TRANSAKSI PENJUALAN'!$M$5:$M$504,"Lunas"))</f>
        <v/>
      </c>
      <c r="J461" s="0" t="str">
        <f aca="false">IF(A461="","",F461+G461+H461-I461)</f>
        <v/>
      </c>
      <c r="L461" s="0" t="str">
        <f aca="false">IF(A461="","",IF(NOT(ISNUMBER(K461)),"ISI KAS FISIK",K461-J461))</f>
        <v/>
      </c>
      <c r="M461" s="0" t="str">
        <f aca="false">IF(A461="","",IF(NOT(ISNUMBER(L461)),"BELUM TUTUP",IF(L461=0,"Pas",IF(L461&gt;0,"Lebih","Kurang"))))</f>
        <v/>
      </c>
    </row>
    <row r="462" customFormat="false" ht="15" hidden="false" customHeight="false" outlineLevel="0" collapsed="false">
      <c r="G462" s="0" t="str">
        <f aca="false">IF(A462="","",SUMIFS('TRANSAKSI PENJUALAN'!$K$5:$K$504,'TRANSAKSI PENJUALAN'!$B$5:$B$504,B462,'TRANSAKSI PENJUALAN'!$E$5:$E$504,C462,'TRANSAKSI PENJUALAN'!$L$5:$L$504,"Tunai",'TRANSAKSI PENJUALAN'!$M$5:$M$504,"Lunas"))</f>
        <v/>
      </c>
      <c r="J462" s="0" t="str">
        <f aca="false">IF(A462="","",F462+G462+H462-I462)</f>
        <v/>
      </c>
      <c r="L462" s="0" t="str">
        <f aca="false">IF(A462="","",IF(NOT(ISNUMBER(K462)),"ISI KAS FISIK",K462-J462))</f>
        <v/>
      </c>
      <c r="M462" s="0" t="str">
        <f aca="false">IF(A462="","",IF(NOT(ISNUMBER(L462)),"BELUM TUTUP",IF(L462=0,"Pas",IF(L462&gt;0,"Lebih","Kurang"))))</f>
        <v/>
      </c>
    </row>
    <row r="463" customFormat="false" ht="15" hidden="false" customHeight="false" outlineLevel="0" collapsed="false">
      <c r="G463" s="0" t="str">
        <f aca="false">IF(A463="","",SUMIFS('TRANSAKSI PENJUALAN'!$K$5:$K$504,'TRANSAKSI PENJUALAN'!$B$5:$B$504,B463,'TRANSAKSI PENJUALAN'!$E$5:$E$504,C463,'TRANSAKSI PENJUALAN'!$L$5:$L$504,"Tunai",'TRANSAKSI PENJUALAN'!$M$5:$M$504,"Lunas"))</f>
        <v/>
      </c>
      <c r="J463" s="0" t="str">
        <f aca="false">IF(A463="","",F463+G463+H463-I463)</f>
        <v/>
      </c>
      <c r="L463" s="0" t="str">
        <f aca="false">IF(A463="","",IF(NOT(ISNUMBER(K463)),"ISI KAS FISIK",K463-J463))</f>
        <v/>
      </c>
      <c r="M463" s="0" t="str">
        <f aca="false">IF(A463="","",IF(NOT(ISNUMBER(L463)),"BELUM TUTUP",IF(L463=0,"Pas",IF(L463&gt;0,"Lebih","Kurang"))))</f>
        <v/>
      </c>
    </row>
    <row r="464" customFormat="false" ht="15" hidden="false" customHeight="false" outlineLevel="0" collapsed="false">
      <c r="G464" s="0" t="str">
        <f aca="false">IF(A464="","",SUMIFS('TRANSAKSI PENJUALAN'!$K$5:$K$504,'TRANSAKSI PENJUALAN'!$B$5:$B$504,B464,'TRANSAKSI PENJUALAN'!$E$5:$E$504,C464,'TRANSAKSI PENJUALAN'!$L$5:$L$504,"Tunai",'TRANSAKSI PENJUALAN'!$M$5:$M$504,"Lunas"))</f>
        <v/>
      </c>
      <c r="J464" s="0" t="str">
        <f aca="false">IF(A464="","",F464+G464+H464-I464)</f>
        <v/>
      </c>
      <c r="L464" s="0" t="str">
        <f aca="false">IF(A464="","",IF(NOT(ISNUMBER(K464)),"ISI KAS FISIK",K464-J464))</f>
        <v/>
      </c>
      <c r="M464" s="0" t="str">
        <f aca="false">IF(A464="","",IF(NOT(ISNUMBER(L464)),"BELUM TUTUP",IF(L464=0,"Pas",IF(L464&gt;0,"Lebih","Kurang"))))</f>
        <v/>
      </c>
    </row>
    <row r="465" customFormat="false" ht="15" hidden="false" customHeight="false" outlineLevel="0" collapsed="false">
      <c r="G465" s="0" t="str">
        <f aca="false">IF(A465="","",SUMIFS('TRANSAKSI PENJUALAN'!$K$5:$K$504,'TRANSAKSI PENJUALAN'!$B$5:$B$504,B465,'TRANSAKSI PENJUALAN'!$E$5:$E$504,C465,'TRANSAKSI PENJUALAN'!$L$5:$L$504,"Tunai",'TRANSAKSI PENJUALAN'!$M$5:$M$504,"Lunas"))</f>
        <v/>
      </c>
      <c r="J465" s="0" t="str">
        <f aca="false">IF(A465="","",F465+G465+H465-I465)</f>
        <v/>
      </c>
      <c r="L465" s="0" t="str">
        <f aca="false">IF(A465="","",IF(NOT(ISNUMBER(K465)),"ISI KAS FISIK",K465-J465))</f>
        <v/>
      </c>
      <c r="M465" s="0" t="str">
        <f aca="false">IF(A465="","",IF(NOT(ISNUMBER(L465)),"BELUM TUTUP",IF(L465=0,"Pas",IF(L465&gt;0,"Lebih","Kurang"))))</f>
        <v/>
      </c>
    </row>
    <row r="466" customFormat="false" ht="15" hidden="false" customHeight="false" outlineLevel="0" collapsed="false">
      <c r="G466" s="0" t="str">
        <f aca="false">IF(A466="","",SUMIFS('TRANSAKSI PENJUALAN'!$K$5:$K$504,'TRANSAKSI PENJUALAN'!$B$5:$B$504,B466,'TRANSAKSI PENJUALAN'!$E$5:$E$504,C466,'TRANSAKSI PENJUALAN'!$L$5:$L$504,"Tunai",'TRANSAKSI PENJUALAN'!$M$5:$M$504,"Lunas"))</f>
        <v/>
      </c>
      <c r="J466" s="0" t="str">
        <f aca="false">IF(A466="","",F466+G466+H466-I466)</f>
        <v/>
      </c>
      <c r="L466" s="0" t="str">
        <f aca="false">IF(A466="","",IF(NOT(ISNUMBER(K466)),"ISI KAS FISIK",K466-J466))</f>
        <v/>
      </c>
      <c r="M466" s="0" t="str">
        <f aca="false">IF(A466="","",IF(NOT(ISNUMBER(L466)),"BELUM TUTUP",IF(L466=0,"Pas",IF(L466&gt;0,"Lebih","Kurang"))))</f>
        <v/>
      </c>
    </row>
    <row r="467" customFormat="false" ht="15" hidden="false" customHeight="false" outlineLevel="0" collapsed="false">
      <c r="G467" s="0" t="str">
        <f aca="false">IF(A467="","",SUMIFS('TRANSAKSI PENJUALAN'!$K$5:$K$504,'TRANSAKSI PENJUALAN'!$B$5:$B$504,B467,'TRANSAKSI PENJUALAN'!$E$5:$E$504,C467,'TRANSAKSI PENJUALAN'!$L$5:$L$504,"Tunai",'TRANSAKSI PENJUALAN'!$M$5:$M$504,"Lunas"))</f>
        <v/>
      </c>
      <c r="J467" s="0" t="str">
        <f aca="false">IF(A467="","",F467+G467+H467-I467)</f>
        <v/>
      </c>
      <c r="L467" s="0" t="str">
        <f aca="false">IF(A467="","",IF(NOT(ISNUMBER(K467)),"ISI KAS FISIK",K467-J467))</f>
        <v/>
      </c>
      <c r="M467" s="0" t="str">
        <f aca="false">IF(A467="","",IF(NOT(ISNUMBER(L467)),"BELUM TUTUP",IF(L467=0,"Pas",IF(L467&gt;0,"Lebih","Kurang"))))</f>
        <v/>
      </c>
    </row>
    <row r="468" customFormat="false" ht="15" hidden="false" customHeight="false" outlineLevel="0" collapsed="false">
      <c r="G468" s="0" t="str">
        <f aca="false">IF(A468="","",SUMIFS('TRANSAKSI PENJUALAN'!$K$5:$K$504,'TRANSAKSI PENJUALAN'!$B$5:$B$504,B468,'TRANSAKSI PENJUALAN'!$E$5:$E$504,C468,'TRANSAKSI PENJUALAN'!$L$5:$L$504,"Tunai",'TRANSAKSI PENJUALAN'!$M$5:$M$504,"Lunas"))</f>
        <v/>
      </c>
      <c r="J468" s="0" t="str">
        <f aca="false">IF(A468="","",F468+G468+H468-I468)</f>
        <v/>
      </c>
      <c r="L468" s="0" t="str">
        <f aca="false">IF(A468="","",IF(NOT(ISNUMBER(K468)),"ISI KAS FISIK",K468-J468))</f>
        <v/>
      </c>
      <c r="M468" s="0" t="str">
        <f aca="false">IF(A468="","",IF(NOT(ISNUMBER(L468)),"BELUM TUTUP",IF(L468=0,"Pas",IF(L468&gt;0,"Lebih","Kurang"))))</f>
        <v/>
      </c>
    </row>
    <row r="469" customFormat="false" ht="15" hidden="false" customHeight="false" outlineLevel="0" collapsed="false">
      <c r="G469" s="0" t="str">
        <f aca="false">IF(A469="","",SUMIFS('TRANSAKSI PENJUALAN'!$K$5:$K$504,'TRANSAKSI PENJUALAN'!$B$5:$B$504,B469,'TRANSAKSI PENJUALAN'!$E$5:$E$504,C469,'TRANSAKSI PENJUALAN'!$L$5:$L$504,"Tunai",'TRANSAKSI PENJUALAN'!$M$5:$M$504,"Lunas"))</f>
        <v/>
      </c>
      <c r="J469" s="0" t="str">
        <f aca="false">IF(A469="","",F469+G469+H469-I469)</f>
        <v/>
      </c>
      <c r="L469" s="0" t="str">
        <f aca="false">IF(A469="","",IF(NOT(ISNUMBER(K469)),"ISI KAS FISIK",K469-J469))</f>
        <v/>
      </c>
      <c r="M469" s="0" t="str">
        <f aca="false">IF(A469="","",IF(NOT(ISNUMBER(L469)),"BELUM TUTUP",IF(L469=0,"Pas",IF(L469&gt;0,"Lebih","Kurang"))))</f>
        <v/>
      </c>
    </row>
    <row r="470" customFormat="false" ht="15" hidden="false" customHeight="false" outlineLevel="0" collapsed="false">
      <c r="G470" s="0" t="str">
        <f aca="false">IF(A470="","",SUMIFS('TRANSAKSI PENJUALAN'!$K$5:$K$504,'TRANSAKSI PENJUALAN'!$B$5:$B$504,B470,'TRANSAKSI PENJUALAN'!$E$5:$E$504,C470,'TRANSAKSI PENJUALAN'!$L$5:$L$504,"Tunai",'TRANSAKSI PENJUALAN'!$M$5:$M$504,"Lunas"))</f>
        <v/>
      </c>
      <c r="J470" s="0" t="str">
        <f aca="false">IF(A470="","",F470+G470+H470-I470)</f>
        <v/>
      </c>
      <c r="L470" s="0" t="str">
        <f aca="false">IF(A470="","",IF(NOT(ISNUMBER(K470)),"ISI KAS FISIK",K470-J470))</f>
        <v/>
      </c>
      <c r="M470" s="0" t="str">
        <f aca="false">IF(A470="","",IF(NOT(ISNUMBER(L470)),"BELUM TUTUP",IF(L470=0,"Pas",IF(L470&gt;0,"Lebih","Kurang"))))</f>
        <v/>
      </c>
    </row>
    <row r="471" customFormat="false" ht="15" hidden="false" customHeight="false" outlineLevel="0" collapsed="false">
      <c r="G471" s="0" t="str">
        <f aca="false">IF(A471="","",SUMIFS('TRANSAKSI PENJUALAN'!$K$5:$K$504,'TRANSAKSI PENJUALAN'!$B$5:$B$504,B471,'TRANSAKSI PENJUALAN'!$E$5:$E$504,C471,'TRANSAKSI PENJUALAN'!$L$5:$L$504,"Tunai",'TRANSAKSI PENJUALAN'!$M$5:$M$504,"Lunas"))</f>
        <v/>
      </c>
      <c r="J471" s="0" t="str">
        <f aca="false">IF(A471="","",F471+G471+H471-I471)</f>
        <v/>
      </c>
      <c r="L471" s="0" t="str">
        <f aca="false">IF(A471="","",IF(NOT(ISNUMBER(K471)),"ISI KAS FISIK",K471-J471))</f>
        <v/>
      </c>
      <c r="M471" s="0" t="str">
        <f aca="false">IF(A471="","",IF(NOT(ISNUMBER(L471)),"BELUM TUTUP",IF(L471=0,"Pas",IF(L471&gt;0,"Lebih","Kurang"))))</f>
        <v/>
      </c>
    </row>
    <row r="472" customFormat="false" ht="15" hidden="false" customHeight="false" outlineLevel="0" collapsed="false">
      <c r="G472" s="0" t="str">
        <f aca="false">IF(A472="","",SUMIFS('TRANSAKSI PENJUALAN'!$K$5:$K$504,'TRANSAKSI PENJUALAN'!$B$5:$B$504,B472,'TRANSAKSI PENJUALAN'!$E$5:$E$504,C472,'TRANSAKSI PENJUALAN'!$L$5:$L$504,"Tunai",'TRANSAKSI PENJUALAN'!$M$5:$M$504,"Lunas"))</f>
        <v/>
      </c>
      <c r="J472" s="0" t="str">
        <f aca="false">IF(A472="","",F472+G472+H472-I472)</f>
        <v/>
      </c>
      <c r="L472" s="0" t="str">
        <f aca="false">IF(A472="","",IF(NOT(ISNUMBER(K472)),"ISI KAS FISIK",K472-J472))</f>
        <v/>
      </c>
      <c r="M472" s="0" t="str">
        <f aca="false">IF(A472="","",IF(NOT(ISNUMBER(L472)),"BELUM TUTUP",IF(L472=0,"Pas",IF(L472&gt;0,"Lebih","Kurang"))))</f>
        <v/>
      </c>
    </row>
    <row r="473" customFormat="false" ht="15" hidden="false" customHeight="false" outlineLevel="0" collapsed="false">
      <c r="G473" s="0" t="str">
        <f aca="false">IF(A473="","",SUMIFS('TRANSAKSI PENJUALAN'!$K$5:$K$504,'TRANSAKSI PENJUALAN'!$B$5:$B$504,B473,'TRANSAKSI PENJUALAN'!$E$5:$E$504,C473,'TRANSAKSI PENJUALAN'!$L$5:$L$504,"Tunai",'TRANSAKSI PENJUALAN'!$M$5:$M$504,"Lunas"))</f>
        <v/>
      </c>
      <c r="J473" s="0" t="str">
        <f aca="false">IF(A473="","",F473+G473+H473-I473)</f>
        <v/>
      </c>
      <c r="L473" s="0" t="str">
        <f aca="false">IF(A473="","",IF(NOT(ISNUMBER(K473)),"ISI KAS FISIK",K473-J473))</f>
        <v/>
      </c>
      <c r="M473" s="0" t="str">
        <f aca="false">IF(A473="","",IF(NOT(ISNUMBER(L473)),"BELUM TUTUP",IF(L473=0,"Pas",IF(L473&gt;0,"Lebih","Kurang"))))</f>
        <v/>
      </c>
    </row>
    <row r="474" customFormat="false" ht="15" hidden="false" customHeight="false" outlineLevel="0" collapsed="false">
      <c r="G474" s="0" t="str">
        <f aca="false">IF(A474="","",SUMIFS('TRANSAKSI PENJUALAN'!$K$5:$K$504,'TRANSAKSI PENJUALAN'!$B$5:$B$504,B474,'TRANSAKSI PENJUALAN'!$E$5:$E$504,C474,'TRANSAKSI PENJUALAN'!$L$5:$L$504,"Tunai",'TRANSAKSI PENJUALAN'!$M$5:$M$504,"Lunas"))</f>
        <v/>
      </c>
      <c r="J474" s="0" t="str">
        <f aca="false">IF(A474="","",F474+G474+H474-I474)</f>
        <v/>
      </c>
      <c r="L474" s="0" t="str">
        <f aca="false">IF(A474="","",IF(NOT(ISNUMBER(K474)),"ISI KAS FISIK",K474-J474))</f>
        <v/>
      </c>
      <c r="M474" s="0" t="str">
        <f aca="false">IF(A474="","",IF(NOT(ISNUMBER(L474)),"BELUM TUTUP",IF(L474=0,"Pas",IF(L474&gt;0,"Lebih","Kurang"))))</f>
        <v/>
      </c>
    </row>
    <row r="475" customFormat="false" ht="15" hidden="false" customHeight="false" outlineLevel="0" collapsed="false">
      <c r="G475" s="0" t="str">
        <f aca="false">IF(A475="","",SUMIFS('TRANSAKSI PENJUALAN'!$K$5:$K$504,'TRANSAKSI PENJUALAN'!$B$5:$B$504,B475,'TRANSAKSI PENJUALAN'!$E$5:$E$504,C475,'TRANSAKSI PENJUALAN'!$L$5:$L$504,"Tunai",'TRANSAKSI PENJUALAN'!$M$5:$M$504,"Lunas"))</f>
        <v/>
      </c>
      <c r="J475" s="0" t="str">
        <f aca="false">IF(A475="","",F475+G475+H475-I475)</f>
        <v/>
      </c>
      <c r="L475" s="0" t="str">
        <f aca="false">IF(A475="","",IF(NOT(ISNUMBER(K475)),"ISI KAS FISIK",K475-J475))</f>
        <v/>
      </c>
      <c r="M475" s="0" t="str">
        <f aca="false">IF(A475="","",IF(NOT(ISNUMBER(L475)),"BELUM TUTUP",IF(L475=0,"Pas",IF(L475&gt;0,"Lebih","Kurang"))))</f>
        <v/>
      </c>
    </row>
    <row r="476" customFormat="false" ht="15" hidden="false" customHeight="false" outlineLevel="0" collapsed="false">
      <c r="G476" s="0" t="str">
        <f aca="false">IF(A476="","",SUMIFS('TRANSAKSI PENJUALAN'!$K$5:$K$504,'TRANSAKSI PENJUALAN'!$B$5:$B$504,B476,'TRANSAKSI PENJUALAN'!$E$5:$E$504,C476,'TRANSAKSI PENJUALAN'!$L$5:$L$504,"Tunai",'TRANSAKSI PENJUALAN'!$M$5:$M$504,"Lunas"))</f>
        <v/>
      </c>
      <c r="J476" s="0" t="str">
        <f aca="false">IF(A476="","",F476+G476+H476-I476)</f>
        <v/>
      </c>
      <c r="L476" s="0" t="str">
        <f aca="false">IF(A476="","",IF(NOT(ISNUMBER(K476)),"ISI KAS FISIK",K476-J476))</f>
        <v/>
      </c>
      <c r="M476" s="0" t="str">
        <f aca="false">IF(A476="","",IF(NOT(ISNUMBER(L476)),"BELUM TUTUP",IF(L476=0,"Pas",IF(L476&gt;0,"Lebih","Kurang"))))</f>
        <v/>
      </c>
    </row>
    <row r="477" customFormat="false" ht="15" hidden="false" customHeight="false" outlineLevel="0" collapsed="false">
      <c r="G477" s="0" t="str">
        <f aca="false">IF(A477="","",SUMIFS('TRANSAKSI PENJUALAN'!$K$5:$K$504,'TRANSAKSI PENJUALAN'!$B$5:$B$504,B477,'TRANSAKSI PENJUALAN'!$E$5:$E$504,C477,'TRANSAKSI PENJUALAN'!$L$5:$L$504,"Tunai",'TRANSAKSI PENJUALAN'!$M$5:$M$504,"Lunas"))</f>
        <v/>
      </c>
      <c r="J477" s="0" t="str">
        <f aca="false">IF(A477="","",F477+G477+H477-I477)</f>
        <v/>
      </c>
      <c r="L477" s="0" t="str">
        <f aca="false">IF(A477="","",IF(NOT(ISNUMBER(K477)),"ISI KAS FISIK",K477-J477))</f>
        <v/>
      </c>
      <c r="M477" s="0" t="str">
        <f aca="false">IF(A477="","",IF(NOT(ISNUMBER(L477)),"BELUM TUTUP",IF(L477=0,"Pas",IF(L477&gt;0,"Lebih","Kurang"))))</f>
        <v/>
      </c>
    </row>
    <row r="478" customFormat="false" ht="15" hidden="false" customHeight="false" outlineLevel="0" collapsed="false">
      <c r="G478" s="0" t="str">
        <f aca="false">IF(A478="","",SUMIFS('TRANSAKSI PENJUALAN'!$K$5:$K$504,'TRANSAKSI PENJUALAN'!$B$5:$B$504,B478,'TRANSAKSI PENJUALAN'!$E$5:$E$504,C478,'TRANSAKSI PENJUALAN'!$L$5:$L$504,"Tunai",'TRANSAKSI PENJUALAN'!$M$5:$M$504,"Lunas"))</f>
        <v/>
      </c>
      <c r="J478" s="0" t="str">
        <f aca="false">IF(A478="","",F478+G478+H478-I478)</f>
        <v/>
      </c>
      <c r="L478" s="0" t="str">
        <f aca="false">IF(A478="","",IF(NOT(ISNUMBER(K478)),"ISI KAS FISIK",K478-J478))</f>
        <v/>
      </c>
      <c r="M478" s="0" t="str">
        <f aca="false">IF(A478="","",IF(NOT(ISNUMBER(L478)),"BELUM TUTUP",IF(L478=0,"Pas",IF(L478&gt;0,"Lebih","Kurang"))))</f>
        <v/>
      </c>
    </row>
    <row r="479" customFormat="false" ht="15" hidden="false" customHeight="false" outlineLevel="0" collapsed="false">
      <c r="G479" s="0" t="str">
        <f aca="false">IF(A479="","",SUMIFS('TRANSAKSI PENJUALAN'!$K$5:$K$504,'TRANSAKSI PENJUALAN'!$B$5:$B$504,B479,'TRANSAKSI PENJUALAN'!$E$5:$E$504,C479,'TRANSAKSI PENJUALAN'!$L$5:$L$504,"Tunai",'TRANSAKSI PENJUALAN'!$M$5:$M$504,"Lunas"))</f>
        <v/>
      </c>
      <c r="J479" s="0" t="str">
        <f aca="false">IF(A479="","",F479+G479+H479-I479)</f>
        <v/>
      </c>
      <c r="L479" s="0" t="str">
        <f aca="false">IF(A479="","",IF(NOT(ISNUMBER(K479)),"ISI KAS FISIK",K479-J479))</f>
        <v/>
      </c>
      <c r="M479" s="0" t="str">
        <f aca="false">IF(A479="","",IF(NOT(ISNUMBER(L479)),"BELUM TUTUP",IF(L479=0,"Pas",IF(L479&gt;0,"Lebih","Kurang"))))</f>
        <v/>
      </c>
    </row>
    <row r="480" customFormat="false" ht="15" hidden="false" customHeight="false" outlineLevel="0" collapsed="false">
      <c r="G480" s="0" t="str">
        <f aca="false">IF(A480="","",SUMIFS('TRANSAKSI PENJUALAN'!$K$5:$K$504,'TRANSAKSI PENJUALAN'!$B$5:$B$504,B480,'TRANSAKSI PENJUALAN'!$E$5:$E$504,C480,'TRANSAKSI PENJUALAN'!$L$5:$L$504,"Tunai",'TRANSAKSI PENJUALAN'!$M$5:$M$504,"Lunas"))</f>
        <v/>
      </c>
      <c r="J480" s="0" t="str">
        <f aca="false">IF(A480="","",F480+G480+H480-I480)</f>
        <v/>
      </c>
      <c r="L480" s="0" t="str">
        <f aca="false">IF(A480="","",IF(NOT(ISNUMBER(K480)),"ISI KAS FISIK",K480-J480))</f>
        <v/>
      </c>
      <c r="M480" s="0" t="str">
        <f aca="false">IF(A480="","",IF(NOT(ISNUMBER(L480)),"BELUM TUTUP",IF(L480=0,"Pas",IF(L480&gt;0,"Lebih","Kurang"))))</f>
        <v/>
      </c>
    </row>
    <row r="481" customFormat="false" ht="15" hidden="false" customHeight="false" outlineLevel="0" collapsed="false">
      <c r="G481" s="0" t="str">
        <f aca="false">IF(A481="","",SUMIFS('TRANSAKSI PENJUALAN'!$K$5:$K$504,'TRANSAKSI PENJUALAN'!$B$5:$B$504,B481,'TRANSAKSI PENJUALAN'!$E$5:$E$504,C481,'TRANSAKSI PENJUALAN'!$L$5:$L$504,"Tunai",'TRANSAKSI PENJUALAN'!$M$5:$M$504,"Lunas"))</f>
        <v/>
      </c>
      <c r="J481" s="0" t="str">
        <f aca="false">IF(A481="","",F481+G481+H481-I481)</f>
        <v/>
      </c>
      <c r="L481" s="0" t="str">
        <f aca="false">IF(A481="","",IF(NOT(ISNUMBER(K481)),"ISI KAS FISIK",K481-J481))</f>
        <v/>
      </c>
      <c r="M481" s="0" t="str">
        <f aca="false">IF(A481="","",IF(NOT(ISNUMBER(L481)),"BELUM TUTUP",IF(L481=0,"Pas",IF(L481&gt;0,"Lebih","Kurang"))))</f>
        <v/>
      </c>
    </row>
    <row r="482" customFormat="false" ht="15" hidden="false" customHeight="false" outlineLevel="0" collapsed="false">
      <c r="G482" s="0" t="str">
        <f aca="false">IF(A482="","",SUMIFS('TRANSAKSI PENJUALAN'!$K$5:$K$504,'TRANSAKSI PENJUALAN'!$B$5:$B$504,B482,'TRANSAKSI PENJUALAN'!$E$5:$E$504,C482,'TRANSAKSI PENJUALAN'!$L$5:$L$504,"Tunai",'TRANSAKSI PENJUALAN'!$M$5:$M$504,"Lunas"))</f>
        <v/>
      </c>
      <c r="J482" s="0" t="str">
        <f aca="false">IF(A482="","",F482+G482+H482-I482)</f>
        <v/>
      </c>
      <c r="L482" s="0" t="str">
        <f aca="false">IF(A482="","",IF(NOT(ISNUMBER(K482)),"ISI KAS FISIK",K482-J482))</f>
        <v/>
      </c>
      <c r="M482" s="0" t="str">
        <f aca="false">IF(A482="","",IF(NOT(ISNUMBER(L482)),"BELUM TUTUP",IF(L482=0,"Pas",IF(L482&gt;0,"Lebih","Kurang"))))</f>
        <v/>
      </c>
    </row>
    <row r="483" customFormat="false" ht="15" hidden="false" customHeight="false" outlineLevel="0" collapsed="false">
      <c r="G483" s="0" t="str">
        <f aca="false">IF(A483="","",SUMIFS('TRANSAKSI PENJUALAN'!$K$5:$K$504,'TRANSAKSI PENJUALAN'!$B$5:$B$504,B483,'TRANSAKSI PENJUALAN'!$E$5:$E$504,C483,'TRANSAKSI PENJUALAN'!$L$5:$L$504,"Tunai",'TRANSAKSI PENJUALAN'!$M$5:$M$504,"Lunas"))</f>
        <v/>
      </c>
      <c r="J483" s="0" t="str">
        <f aca="false">IF(A483="","",F483+G483+H483-I483)</f>
        <v/>
      </c>
      <c r="L483" s="0" t="str">
        <f aca="false">IF(A483="","",IF(NOT(ISNUMBER(K483)),"ISI KAS FISIK",K483-J483))</f>
        <v/>
      </c>
      <c r="M483" s="0" t="str">
        <f aca="false">IF(A483="","",IF(NOT(ISNUMBER(L483)),"BELUM TUTUP",IF(L483=0,"Pas",IF(L483&gt;0,"Lebih","Kurang"))))</f>
        <v/>
      </c>
    </row>
    <row r="484" customFormat="false" ht="15" hidden="false" customHeight="false" outlineLevel="0" collapsed="false">
      <c r="G484" s="0" t="str">
        <f aca="false">IF(A484="","",SUMIFS('TRANSAKSI PENJUALAN'!$K$5:$K$504,'TRANSAKSI PENJUALAN'!$B$5:$B$504,B484,'TRANSAKSI PENJUALAN'!$E$5:$E$504,C484,'TRANSAKSI PENJUALAN'!$L$5:$L$504,"Tunai",'TRANSAKSI PENJUALAN'!$M$5:$M$504,"Lunas"))</f>
        <v/>
      </c>
      <c r="J484" s="0" t="str">
        <f aca="false">IF(A484="","",F484+G484+H484-I484)</f>
        <v/>
      </c>
      <c r="L484" s="0" t="str">
        <f aca="false">IF(A484="","",IF(NOT(ISNUMBER(K484)),"ISI KAS FISIK",K484-J484))</f>
        <v/>
      </c>
      <c r="M484" s="0" t="str">
        <f aca="false">IF(A484="","",IF(NOT(ISNUMBER(L484)),"BELUM TUTUP",IF(L484=0,"Pas",IF(L484&gt;0,"Lebih","Kurang"))))</f>
        <v/>
      </c>
    </row>
    <row r="485" customFormat="false" ht="15" hidden="false" customHeight="false" outlineLevel="0" collapsed="false">
      <c r="G485" s="0" t="str">
        <f aca="false">IF(A485="","",SUMIFS('TRANSAKSI PENJUALAN'!$K$5:$K$504,'TRANSAKSI PENJUALAN'!$B$5:$B$504,B485,'TRANSAKSI PENJUALAN'!$E$5:$E$504,C485,'TRANSAKSI PENJUALAN'!$L$5:$L$504,"Tunai",'TRANSAKSI PENJUALAN'!$M$5:$M$504,"Lunas"))</f>
        <v/>
      </c>
      <c r="J485" s="0" t="str">
        <f aca="false">IF(A485="","",F485+G485+H485-I485)</f>
        <v/>
      </c>
      <c r="L485" s="0" t="str">
        <f aca="false">IF(A485="","",IF(NOT(ISNUMBER(K485)),"ISI KAS FISIK",K485-J485))</f>
        <v/>
      </c>
      <c r="M485" s="0" t="str">
        <f aca="false">IF(A485="","",IF(NOT(ISNUMBER(L485)),"BELUM TUTUP",IF(L485=0,"Pas",IF(L485&gt;0,"Lebih","Kurang"))))</f>
        <v/>
      </c>
    </row>
    <row r="486" customFormat="false" ht="15" hidden="false" customHeight="false" outlineLevel="0" collapsed="false">
      <c r="G486" s="0" t="str">
        <f aca="false">IF(A486="","",SUMIFS('TRANSAKSI PENJUALAN'!$K$5:$K$504,'TRANSAKSI PENJUALAN'!$B$5:$B$504,B486,'TRANSAKSI PENJUALAN'!$E$5:$E$504,C486,'TRANSAKSI PENJUALAN'!$L$5:$L$504,"Tunai",'TRANSAKSI PENJUALAN'!$M$5:$M$504,"Lunas"))</f>
        <v/>
      </c>
      <c r="J486" s="0" t="str">
        <f aca="false">IF(A486="","",F486+G486+H486-I486)</f>
        <v/>
      </c>
      <c r="L486" s="0" t="str">
        <f aca="false">IF(A486="","",IF(NOT(ISNUMBER(K486)),"ISI KAS FISIK",K486-J486))</f>
        <v/>
      </c>
      <c r="M486" s="0" t="str">
        <f aca="false">IF(A486="","",IF(NOT(ISNUMBER(L486)),"BELUM TUTUP",IF(L486=0,"Pas",IF(L486&gt;0,"Lebih","Kurang"))))</f>
        <v/>
      </c>
    </row>
    <row r="487" customFormat="false" ht="15" hidden="false" customHeight="false" outlineLevel="0" collapsed="false">
      <c r="G487" s="0" t="str">
        <f aca="false">IF(A487="","",SUMIFS('TRANSAKSI PENJUALAN'!$K$5:$K$504,'TRANSAKSI PENJUALAN'!$B$5:$B$504,B487,'TRANSAKSI PENJUALAN'!$E$5:$E$504,C487,'TRANSAKSI PENJUALAN'!$L$5:$L$504,"Tunai",'TRANSAKSI PENJUALAN'!$M$5:$M$504,"Lunas"))</f>
        <v/>
      </c>
      <c r="J487" s="0" t="str">
        <f aca="false">IF(A487="","",F487+G487+H487-I487)</f>
        <v/>
      </c>
      <c r="L487" s="0" t="str">
        <f aca="false">IF(A487="","",IF(NOT(ISNUMBER(K487)),"ISI KAS FISIK",K487-J487))</f>
        <v/>
      </c>
      <c r="M487" s="0" t="str">
        <f aca="false">IF(A487="","",IF(NOT(ISNUMBER(L487)),"BELUM TUTUP",IF(L487=0,"Pas",IF(L487&gt;0,"Lebih","Kurang"))))</f>
        <v/>
      </c>
    </row>
    <row r="488" customFormat="false" ht="15" hidden="false" customHeight="false" outlineLevel="0" collapsed="false">
      <c r="G488" s="0" t="str">
        <f aca="false">IF(A488="","",SUMIFS('TRANSAKSI PENJUALAN'!$K$5:$K$504,'TRANSAKSI PENJUALAN'!$B$5:$B$504,B488,'TRANSAKSI PENJUALAN'!$E$5:$E$504,C488,'TRANSAKSI PENJUALAN'!$L$5:$L$504,"Tunai",'TRANSAKSI PENJUALAN'!$M$5:$M$504,"Lunas"))</f>
        <v/>
      </c>
      <c r="J488" s="0" t="str">
        <f aca="false">IF(A488="","",F488+G488+H488-I488)</f>
        <v/>
      </c>
      <c r="L488" s="0" t="str">
        <f aca="false">IF(A488="","",IF(NOT(ISNUMBER(K488)),"ISI KAS FISIK",K488-J488))</f>
        <v/>
      </c>
      <c r="M488" s="0" t="str">
        <f aca="false">IF(A488="","",IF(NOT(ISNUMBER(L488)),"BELUM TUTUP",IF(L488=0,"Pas",IF(L488&gt;0,"Lebih","Kurang"))))</f>
        <v/>
      </c>
    </row>
    <row r="489" customFormat="false" ht="15" hidden="false" customHeight="false" outlineLevel="0" collapsed="false">
      <c r="G489" s="0" t="str">
        <f aca="false">IF(A489="","",SUMIFS('TRANSAKSI PENJUALAN'!$K$5:$K$504,'TRANSAKSI PENJUALAN'!$B$5:$B$504,B489,'TRANSAKSI PENJUALAN'!$E$5:$E$504,C489,'TRANSAKSI PENJUALAN'!$L$5:$L$504,"Tunai",'TRANSAKSI PENJUALAN'!$M$5:$M$504,"Lunas"))</f>
        <v/>
      </c>
      <c r="J489" s="0" t="str">
        <f aca="false">IF(A489="","",F489+G489+H489-I489)</f>
        <v/>
      </c>
      <c r="L489" s="0" t="str">
        <f aca="false">IF(A489="","",IF(NOT(ISNUMBER(K489)),"ISI KAS FISIK",K489-J489))</f>
        <v/>
      </c>
      <c r="M489" s="0" t="str">
        <f aca="false">IF(A489="","",IF(NOT(ISNUMBER(L489)),"BELUM TUTUP",IF(L489=0,"Pas",IF(L489&gt;0,"Lebih","Kurang"))))</f>
        <v/>
      </c>
    </row>
    <row r="490" customFormat="false" ht="15" hidden="false" customHeight="false" outlineLevel="0" collapsed="false">
      <c r="G490" s="0" t="str">
        <f aca="false">IF(A490="","",SUMIFS('TRANSAKSI PENJUALAN'!$K$5:$K$504,'TRANSAKSI PENJUALAN'!$B$5:$B$504,B490,'TRANSAKSI PENJUALAN'!$E$5:$E$504,C490,'TRANSAKSI PENJUALAN'!$L$5:$L$504,"Tunai",'TRANSAKSI PENJUALAN'!$M$5:$M$504,"Lunas"))</f>
        <v/>
      </c>
      <c r="J490" s="0" t="str">
        <f aca="false">IF(A490="","",F490+G490+H490-I490)</f>
        <v/>
      </c>
      <c r="L490" s="0" t="str">
        <f aca="false">IF(A490="","",IF(NOT(ISNUMBER(K490)),"ISI KAS FISIK",K490-J490))</f>
        <v/>
      </c>
      <c r="M490" s="0" t="str">
        <f aca="false">IF(A490="","",IF(NOT(ISNUMBER(L490)),"BELUM TUTUP",IF(L490=0,"Pas",IF(L490&gt;0,"Lebih","Kurang"))))</f>
        <v/>
      </c>
    </row>
    <row r="491" customFormat="false" ht="15" hidden="false" customHeight="false" outlineLevel="0" collapsed="false">
      <c r="G491" s="0" t="str">
        <f aca="false">IF(A491="","",SUMIFS('TRANSAKSI PENJUALAN'!$K$5:$K$504,'TRANSAKSI PENJUALAN'!$B$5:$B$504,B491,'TRANSAKSI PENJUALAN'!$E$5:$E$504,C491,'TRANSAKSI PENJUALAN'!$L$5:$L$504,"Tunai",'TRANSAKSI PENJUALAN'!$M$5:$M$504,"Lunas"))</f>
        <v/>
      </c>
      <c r="J491" s="0" t="str">
        <f aca="false">IF(A491="","",F491+G491+H491-I491)</f>
        <v/>
      </c>
      <c r="L491" s="0" t="str">
        <f aca="false">IF(A491="","",IF(NOT(ISNUMBER(K491)),"ISI KAS FISIK",K491-J491))</f>
        <v/>
      </c>
      <c r="M491" s="0" t="str">
        <f aca="false">IF(A491="","",IF(NOT(ISNUMBER(L491)),"BELUM TUTUP",IF(L491=0,"Pas",IF(L491&gt;0,"Lebih","Kurang"))))</f>
        <v/>
      </c>
    </row>
    <row r="492" customFormat="false" ht="15" hidden="false" customHeight="false" outlineLevel="0" collapsed="false">
      <c r="G492" s="0" t="str">
        <f aca="false">IF(A492="","",SUMIFS('TRANSAKSI PENJUALAN'!$K$5:$K$504,'TRANSAKSI PENJUALAN'!$B$5:$B$504,B492,'TRANSAKSI PENJUALAN'!$E$5:$E$504,C492,'TRANSAKSI PENJUALAN'!$L$5:$L$504,"Tunai",'TRANSAKSI PENJUALAN'!$M$5:$M$504,"Lunas"))</f>
        <v/>
      </c>
      <c r="J492" s="0" t="str">
        <f aca="false">IF(A492="","",F492+G492+H492-I492)</f>
        <v/>
      </c>
      <c r="L492" s="0" t="str">
        <f aca="false">IF(A492="","",IF(NOT(ISNUMBER(K492)),"ISI KAS FISIK",K492-J492))</f>
        <v/>
      </c>
      <c r="M492" s="0" t="str">
        <f aca="false">IF(A492="","",IF(NOT(ISNUMBER(L492)),"BELUM TUTUP",IF(L492=0,"Pas",IF(L492&gt;0,"Lebih","Kurang"))))</f>
        <v/>
      </c>
    </row>
    <row r="493" customFormat="false" ht="15" hidden="false" customHeight="false" outlineLevel="0" collapsed="false">
      <c r="G493" s="0" t="str">
        <f aca="false">IF(A493="","",SUMIFS('TRANSAKSI PENJUALAN'!$K$5:$K$504,'TRANSAKSI PENJUALAN'!$B$5:$B$504,B493,'TRANSAKSI PENJUALAN'!$E$5:$E$504,C493,'TRANSAKSI PENJUALAN'!$L$5:$L$504,"Tunai",'TRANSAKSI PENJUALAN'!$M$5:$M$504,"Lunas"))</f>
        <v/>
      </c>
      <c r="J493" s="0" t="str">
        <f aca="false">IF(A493="","",F493+G493+H493-I493)</f>
        <v/>
      </c>
      <c r="L493" s="0" t="str">
        <f aca="false">IF(A493="","",IF(NOT(ISNUMBER(K493)),"ISI KAS FISIK",K493-J493))</f>
        <v/>
      </c>
      <c r="M493" s="0" t="str">
        <f aca="false">IF(A493="","",IF(NOT(ISNUMBER(L493)),"BELUM TUTUP",IF(L493=0,"Pas",IF(L493&gt;0,"Lebih","Kurang"))))</f>
        <v/>
      </c>
    </row>
    <row r="494" customFormat="false" ht="15" hidden="false" customHeight="false" outlineLevel="0" collapsed="false">
      <c r="G494" s="0" t="str">
        <f aca="false">IF(A494="","",SUMIFS('TRANSAKSI PENJUALAN'!$K$5:$K$504,'TRANSAKSI PENJUALAN'!$B$5:$B$504,B494,'TRANSAKSI PENJUALAN'!$E$5:$E$504,C494,'TRANSAKSI PENJUALAN'!$L$5:$L$504,"Tunai",'TRANSAKSI PENJUALAN'!$M$5:$M$504,"Lunas"))</f>
        <v/>
      </c>
      <c r="J494" s="0" t="str">
        <f aca="false">IF(A494="","",F494+G494+H494-I494)</f>
        <v/>
      </c>
      <c r="L494" s="0" t="str">
        <f aca="false">IF(A494="","",IF(NOT(ISNUMBER(K494)),"ISI KAS FISIK",K494-J494))</f>
        <v/>
      </c>
      <c r="M494" s="0" t="str">
        <f aca="false">IF(A494="","",IF(NOT(ISNUMBER(L494)),"BELUM TUTUP",IF(L494=0,"Pas",IF(L494&gt;0,"Lebih","Kurang"))))</f>
        <v/>
      </c>
    </row>
    <row r="495" customFormat="false" ht="15" hidden="false" customHeight="false" outlineLevel="0" collapsed="false">
      <c r="G495" s="0" t="str">
        <f aca="false">IF(A495="","",SUMIFS('TRANSAKSI PENJUALAN'!$K$5:$K$504,'TRANSAKSI PENJUALAN'!$B$5:$B$504,B495,'TRANSAKSI PENJUALAN'!$E$5:$E$504,C495,'TRANSAKSI PENJUALAN'!$L$5:$L$504,"Tunai",'TRANSAKSI PENJUALAN'!$M$5:$M$504,"Lunas"))</f>
        <v/>
      </c>
      <c r="J495" s="0" t="str">
        <f aca="false">IF(A495="","",F495+G495+H495-I495)</f>
        <v/>
      </c>
      <c r="L495" s="0" t="str">
        <f aca="false">IF(A495="","",IF(NOT(ISNUMBER(K495)),"ISI KAS FISIK",K495-J495))</f>
        <v/>
      </c>
      <c r="M495" s="0" t="str">
        <f aca="false">IF(A495="","",IF(NOT(ISNUMBER(L495)),"BELUM TUTUP",IF(L495=0,"Pas",IF(L495&gt;0,"Lebih","Kurang"))))</f>
        <v/>
      </c>
    </row>
    <row r="496" customFormat="false" ht="15" hidden="false" customHeight="false" outlineLevel="0" collapsed="false">
      <c r="G496" s="0" t="str">
        <f aca="false">IF(A496="","",SUMIFS('TRANSAKSI PENJUALAN'!$K$5:$K$504,'TRANSAKSI PENJUALAN'!$B$5:$B$504,B496,'TRANSAKSI PENJUALAN'!$E$5:$E$504,C496,'TRANSAKSI PENJUALAN'!$L$5:$L$504,"Tunai",'TRANSAKSI PENJUALAN'!$M$5:$M$504,"Lunas"))</f>
        <v/>
      </c>
      <c r="J496" s="0" t="str">
        <f aca="false">IF(A496="","",F496+G496+H496-I496)</f>
        <v/>
      </c>
      <c r="L496" s="0" t="str">
        <f aca="false">IF(A496="","",IF(NOT(ISNUMBER(K496)),"ISI KAS FISIK",K496-J496))</f>
        <v/>
      </c>
      <c r="M496" s="0" t="str">
        <f aca="false">IF(A496="","",IF(NOT(ISNUMBER(L496)),"BELUM TUTUP",IF(L496=0,"Pas",IF(L496&gt;0,"Lebih","Kurang"))))</f>
        <v/>
      </c>
    </row>
    <row r="497" customFormat="false" ht="15" hidden="false" customHeight="false" outlineLevel="0" collapsed="false">
      <c r="G497" s="0" t="str">
        <f aca="false">IF(A497="","",SUMIFS('TRANSAKSI PENJUALAN'!$K$5:$K$504,'TRANSAKSI PENJUALAN'!$B$5:$B$504,B497,'TRANSAKSI PENJUALAN'!$E$5:$E$504,C497,'TRANSAKSI PENJUALAN'!$L$5:$L$504,"Tunai",'TRANSAKSI PENJUALAN'!$M$5:$M$504,"Lunas"))</f>
        <v/>
      </c>
      <c r="J497" s="0" t="str">
        <f aca="false">IF(A497="","",F497+G497+H497-I497)</f>
        <v/>
      </c>
      <c r="L497" s="0" t="str">
        <f aca="false">IF(A497="","",IF(NOT(ISNUMBER(K497)),"ISI KAS FISIK",K497-J497))</f>
        <v/>
      </c>
      <c r="M497" s="0" t="str">
        <f aca="false">IF(A497="","",IF(NOT(ISNUMBER(L497)),"BELUM TUTUP",IF(L497=0,"Pas",IF(L497&gt;0,"Lebih","Kurang"))))</f>
        <v/>
      </c>
    </row>
    <row r="498" customFormat="false" ht="15" hidden="false" customHeight="false" outlineLevel="0" collapsed="false">
      <c r="G498" s="0" t="str">
        <f aca="false">IF(A498="","",SUMIFS('TRANSAKSI PENJUALAN'!$K$5:$K$504,'TRANSAKSI PENJUALAN'!$B$5:$B$504,B498,'TRANSAKSI PENJUALAN'!$E$5:$E$504,C498,'TRANSAKSI PENJUALAN'!$L$5:$L$504,"Tunai",'TRANSAKSI PENJUALAN'!$M$5:$M$504,"Lunas"))</f>
        <v/>
      </c>
      <c r="J498" s="0" t="str">
        <f aca="false">IF(A498="","",F498+G498+H498-I498)</f>
        <v/>
      </c>
      <c r="L498" s="0" t="str">
        <f aca="false">IF(A498="","",IF(NOT(ISNUMBER(K498)),"ISI KAS FISIK",K498-J498))</f>
        <v/>
      </c>
      <c r="M498" s="0" t="str">
        <f aca="false">IF(A498="","",IF(NOT(ISNUMBER(L498)),"BELUM TUTUP",IF(L498=0,"Pas",IF(L498&gt;0,"Lebih","Kurang"))))</f>
        <v/>
      </c>
    </row>
    <row r="499" customFormat="false" ht="15" hidden="false" customHeight="false" outlineLevel="0" collapsed="false">
      <c r="G499" s="0" t="str">
        <f aca="false">IF(A499="","",SUMIFS('TRANSAKSI PENJUALAN'!$K$5:$K$504,'TRANSAKSI PENJUALAN'!$B$5:$B$504,B499,'TRANSAKSI PENJUALAN'!$E$5:$E$504,C499,'TRANSAKSI PENJUALAN'!$L$5:$L$504,"Tunai",'TRANSAKSI PENJUALAN'!$M$5:$M$504,"Lunas"))</f>
        <v/>
      </c>
      <c r="J499" s="0" t="str">
        <f aca="false">IF(A499="","",F499+G499+H499-I499)</f>
        <v/>
      </c>
      <c r="L499" s="0" t="str">
        <f aca="false">IF(A499="","",IF(NOT(ISNUMBER(K499)),"ISI KAS FISIK",K499-J499))</f>
        <v/>
      </c>
      <c r="M499" s="0" t="str">
        <f aca="false">IF(A499="","",IF(NOT(ISNUMBER(L499)),"BELUM TUTUP",IF(L499=0,"Pas",IF(L499&gt;0,"Lebih","Kurang"))))</f>
        <v/>
      </c>
    </row>
    <row r="500" customFormat="false" ht="15" hidden="false" customHeight="false" outlineLevel="0" collapsed="false">
      <c r="G500" s="0" t="str">
        <f aca="false">IF(A500="","",SUMIFS('TRANSAKSI PENJUALAN'!$K$5:$K$504,'TRANSAKSI PENJUALAN'!$B$5:$B$504,B500,'TRANSAKSI PENJUALAN'!$E$5:$E$504,C500,'TRANSAKSI PENJUALAN'!$L$5:$L$504,"Tunai",'TRANSAKSI PENJUALAN'!$M$5:$M$504,"Lunas"))</f>
        <v/>
      </c>
      <c r="J500" s="0" t="str">
        <f aca="false">IF(A500="","",F500+G500+H500-I500)</f>
        <v/>
      </c>
      <c r="L500" s="0" t="str">
        <f aca="false">IF(A500="","",IF(NOT(ISNUMBER(K500)),"ISI KAS FISIK",K500-J500))</f>
        <v/>
      </c>
      <c r="M500" s="0" t="str">
        <f aca="false">IF(A500="","",IF(NOT(ISNUMBER(L500)),"BELUM TUTUP",IF(L500=0,"Pas",IF(L500&gt;0,"Lebih","Kurang"))))</f>
        <v/>
      </c>
    </row>
    <row r="501" customFormat="false" ht="15" hidden="false" customHeight="false" outlineLevel="0" collapsed="false">
      <c r="G501" s="0" t="str">
        <f aca="false">IF(A501="","",SUMIFS('TRANSAKSI PENJUALAN'!$K$5:$K$504,'TRANSAKSI PENJUALAN'!$B$5:$B$504,B501,'TRANSAKSI PENJUALAN'!$E$5:$E$504,C501,'TRANSAKSI PENJUALAN'!$L$5:$L$504,"Tunai",'TRANSAKSI PENJUALAN'!$M$5:$M$504,"Lunas"))</f>
        <v/>
      </c>
      <c r="J501" s="0" t="str">
        <f aca="false">IF(A501="","",F501+G501+H501-I501)</f>
        <v/>
      </c>
      <c r="L501" s="0" t="str">
        <f aca="false">IF(A501="","",IF(NOT(ISNUMBER(K501)),"ISI KAS FISIK",K501-J501))</f>
        <v/>
      </c>
      <c r="M501" s="0" t="str">
        <f aca="false">IF(A501="","",IF(NOT(ISNUMBER(L501)),"BELUM TUTUP",IF(L501=0,"Pas",IF(L501&gt;0,"Lebih","Kurang"))))</f>
        <v/>
      </c>
    </row>
    <row r="502" customFormat="false" ht="15" hidden="false" customHeight="false" outlineLevel="0" collapsed="false">
      <c r="G502" s="0" t="str">
        <f aca="false">IF(A502="","",SUMIFS('TRANSAKSI PENJUALAN'!$K$5:$K$504,'TRANSAKSI PENJUALAN'!$B$5:$B$504,B502,'TRANSAKSI PENJUALAN'!$E$5:$E$504,C502,'TRANSAKSI PENJUALAN'!$L$5:$L$504,"Tunai",'TRANSAKSI PENJUALAN'!$M$5:$M$504,"Lunas"))</f>
        <v/>
      </c>
      <c r="J502" s="0" t="str">
        <f aca="false">IF(A502="","",F502+G502+H502-I502)</f>
        <v/>
      </c>
      <c r="L502" s="0" t="str">
        <f aca="false">IF(A502="","",IF(NOT(ISNUMBER(K502)),"ISI KAS FISIK",K502-J502))</f>
        <v/>
      </c>
      <c r="M502" s="0" t="str">
        <f aca="false">IF(A502="","",IF(NOT(ISNUMBER(L502)),"BELUM TUTUP",IF(L502=0,"Pas",IF(L502&gt;0,"Lebih","Kurang"))))</f>
        <v/>
      </c>
    </row>
    <row r="503" customFormat="false" ht="15" hidden="false" customHeight="false" outlineLevel="0" collapsed="false">
      <c r="G503" s="0" t="str">
        <f aca="false">IF(A503="","",SUMIFS('TRANSAKSI PENJUALAN'!$K$5:$K$504,'TRANSAKSI PENJUALAN'!$B$5:$B$504,B503,'TRANSAKSI PENJUALAN'!$E$5:$E$504,C503,'TRANSAKSI PENJUALAN'!$L$5:$L$504,"Tunai",'TRANSAKSI PENJUALAN'!$M$5:$M$504,"Lunas"))</f>
        <v/>
      </c>
      <c r="J503" s="0" t="str">
        <f aca="false">IF(A503="","",F503+G503+H503-I503)</f>
        <v/>
      </c>
      <c r="L503" s="0" t="str">
        <f aca="false">IF(A503="","",IF(NOT(ISNUMBER(K503)),"ISI KAS FISIK",K503-J503))</f>
        <v/>
      </c>
      <c r="M503" s="0" t="str">
        <f aca="false">IF(A503="","",IF(NOT(ISNUMBER(L503)),"BELUM TUTUP",IF(L503=0,"Pas",IF(L503&gt;0,"Lebih","Kurang"))))</f>
        <v/>
      </c>
    </row>
    <row r="504" customFormat="false" ht="15" hidden="false" customHeight="false" outlineLevel="0" collapsed="false">
      <c r="G504" s="0" t="str">
        <f aca="false">IF(A504="","",SUMIFS('TRANSAKSI PENJUALAN'!$K$5:$K$504,'TRANSAKSI PENJUALAN'!$B$5:$B$504,B504,'TRANSAKSI PENJUALAN'!$E$5:$E$504,C504,'TRANSAKSI PENJUALAN'!$L$5:$L$504,"Tunai",'TRANSAKSI PENJUALAN'!$M$5:$M$504,"Lunas"))</f>
        <v/>
      </c>
      <c r="J504" s="0" t="str">
        <f aca="false">IF(A504="","",F504+G504+H504-I504)</f>
        <v/>
      </c>
      <c r="L504" s="0" t="str">
        <f aca="false">IF(A504="","",IF(NOT(ISNUMBER(K504)),"ISI KAS FISIK",K504-J504))</f>
        <v/>
      </c>
      <c r="M504" s="0" t="str">
        <f aca="false">IF(A504="","",IF(NOT(ISNUMBER(L504)),"BELUM TUTUP",IF(L504=0,"Pas",IF(L504&gt;0,"Lebih","Kurang"))))</f>
        <v/>
      </c>
    </row>
  </sheetData>
  <conditionalFormatting sqref="M5:M64">
    <cfRule type="containsText" priority="2" operator="containsText" aboveAverage="0" equalAverage="0" bottom="0" percent="0" rank="0" text="Kurang" dxfId="23">
      <formula>NOT(ISERROR(SEARCH("Kurang",M5)))</formula>
    </cfRule>
  </conditionalFormatting>
  <conditionalFormatting sqref="A5:A64">
    <cfRule type="expression" priority="3" aboveAverage="0" equalAverage="0" bottom="0" percent="0" rank="0" text="" dxfId="24">
      <formula>AND(A5&lt;&gt;"",COUNTIF($A$5:$A$64,A5)&gt;1)</formula>
    </cfRule>
  </conditionalFormatting>
  <dataValidations count="1">
    <dataValidation allowBlank="false" errorStyle="stop" operator="between" showDropDown="false" showErrorMessage="false" showInputMessage="false" sqref="O5:O64" type="list">
      <formula1>"Menunggu,Disetujui,Ditolak"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1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1"/>
    <col collapsed="false" customWidth="true" hidden="false" outlineLevel="0" max="6" min="6" style="0" width="22"/>
    <col collapsed="false" customWidth="true" hidden="false" outlineLevel="0" max="8" min="7" style="0" width="18"/>
    <col collapsed="false" customWidth="true" hidden="false" outlineLevel="0" max="9" min="9" style="0" width="21"/>
    <col collapsed="false" customWidth="true" hidden="false" outlineLevel="0" max="10" min="10" style="0" width="42"/>
  </cols>
  <sheetData>
    <row r="1" customFormat="false" ht="38" hidden="false" customHeight="true" outlineLevel="0" collapsed="false">
      <c r="A1" s="8" t="s">
        <v>306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29" hidden="false" customHeight="true" outlineLevel="0" collapsed="false">
      <c r="A2" s="9" t="s">
        <v>307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308</v>
      </c>
      <c r="B4" s="13" t="s">
        <v>244</v>
      </c>
      <c r="C4" s="13" t="s">
        <v>73</v>
      </c>
      <c r="D4" s="13" t="s">
        <v>309</v>
      </c>
      <c r="E4" s="13" t="s">
        <v>310</v>
      </c>
      <c r="F4" s="13" t="s">
        <v>254</v>
      </c>
      <c r="G4" s="13" t="s">
        <v>311</v>
      </c>
      <c r="H4" s="13" t="s">
        <v>178</v>
      </c>
      <c r="I4" s="13" t="s">
        <v>312</v>
      </c>
      <c r="J4" s="13" t="s">
        <v>79</v>
      </c>
    </row>
    <row r="5" customFormat="false" ht="27" hidden="false" customHeight="true" outlineLevel="0" collapsed="false">
      <c r="A5" s="14" t="s">
        <v>313</v>
      </c>
      <c r="B5" s="16" t="n">
        <v>46325</v>
      </c>
      <c r="C5" s="14" t="s">
        <v>314</v>
      </c>
      <c r="D5" s="14" t="s">
        <v>315</v>
      </c>
      <c r="E5" s="15" t="n">
        <v>25000</v>
      </c>
      <c r="F5" s="14" t="s">
        <v>316</v>
      </c>
      <c r="G5" s="14" t="s">
        <v>317</v>
      </c>
      <c r="H5" s="14" t="s">
        <v>183</v>
      </c>
      <c r="I5" s="14" t="s">
        <v>318</v>
      </c>
      <c r="J5" s="14" t="s">
        <v>319</v>
      </c>
    </row>
    <row r="6" customFormat="false" ht="27" hidden="false" customHeight="true" outlineLevel="0" collapsed="false">
      <c r="A6" s="14" t="s">
        <v>320</v>
      </c>
      <c r="B6" s="16" t="n">
        <v>46325</v>
      </c>
      <c r="C6" s="14" t="s">
        <v>321</v>
      </c>
      <c r="D6" s="14" t="s">
        <v>322</v>
      </c>
      <c r="E6" s="15" t="n">
        <v>8000</v>
      </c>
      <c r="F6" s="14" t="s">
        <v>262</v>
      </c>
      <c r="G6" s="14" t="s">
        <v>317</v>
      </c>
      <c r="H6" s="14" t="s">
        <v>183</v>
      </c>
      <c r="I6" s="14" t="s">
        <v>87</v>
      </c>
      <c r="J6" s="14" t="s">
        <v>323</v>
      </c>
    </row>
    <row r="7" customFormat="false" ht="27" hidden="false" customHeight="true" outlineLevel="0" collapsed="false">
      <c r="A7" s="14"/>
      <c r="B7" s="16"/>
      <c r="C7" s="14"/>
      <c r="D7" s="14"/>
      <c r="E7" s="15"/>
      <c r="F7" s="14"/>
      <c r="G7" s="14"/>
      <c r="H7" s="14"/>
      <c r="I7" s="14"/>
      <c r="J7" s="14"/>
    </row>
    <row r="8" customFormat="false" ht="27" hidden="false" customHeight="true" outlineLevel="0" collapsed="false">
      <c r="A8" s="14"/>
      <c r="B8" s="16"/>
      <c r="C8" s="14"/>
      <c r="D8" s="14"/>
      <c r="E8" s="15"/>
      <c r="F8" s="14"/>
      <c r="G8" s="14"/>
      <c r="H8" s="14"/>
      <c r="I8" s="14"/>
      <c r="J8" s="14"/>
    </row>
    <row r="9" customFormat="false" ht="27" hidden="false" customHeight="true" outlineLevel="0" collapsed="false">
      <c r="A9" s="14"/>
      <c r="B9" s="16"/>
      <c r="C9" s="14"/>
      <c r="D9" s="14"/>
      <c r="E9" s="15"/>
      <c r="F9" s="14"/>
      <c r="G9" s="14"/>
      <c r="H9" s="14"/>
      <c r="I9" s="14"/>
      <c r="J9" s="14"/>
    </row>
    <row r="10" customFormat="false" ht="27" hidden="false" customHeight="true" outlineLevel="0" collapsed="false">
      <c r="A10" s="14"/>
      <c r="B10" s="16"/>
      <c r="C10" s="14"/>
      <c r="D10" s="14"/>
      <c r="E10" s="15"/>
      <c r="F10" s="14"/>
      <c r="G10" s="14"/>
      <c r="H10" s="14"/>
      <c r="I10" s="14"/>
      <c r="J10" s="14"/>
    </row>
    <row r="11" customFormat="false" ht="27" hidden="false" customHeight="true" outlineLevel="0" collapsed="false">
      <c r="A11" s="14"/>
      <c r="B11" s="16"/>
      <c r="C11" s="14"/>
      <c r="D11" s="14"/>
      <c r="E11" s="15"/>
      <c r="F11" s="14"/>
      <c r="G11" s="14"/>
      <c r="H11" s="14"/>
      <c r="I11" s="14"/>
      <c r="J11" s="14"/>
    </row>
    <row r="12" customFormat="false" ht="27" hidden="false" customHeight="true" outlineLevel="0" collapsed="false">
      <c r="A12" s="14"/>
      <c r="B12" s="16"/>
      <c r="C12" s="14"/>
      <c r="D12" s="14"/>
      <c r="E12" s="15"/>
      <c r="F12" s="14"/>
      <c r="G12" s="14"/>
      <c r="H12" s="14"/>
      <c r="I12" s="14"/>
      <c r="J12" s="14"/>
    </row>
    <row r="13" customFormat="false" ht="27" hidden="false" customHeight="true" outlineLevel="0" collapsed="false">
      <c r="A13" s="14"/>
      <c r="B13" s="16"/>
      <c r="C13" s="14"/>
      <c r="D13" s="14"/>
      <c r="E13" s="15"/>
      <c r="F13" s="14"/>
      <c r="G13" s="14"/>
      <c r="H13" s="14"/>
      <c r="I13" s="14"/>
      <c r="J13" s="14"/>
    </row>
    <row r="14" customFormat="false" ht="27" hidden="false" customHeight="true" outlineLevel="0" collapsed="false">
      <c r="A14" s="14"/>
      <c r="B14" s="16"/>
      <c r="C14" s="14"/>
      <c r="D14" s="14"/>
      <c r="E14" s="15"/>
      <c r="F14" s="14"/>
      <c r="G14" s="14"/>
      <c r="H14" s="14"/>
      <c r="I14" s="14"/>
      <c r="J14" s="14"/>
    </row>
    <row r="15" customFormat="false" ht="27" hidden="false" customHeight="true" outlineLevel="0" collapsed="false">
      <c r="A15" s="14"/>
      <c r="B15" s="16"/>
      <c r="C15" s="14"/>
      <c r="D15" s="14"/>
      <c r="E15" s="15"/>
      <c r="F15" s="14"/>
      <c r="G15" s="14"/>
      <c r="H15" s="14"/>
      <c r="I15" s="14"/>
      <c r="J15" s="14"/>
    </row>
    <row r="16" customFormat="false" ht="27" hidden="false" customHeight="true" outlineLevel="0" collapsed="false">
      <c r="A16" s="14"/>
      <c r="B16" s="16"/>
      <c r="C16" s="14"/>
      <c r="D16" s="14"/>
      <c r="E16" s="15"/>
      <c r="F16" s="14"/>
      <c r="G16" s="14"/>
      <c r="H16" s="14"/>
      <c r="I16" s="14"/>
      <c r="J16" s="14"/>
    </row>
    <row r="17" customFormat="false" ht="27" hidden="false" customHeight="true" outlineLevel="0" collapsed="false">
      <c r="A17" s="14"/>
      <c r="B17" s="16"/>
      <c r="C17" s="14"/>
      <c r="D17" s="14"/>
      <c r="E17" s="15"/>
      <c r="F17" s="14"/>
      <c r="G17" s="14"/>
      <c r="H17" s="14"/>
      <c r="I17" s="14"/>
      <c r="J17" s="14"/>
    </row>
    <row r="18" customFormat="false" ht="27" hidden="false" customHeight="true" outlineLevel="0" collapsed="false">
      <c r="A18" s="14"/>
      <c r="B18" s="16"/>
      <c r="C18" s="14"/>
      <c r="D18" s="14"/>
      <c r="E18" s="15"/>
      <c r="F18" s="14"/>
      <c r="G18" s="14"/>
      <c r="H18" s="14"/>
      <c r="I18" s="14"/>
      <c r="J18" s="14"/>
    </row>
    <row r="19" customFormat="false" ht="27" hidden="false" customHeight="true" outlineLevel="0" collapsed="false">
      <c r="A19" s="14"/>
      <c r="B19" s="16"/>
      <c r="C19" s="14"/>
      <c r="D19" s="14"/>
      <c r="E19" s="15"/>
      <c r="F19" s="14"/>
      <c r="G19" s="14"/>
      <c r="H19" s="14"/>
      <c r="I19" s="14"/>
      <c r="J19" s="14"/>
    </row>
    <row r="20" customFormat="false" ht="27" hidden="false" customHeight="true" outlineLevel="0" collapsed="false">
      <c r="A20" s="14"/>
      <c r="B20" s="16"/>
      <c r="C20" s="14"/>
      <c r="D20" s="14"/>
      <c r="E20" s="15"/>
      <c r="F20" s="14"/>
      <c r="G20" s="14"/>
      <c r="H20" s="14"/>
      <c r="I20" s="14"/>
      <c r="J20" s="14"/>
    </row>
    <row r="21" customFormat="false" ht="27" hidden="false" customHeight="true" outlineLevel="0" collapsed="false">
      <c r="A21" s="14"/>
      <c r="B21" s="16"/>
      <c r="C21" s="14"/>
      <c r="D21" s="14"/>
      <c r="E21" s="15"/>
      <c r="F21" s="14"/>
      <c r="G21" s="14"/>
      <c r="H21" s="14"/>
      <c r="I21" s="14"/>
      <c r="J21" s="14"/>
    </row>
    <row r="22" customFormat="false" ht="27" hidden="false" customHeight="true" outlineLevel="0" collapsed="false">
      <c r="A22" s="14"/>
      <c r="B22" s="16"/>
      <c r="C22" s="14"/>
      <c r="D22" s="14"/>
      <c r="E22" s="15"/>
      <c r="F22" s="14"/>
      <c r="G22" s="14"/>
      <c r="H22" s="14"/>
      <c r="I22" s="14"/>
      <c r="J22" s="14"/>
    </row>
    <row r="23" customFormat="false" ht="27" hidden="false" customHeight="true" outlineLevel="0" collapsed="false">
      <c r="A23" s="14"/>
      <c r="B23" s="16"/>
      <c r="C23" s="14"/>
      <c r="D23" s="14"/>
      <c r="E23" s="15"/>
      <c r="F23" s="14"/>
      <c r="G23" s="14"/>
      <c r="H23" s="14"/>
      <c r="I23" s="14"/>
      <c r="J23" s="14"/>
    </row>
    <row r="24" customFormat="false" ht="27" hidden="false" customHeight="true" outlineLevel="0" collapsed="false">
      <c r="A24" s="14"/>
      <c r="B24" s="16"/>
      <c r="C24" s="14"/>
      <c r="D24" s="14"/>
      <c r="E24" s="15"/>
      <c r="F24" s="14"/>
      <c r="G24" s="14"/>
      <c r="H24" s="14"/>
      <c r="I24" s="14"/>
      <c r="J24" s="14"/>
    </row>
    <row r="25" customFormat="false" ht="27" hidden="false" customHeight="true" outlineLevel="0" collapsed="false">
      <c r="A25" s="14"/>
      <c r="B25" s="16"/>
      <c r="C25" s="14"/>
      <c r="D25" s="14"/>
      <c r="E25" s="15"/>
      <c r="F25" s="14"/>
      <c r="G25" s="14"/>
      <c r="H25" s="14"/>
      <c r="I25" s="14"/>
      <c r="J25" s="14"/>
    </row>
    <row r="26" customFormat="false" ht="27" hidden="false" customHeight="true" outlineLevel="0" collapsed="false">
      <c r="A26" s="14"/>
      <c r="B26" s="16"/>
      <c r="C26" s="14"/>
      <c r="D26" s="14"/>
      <c r="E26" s="15"/>
      <c r="F26" s="14"/>
      <c r="G26" s="14"/>
      <c r="H26" s="14"/>
      <c r="I26" s="14"/>
      <c r="J26" s="14"/>
    </row>
    <row r="27" customFormat="false" ht="27" hidden="false" customHeight="true" outlineLevel="0" collapsed="false">
      <c r="A27" s="14"/>
      <c r="B27" s="16"/>
      <c r="C27" s="14"/>
      <c r="D27" s="14"/>
      <c r="E27" s="15"/>
      <c r="F27" s="14"/>
      <c r="G27" s="14"/>
      <c r="H27" s="14"/>
      <c r="I27" s="14"/>
      <c r="J27" s="14"/>
    </row>
    <row r="28" customFormat="false" ht="27" hidden="false" customHeight="true" outlineLevel="0" collapsed="false">
      <c r="A28" s="14"/>
      <c r="B28" s="16"/>
      <c r="C28" s="14"/>
      <c r="D28" s="14"/>
      <c r="E28" s="15"/>
      <c r="F28" s="14"/>
      <c r="G28" s="14"/>
      <c r="H28" s="14"/>
      <c r="I28" s="14"/>
      <c r="J28" s="14"/>
    </row>
    <row r="29" customFormat="false" ht="27" hidden="false" customHeight="true" outlineLevel="0" collapsed="false">
      <c r="A29" s="14"/>
      <c r="B29" s="16"/>
      <c r="C29" s="14"/>
      <c r="D29" s="14"/>
      <c r="E29" s="15"/>
      <c r="F29" s="14"/>
      <c r="G29" s="14"/>
      <c r="H29" s="14"/>
      <c r="I29" s="14"/>
      <c r="J29" s="14"/>
    </row>
    <row r="30" customFormat="false" ht="27" hidden="false" customHeight="true" outlineLevel="0" collapsed="false">
      <c r="A30" s="14"/>
      <c r="B30" s="16"/>
      <c r="C30" s="14"/>
      <c r="D30" s="14"/>
      <c r="E30" s="15"/>
      <c r="F30" s="14"/>
      <c r="G30" s="14"/>
      <c r="H30" s="14"/>
      <c r="I30" s="14"/>
      <c r="J30" s="14"/>
    </row>
    <row r="31" customFormat="false" ht="27" hidden="false" customHeight="true" outlineLevel="0" collapsed="false">
      <c r="A31" s="14"/>
      <c r="B31" s="16"/>
      <c r="C31" s="14"/>
      <c r="D31" s="14"/>
      <c r="E31" s="15"/>
      <c r="F31" s="14"/>
      <c r="G31" s="14"/>
      <c r="H31" s="14"/>
      <c r="I31" s="14"/>
      <c r="J31" s="14"/>
    </row>
    <row r="32" customFormat="false" ht="27" hidden="false" customHeight="true" outlineLevel="0" collapsed="false">
      <c r="A32" s="14"/>
      <c r="B32" s="16"/>
      <c r="C32" s="14"/>
      <c r="D32" s="14"/>
      <c r="E32" s="15"/>
      <c r="F32" s="14"/>
      <c r="G32" s="14"/>
      <c r="H32" s="14"/>
      <c r="I32" s="14"/>
      <c r="J32" s="14"/>
    </row>
    <row r="33" customFormat="false" ht="27" hidden="false" customHeight="true" outlineLevel="0" collapsed="false">
      <c r="A33" s="14"/>
      <c r="B33" s="16"/>
      <c r="C33" s="14"/>
      <c r="D33" s="14"/>
      <c r="E33" s="15"/>
      <c r="F33" s="14"/>
      <c r="G33" s="14"/>
      <c r="H33" s="14"/>
      <c r="I33" s="14"/>
      <c r="J33" s="14"/>
    </row>
    <row r="34" customFormat="false" ht="27" hidden="false" customHeight="true" outlineLevel="0" collapsed="false">
      <c r="A34" s="14"/>
      <c r="B34" s="16"/>
      <c r="C34" s="14"/>
      <c r="D34" s="14"/>
      <c r="E34" s="15"/>
      <c r="F34" s="14"/>
      <c r="G34" s="14"/>
      <c r="H34" s="14"/>
      <c r="I34" s="14"/>
      <c r="J34" s="14"/>
    </row>
    <row r="35" customFormat="false" ht="27" hidden="false" customHeight="true" outlineLevel="0" collapsed="false">
      <c r="A35" s="14"/>
      <c r="B35" s="16"/>
      <c r="C35" s="14"/>
      <c r="D35" s="14"/>
      <c r="E35" s="15"/>
      <c r="F35" s="14"/>
      <c r="G35" s="14"/>
      <c r="H35" s="14"/>
      <c r="I35" s="14"/>
      <c r="J35" s="14"/>
    </row>
    <row r="36" customFormat="false" ht="27" hidden="false" customHeight="true" outlineLevel="0" collapsed="false">
      <c r="A36" s="14"/>
      <c r="B36" s="16"/>
      <c r="C36" s="14"/>
      <c r="D36" s="14"/>
      <c r="E36" s="15"/>
      <c r="F36" s="14"/>
      <c r="G36" s="14"/>
      <c r="H36" s="14"/>
      <c r="I36" s="14"/>
      <c r="J36" s="14"/>
    </row>
    <row r="37" customFormat="false" ht="27" hidden="false" customHeight="true" outlineLevel="0" collapsed="false">
      <c r="A37" s="14"/>
      <c r="B37" s="16"/>
      <c r="C37" s="14"/>
      <c r="D37" s="14"/>
      <c r="E37" s="15"/>
      <c r="F37" s="14"/>
      <c r="G37" s="14"/>
      <c r="H37" s="14"/>
      <c r="I37" s="14"/>
      <c r="J37" s="14"/>
    </row>
    <row r="38" customFormat="false" ht="27" hidden="false" customHeight="true" outlineLevel="0" collapsed="false">
      <c r="A38" s="14"/>
      <c r="B38" s="16"/>
      <c r="C38" s="14"/>
      <c r="D38" s="14"/>
      <c r="E38" s="15"/>
      <c r="F38" s="14"/>
      <c r="G38" s="14"/>
      <c r="H38" s="14"/>
      <c r="I38" s="14"/>
      <c r="J38" s="14"/>
    </row>
    <row r="39" customFormat="false" ht="27" hidden="false" customHeight="true" outlineLevel="0" collapsed="false">
      <c r="A39" s="14"/>
      <c r="B39" s="16"/>
      <c r="C39" s="14"/>
      <c r="D39" s="14"/>
      <c r="E39" s="15"/>
      <c r="F39" s="14"/>
      <c r="G39" s="14"/>
      <c r="H39" s="14"/>
      <c r="I39" s="14"/>
      <c r="J39" s="14"/>
    </row>
    <row r="40" customFormat="false" ht="27" hidden="false" customHeight="true" outlineLevel="0" collapsed="false">
      <c r="A40" s="14"/>
      <c r="B40" s="16"/>
      <c r="C40" s="14"/>
      <c r="D40" s="14"/>
      <c r="E40" s="15"/>
      <c r="F40" s="14"/>
      <c r="G40" s="14"/>
      <c r="H40" s="14"/>
      <c r="I40" s="14"/>
      <c r="J40" s="14"/>
    </row>
    <row r="41" customFormat="false" ht="27" hidden="false" customHeight="true" outlineLevel="0" collapsed="false">
      <c r="A41" s="14"/>
      <c r="B41" s="16"/>
      <c r="C41" s="14"/>
      <c r="D41" s="14"/>
      <c r="E41" s="15"/>
      <c r="F41" s="14"/>
      <c r="G41" s="14"/>
      <c r="H41" s="14"/>
      <c r="I41" s="14"/>
      <c r="J41" s="14"/>
    </row>
    <row r="42" customFormat="false" ht="27" hidden="false" customHeight="true" outlineLevel="0" collapsed="false">
      <c r="A42" s="14"/>
      <c r="B42" s="16"/>
      <c r="C42" s="14"/>
      <c r="D42" s="14"/>
      <c r="E42" s="15"/>
      <c r="F42" s="14"/>
      <c r="G42" s="14"/>
      <c r="H42" s="14"/>
      <c r="I42" s="14"/>
      <c r="J42" s="14"/>
    </row>
    <row r="43" customFormat="false" ht="27" hidden="false" customHeight="true" outlineLevel="0" collapsed="false">
      <c r="A43" s="14"/>
      <c r="B43" s="16"/>
      <c r="C43" s="14"/>
      <c r="D43" s="14"/>
      <c r="E43" s="15"/>
      <c r="F43" s="14"/>
      <c r="G43" s="14"/>
      <c r="H43" s="14"/>
      <c r="I43" s="14"/>
      <c r="J43" s="14"/>
    </row>
    <row r="44" customFormat="false" ht="27" hidden="false" customHeight="true" outlineLevel="0" collapsed="false">
      <c r="A44" s="14"/>
      <c r="B44" s="16"/>
      <c r="C44" s="14"/>
      <c r="D44" s="14"/>
      <c r="E44" s="15"/>
      <c r="F44" s="14"/>
      <c r="G44" s="14"/>
      <c r="H44" s="14"/>
      <c r="I44" s="14"/>
      <c r="J44" s="14"/>
    </row>
    <row r="45" customFormat="false" ht="27" hidden="false" customHeight="true" outlineLevel="0" collapsed="false">
      <c r="A45" s="14"/>
      <c r="B45" s="16"/>
      <c r="C45" s="14"/>
      <c r="D45" s="14"/>
      <c r="E45" s="15"/>
      <c r="F45" s="14"/>
      <c r="G45" s="14"/>
      <c r="H45" s="14"/>
      <c r="I45" s="14"/>
      <c r="J45" s="14"/>
    </row>
    <row r="46" customFormat="false" ht="27" hidden="false" customHeight="true" outlineLevel="0" collapsed="false">
      <c r="A46" s="14"/>
      <c r="B46" s="16"/>
      <c r="C46" s="14"/>
      <c r="D46" s="14"/>
      <c r="E46" s="15"/>
      <c r="F46" s="14"/>
      <c r="G46" s="14"/>
      <c r="H46" s="14"/>
      <c r="I46" s="14"/>
      <c r="J46" s="14"/>
    </row>
    <row r="47" customFormat="false" ht="27" hidden="false" customHeight="true" outlineLevel="0" collapsed="false">
      <c r="A47" s="14"/>
      <c r="B47" s="16"/>
      <c r="C47" s="14"/>
      <c r="D47" s="14"/>
      <c r="E47" s="15"/>
      <c r="F47" s="14"/>
      <c r="G47" s="14"/>
      <c r="H47" s="14"/>
      <c r="I47" s="14"/>
      <c r="J47" s="14"/>
    </row>
    <row r="48" customFormat="false" ht="27" hidden="false" customHeight="true" outlineLevel="0" collapsed="false">
      <c r="A48" s="14"/>
      <c r="B48" s="16"/>
      <c r="C48" s="14"/>
      <c r="D48" s="14"/>
      <c r="E48" s="15"/>
      <c r="F48" s="14"/>
      <c r="G48" s="14"/>
      <c r="H48" s="14"/>
      <c r="I48" s="14"/>
      <c r="J48" s="14"/>
    </row>
    <row r="49" customFormat="false" ht="27" hidden="false" customHeight="true" outlineLevel="0" collapsed="false">
      <c r="A49" s="14"/>
      <c r="B49" s="16"/>
      <c r="C49" s="14"/>
      <c r="D49" s="14"/>
      <c r="E49" s="15"/>
      <c r="F49" s="14"/>
      <c r="G49" s="14"/>
      <c r="H49" s="14"/>
      <c r="I49" s="14"/>
      <c r="J49" s="14"/>
    </row>
    <row r="50" customFormat="false" ht="27" hidden="false" customHeight="true" outlineLevel="0" collapsed="false">
      <c r="A50" s="14"/>
      <c r="B50" s="16"/>
      <c r="C50" s="14"/>
      <c r="D50" s="14"/>
      <c r="E50" s="15"/>
      <c r="F50" s="14"/>
      <c r="G50" s="14"/>
      <c r="H50" s="14"/>
      <c r="I50" s="14"/>
      <c r="J50" s="14"/>
    </row>
    <row r="51" customFormat="false" ht="27" hidden="false" customHeight="true" outlineLevel="0" collapsed="false">
      <c r="A51" s="14"/>
      <c r="B51" s="16"/>
      <c r="C51" s="14"/>
      <c r="D51" s="14"/>
      <c r="E51" s="15"/>
      <c r="F51" s="14"/>
      <c r="G51" s="14"/>
      <c r="H51" s="14"/>
      <c r="I51" s="14"/>
      <c r="J51" s="14"/>
    </row>
    <row r="52" customFormat="false" ht="27" hidden="false" customHeight="true" outlineLevel="0" collapsed="false">
      <c r="A52" s="14"/>
      <c r="B52" s="16"/>
      <c r="C52" s="14"/>
      <c r="D52" s="14"/>
      <c r="E52" s="15"/>
      <c r="F52" s="14"/>
      <c r="G52" s="14"/>
      <c r="H52" s="14"/>
      <c r="I52" s="14"/>
      <c r="J52" s="14"/>
    </row>
    <row r="53" customFormat="false" ht="27" hidden="false" customHeight="true" outlineLevel="0" collapsed="false">
      <c r="A53" s="14"/>
      <c r="B53" s="16"/>
      <c r="C53" s="14"/>
      <c r="D53" s="14"/>
      <c r="E53" s="15"/>
      <c r="F53" s="14"/>
      <c r="G53" s="14"/>
      <c r="H53" s="14"/>
      <c r="I53" s="14"/>
      <c r="J53" s="14"/>
    </row>
    <row r="54" customFormat="false" ht="27" hidden="false" customHeight="true" outlineLevel="0" collapsed="false">
      <c r="A54" s="14"/>
      <c r="B54" s="16"/>
      <c r="C54" s="14"/>
      <c r="D54" s="14"/>
      <c r="E54" s="15"/>
      <c r="F54" s="14"/>
      <c r="G54" s="14"/>
      <c r="H54" s="14"/>
      <c r="I54" s="14"/>
      <c r="J54" s="14"/>
    </row>
    <row r="55" customFormat="false" ht="27" hidden="false" customHeight="true" outlineLevel="0" collapsed="false">
      <c r="A55" s="14"/>
      <c r="B55" s="16"/>
      <c r="C55" s="14"/>
      <c r="D55" s="14"/>
      <c r="E55" s="15"/>
      <c r="F55" s="14"/>
      <c r="G55" s="14"/>
      <c r="H55" s="14"/>
      <c r="I55" s="14"/>
      <c r="J55" s="14"/>
    </row>
    <row r="56" customFormat="false" ht="27" hidden="false" customHeight="true" outlineLevel="0" collapsed="false">
      <c r="A56" s="14"/>
      <c r="B56" s="16"/>
      <c r="C56" s="14"/>
      <c r="D56" s="14"/>
      <c r="E56" s="15"/>
      <c r="F56" s="14"/>
      <c r="G56" s="14"/>
      <c r="H56" s="14"/>
      <c r="I56" s="14"/>
      <c r="J56" s="14"/>
    </row>
    <row r="57" customFormat="false" ht="27" hidden="false" customHeight="true" outlineLevel="0" collapsed="false">
      <c r="A57" s="14"/>
      <c r="B57" s="16"/>
      <c r="C57" s="14"/>
      <c r="D57" s="14"/>
      <c r="E57" s="15"/>
      <c r="F57" s="14"/>
      <c r="G57" s="14"/>
      <c r="H57" s="14"/>
      <c r="I57" s="14"/>
      <c r="J57" s="14"/>
    </row>
    <row r="58" customFormat="false" ht="27" hidden="false" customHeight="true" outlineLevel="0" collapsed="false">
      <c r="A58" s="14"/>
      <c r="B58" s="16"/>
      <c r="C58" s="14"/>
      <c r="D58" s="14"/>
      <c r="E58" s="15"/>
      <c r="F58" s="14"/>
      <c r="G58" s="14"/>
      <c r="H58" s="14"/>
      <c r="I58" s="14"/>
      <c r="J58" s="14"/>
    </row>
    <row r="59" customFormat="false" ht="27" hidden="false" customHeight="true" outlineLevel="0" collapsed="false">
      <c r="A59" s="14"/>
      <c r="B59" s="16"/>
      <c r="C59" s="14"/>
      <c r="D59" s="14"/>
      <c r="E59" s="15"/>
      <c r="F59" s="14"/>
      <c r="G59" s="14"/>
      <c r="H59" s="14"/>
      <c r="I59" s="14"/>
      <c r="J59" s="14"/>
    </row>
    <row r="60" customFormat="false" ht="27" hidden="false" customHeight="true" outlineLevel="0" collapsed="false">
      <c r="A60" s="14"/>
      <c r="B60" s="16"/>
      <c r="C60" s="14"/>
      <c r="D60" s="14"/>
      <c r="E60" s="15"/>
      <c r="F60" s="14"/>
      <c r="G60" s="14"/>
      <c r="H60" s="14"/>
      <c r="I60" s="14"/>
      <c r="J60" s="14"/>
    </row>
    <row r="61" customFormat="false" ht="27" hidden="false" customHeight="true" outlineLevel="0" collapsed="false">
      <c r="A61" s="14"/>
      <c r="B61" s="16"/>
      <c r="C61" s="14"/>
      <c r="D61" s="14"/>
      <c r="E61" s="15"/>
      <c r="F61" s="14"/>
      <c r="G61" s="14"/>
      <c r="H61" s="14"/>
      <c r="I61" s="14"/>
      <c r="J61" s="14"/>
    </row>
    <row r="62" customFormat="false" ht="27" hidden="false" customHeight="true" outlineLevel="0" collapsed="false">
      <c r="A62" s="14"/>
      <c r="B62" s="16"/>
      <c r="C62" s="14"/>
      <c r="D62" s="14"/>
      <c r="E62" s="15"/>
      <c r="F62" s="14"/>
      <c r="G62" s="14"/>
      <c r="H62" s="14"/>
      <c r="I62" s="14"/>
      <c r="J62" s="14"/>
    </row>
    <row r="63" customFormat="false" ht="27" hidden="false" customHeight="true" outlineLevel="0" collapsed="false">
      <c r="A63" s="14"/>
      <c r="B63" s="16"/>
      <c r="C63" s="14"/>
      <c r="D63" s="14"/>
      <c r="E63" s="15"/>
      <c r="F63" s="14"/>
      <c r="G63" s="14"/>
      <c r="H63" s="14"/>
      <c r="I63" s="14"/>
      <c r="J63" s="14"/>
    </row>
    <row r="64" customFormat="false" ht="27" hidden="false" customHeight="true" outlineLevel="0" collapsed="false">
      <c r="A64" s="14"/>
      <c r="B64" s="16"/>
      <c r="C64" s="14"/>
      <c r="D64" s="14"/>
      <c r="E64" s="15"/>
      <c r="F64" s="14"/>
      <c r="G64" s="14"/>
      <c r="H64" s="14"/>
      <c r="I64" s="14"/>
      <c r="J64" s="14"/>
    </row>
  </sheetData>
  <conditionalFormatting sqref="A5:A64">
    <cfRule type="expression" priority="2" aboveAverage="0" equalAverage="0" bottom="0" percent="0" rank="0" text="" dxfId="25">
      <formula>AND(A5&lt;&gt;"",COUNTIF($A$5:$A$64,A5)&gt;1)</formula>
    </cfRule>
  </conditionalFormatting>
  <dataValidations count="3">
    <dataValidation allowBlank="false" errorStyle="stop" operator="between" showDropDown="false" showErrorMessage="false" showInputMessage="false" sqref="C5:C504" type="list">
      <formula1>"Bahan baku,Operasional,Utilitas,Perawatan,Gaji,Sewa,Lainnya"</formula1>
      <formula2>0</formula2>
    </dataValidation>
    <dataValidation allowBlank="false" errorStyle="stop" operator="between" showDropDown="false" showErrorMessage="false" showInputMessage="false" sqref="F5:F504" type="list">
      <formula1>"Tunai,QRIS,Debit,Transfer,E-wallet,Kredit"</formula1>
      <formula2>0</formula2>
    </dataValidation>
    <dataValidation allowBlank="false" errorStyle="stop" operator="between" showDropDown="false" showErrorMessage="false" showInputMessage="false" sqref="I5:I504" type="list">
      <formula1>"Ya,Tidak"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1"/>
    <col collapsed="false" customWidth="true" hidden="false" outlineLevel="0" max="4" min="4" style="0" width="18"/>
    <col collapsed="false" customWidth="true" hidden="false" outlineLevel="0" max="5" min="5" style="0" width="21"/>
    <col collapsed="false" customWidth="true" hidden="false" outlineLevel="0" max="6" min="6" style="0" width="42"/>
    <col collapsed="false" customWidth="true" hidden="false" outlineLevel="0" max="9" min="7" style="0" width="18"/>
    <col collapsed="false" customWidth="true" hidden="false" outlineLevel="0" max="10" min="10" style="0" width="27"/>
    <col collapsed="false" customWidth="true" hidden="false" outlineLevel="0" max="11" min="11" style="0" width="29"/>
  </cols>
  <sheetData>
    <row r="1" customFormat="false" ht="38" hidden="false" customHeight="true" outlineLevel="0" collapsed="false">
      <c r="A1" s="8" t="s">
        <v>324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9" hidden="false" customHeight="true" outlineLevel="0" collapsed="false">
      <c r="A2" s="9" t="s">
        <v>325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24" hidden="false" customHeight="true" outlineLevel="0" collapsed="false">
      <c r="A3" s="10" t="s">
        <v>68</v>
      </c>
      <c r="B3" s="11" t="s">
        <v>69</v>
      </c>
      <c r="C3" s="12" t="s">
        <v>70</v>
      </c>
    </row>
    <row r="4" customFormat="false" ht="48" hidden="false" customHeight="true" outlineLevel="0" collapsed="false">
      <c r="A4" s="13" t="s">
        <v>326</v>
      </c>
      <c r="B4" s="13" t="s">
        <v>243</v>
      </c>
      <c r="C4" s="13" t="s">
        <v>244</v>
      </c>
      <c r="D4" s="13" t="s">
        <v>74</v>
      </c>
      <c r="E4" s="13" t="s">
        <v>310</v>
      </c>
      <c r="F4" s="13" t="s">
        <v>206</v>
      </c>
      <c r="G4" s="13" t="s">
        <v>327</v>
      </c>
      <c r="H4" s="13" t="s">
        <v>328</v>
      </c>
      <c r="I4" s="13" t="s">
        <v>77</v>
      </c>
      <c r="J4" s="13" t="s">
        <v>329</v>
      </c>
      <c r="K4" s="13" t="s">
        <v>330</v>
      </c>
    </row>
    <row r="5" customFormat="false" ht="27" hidden="false" customHeight="true" outlineLevel="0" collapsed="false">
      <c r="A5" s="14" t="s">
        <v>331</v>
      </c>
      <c r="B5" s="14" t="s">
        <v>222</v>
      </c>
      <c r="C5" s="16" t="n">
        <v>46325</v>
      </c>
      <c r="D5" s="14" t="s">
        <v>332</v>
      </c>
      <c r="E5" s="15" t="n">
        <v>5000</v>
      </c>
      <c r="F5" s="14" t="s">
        <v>333</v>
      </c>
      <c r="G5" s="14" t="s">
        <v>259</v>
      </c>
      <c r="H5" s="14" t="s">
        <v>334</v>
      </c>
      <c r="I5" s="14" t="s">
        <v>335</v>
      </c>
      <c r="J5" s="22" t="n">
        <v>46325.6666666667</v>
      </c>
      <c r="K5" s="14" t="s">
        <v>268</v>
      </c>
    </row>
    <row r="6" customFormat="false" ht="27" hidden="false" customHeight="true" outlineLevel="0" collapsed="false">
      <c r="A6" s="14" t="s">
        <v>336</v>
      </c>
      <c r="B6" s="14" t="s">
        <v>224</v>
      </c>
      <c r="C6" s="16" t="n">
        <v>46325</v>
      </c>
      <c r="D6" s="14" t="s">
        <v>337</v>
      </c>
      <c r="E6" s="15" t="n">
        <v>10000</v>
      </c>
      <c r="F6" s="14" t="s">
        <v>338</v>
      </c>
      <c r="G6" s="14" t="s">
        <v>259</v>
      </c>
      <c r="H6" s="14"/>
      <c r="I6" s="14" t="s">
        <v>305</v>
      </c>
      <c r="J6" s="22"/>
      <c r="K6" s="14" t="s">
        <v>262</v>
      </c>
    </row>
    <row r="7" customFormat="false" ht="27" hidden="false" customHeight="true" outlineLevel="0" collapsed="false">
      <c r="A7" s="14"/>
      <c r="B7" s="14"/>
      <c r="C7" s="16"/>
      <c r="D7" s="14"/>
      <c r="E7" s="15"/>
      <c r="F7" s="14"/>
      <c r="G7" s="14"/>
      <c r="H7" s="14"/>
      <c r="I7" s="14"/>
      <c r="J7" s="22"/>
      <c r="K7" s="14"/>
    </row>
    <row r="8" customFormat="false" ht="27" hidden="false" customHeight="true" outlineLevel="0" collapsed="false">
      <c r="A8" s="14"/>
      <c r="B8" s="14"/>
      <c r="C8" s="16"/>
      <c r="D8" s="14"/>
      <c r="E8" s="15"/>
      <c r="F8" s="14"/>
      <c r="G8" s="14"/>
      <c r="H8" s="14"/>
      <c r="I8" s="14"/>
      <c r="J8" s="22"/>
      <c r="K8" s="14"/>
    </row>
    <row r="9" customFormat="false" ht="27" hidden="false" customHeight="true" outlineLevel="0" collapsed="false">
      <c r="A9" s="14"/>
      <c r="B9" s="14"/>
      <c r="C9" s="16"/>
      <c r="D9" s="14"/>
      <c r="E9" s="15"/>
      <c r="F9" s="14"/>
      <c r="G9" s="14"/>
      <c r="H9" s="14"/>
      <c r="I9" s="14"/>
      <c r="J9" s="22"/>
      <c r="K9" s="14"/>
    </row>
    <row r="10" customFormat="false" ht="27" hidden="false" customHeight="true" outlineLevel="0" collapsed="false">
      <c r="A10" s="14"/>
      <c r="B10" s="14"/>
      <c r="C10" s="16"/>
      <c r="D10" s="14"/>
      <c r="E10" s="15"/>
      <c r="F10" s="14"/>
      <c r="G10" s="14"/>
      <c r="H10" s="14"/>
      <c r="I10" s="14"/>
      <c r="J10" s="22"/>
      <c r="K10" s="14"/>
    </row>
    <row r="11" customFormat="false" ht="27" hidden="false" customHeight="true" outlineLevel="0" collapsed="false">
      <c r="A11" s="14"/>
      <c r="B11" s="14"/>
      <c r="C11" s="16"/>
      <c r="D11" s="14"/>
      <c r="E11" s="15"/>
      <c r="F11" s="14"/>
      <c r="G11" s="14"/>
      <c r="H11" s="14"/>
      <c r="I11" s="14"/>
      <c r="J11" s="22"/>
      <c r="K11" s="14"/>
    </row>
    <row r="12" customFormat="false" ht="27" hidden="false" customHeight="true" outlineLevel="0" collapsed="false">
      <c r="A12" s="14"/>
      <c r="B12" s="14"/>
      <c r="C12" s="16"/>
      <c r="D12" s="14"/>
      <c r="E12" s="15"/>
      <c r="F12" s="14"/>
      <c r="G12" s="14"/>
      <c r="H12" s="14"/>
      <c r="I12" s="14"/>
      <c r="J12" s="22"/>
      <c r="K12" s="14"/>
    </row>
    <row r="13" customFormat="false" ht="27" hidden="false" customHeight="true" outlineLevel="0" collapsed="false">
      <c r="A13" s="14"/>
      <c r="B13" s="14"/>
      <c r="C13" s="16"/>
      <c r="D13" s="14"/>
      <c r="E13" s="15"/>
      <c r="F13" s="14"/>
      <c r="G13" s="14"/>
      <c r="H13" s="14"/>
      <c r="I13" s="14"/>
      <c r="J13" s="22"/>
      <c r="K13" s="14"/>
    </row>
    <row r="14" customFormat="false" ht="27" hidden="false" customHeight="true" outlineLevel="0" collapsed="false">
      <c r="A14" s="14"/>
      <c r="B14" s="14"/>
      <c r="C14" s="16"/>
      <c r="D14" s="14"/>
      <c r="E14" s="15"/>
      <c r="F14" s="14"/>
      <c r="G14" s="14"/>
      <c r="H14" s="14"/>
      <c r="I14" s="14"/>
      <c r="J14" s="22"/>
      <c r="K14" s="14"/>
    </row>
    <row r="15" customFormat="false" ht="27" hidden="false" customHeight="true" outlineLevel="0" collapsed="false">
      <c r="A15" s="14"/>
      <c r="B15" s="14"/>
      <c r="C15" s="16"/>
      <c r="D15" s="14"/>
      <c r="E15" s="15"/>
      <c r="F15" s="14"/>
      <c r="G15" s="14"/>
      <c r="H15" s="14"/>
      <c r="I15" s="14"/>
      <c r="J15" s="22"/>
      <c r="K15" s="14"/>
    </row>
    <row r="16" customFormat="false" ht="27" hidden="false" customHeight="true" outlineLevel="0" collapsed="false">
      <c r="A16" s="14"/>
      <c r="B16" s="14"/>
      <c r="C16" s="16"/>
      <c r="D16" s="14"/>
      <c r="E16" s="15"/>
      <c r="F16" s="14"/>
      <c r="G16" s="14"/>
      <c r="H16" s="14"/>
      <c r="I16" s="14"/>
      <c r="J16" s="22"/>
      <c r="K16" s="14"/>
    </row>
    <row r="17" customFormat="false" ht="27" hidden="false" customHeight="true" outlineLevel="0" collapsed="false">
      <c r="A17" s="14"/>
      <c r="B17" s="14"/>
      <c r="C17" s="16"/>
      <c r="D17" s="14"/>
      <c r="E17" s="15"/>
      <c r="F17" s="14"/>
      <c r="G17" s="14"/>
      <c r="H17" s="14"/>
      <c r="I17" s="14"/>
      <c r="J17" s="22"/>
      <c r="K17" s="14"/>
    </row>
    <row r="18" customFormat="false" ht="27" hidden="false" customHeight="true" outlineLevel="0" collapsed="false">
      <c r="A18" s="14"/>
      <c r="B18" s="14"/>
      <c r="C18" s="16"/>
      <c r="D18" s="14"/>
      <c r="E18" s="15"/>
      <c r="F18" s="14"/>
      <c r="G18" s="14"/>
      <c r="H18" s="14"/>
      <c r="I18" s="14"/>
      <c r="J18" s="22"/>
      <c r="K18" s="14"/>
    </row>
    <row r="19" customFormat="false" ht="27" hidden="false" customHeight="true" outlineLevel="0" collapsed="false">
      <c r="A19" s="14"/>
      <c r="B19" s="14"/>
      <c r="C19" s="16"/>
      <c r="D19" s="14"/>
      <c r="E19" s="15"/>
      <c r="F19" s="14"/>
      <c r="G19" s="14"/>
      <c r="H19" s="14"/>
      <c r="I19" s="14"/>
      <c r="J19" s="22"/>
      <c r="K19" s="14"/>
    </row>
    <row r="20" customFormat="false" ht="27" hidden="false" customHeight="true" outlineLevel="0" collapsed="false">
      <c r="A20" s="14"/>
      <c r="B20" s="14"/>
      <c r="C20" s="16"/>
      <c r="D20" s="14"/>
      <c r="E20" s="15"/>
      <c r="F20" s="14"/>
      <c r="G20" s="14"/>
      <c r="H20" s="14"/>
      <c r="I20" s="14"/>
      <c r="J20" s="22"/>
      <c r="K20" s="14"/>
    </row>
    <row r="21" customFormat="false" ht="27" hidden="false" customHeight="true" outlineLevel="0" collapsed="false">
      <c r="A21" s="14"/>
      <c r="B21" s="14"/>
      <c r="C21" s="16"/>
      <c r="D21" s="14"/>
      <c r="E21" s="15"/>
      <c r="F21" s="14"/>
      <c r="G21" s="14"/>
      <c r="H21" s="14"/>
      <c r="I21" s="14"/>
      <c r="J21" s="22"/>
      <c r="K21" s="14"/>
    </row>
    <row r="22" customFormat="false" ht="27" hidden="false" customHeight="true" outlineLevel="0" collapsed="false">
      <c r="A22" s="14"/>
      <c r="B22" s="14"/>
      <c r="C22" s="16"/>
      <c r="D22" s="14"/>
      <c r="E22" s="15"/>
      <c r="F22" s="14"/>
      <c r="G22" s="14"/>
      <c r="H22" s="14"/>
      <c r="I22" s="14"/>
      <c r="J22" s="22"/>
      <c r="K22" s="14"/>
    </row>
    <row r="23" customFormat="false" ht="27" hidden="false" customHeight="true" outlineLevel="0" collapsed="false">
      <c r="A23" s="14"/>
      <c r="B23" s="14"/>
      <c r="C23" s="16"/>
      <c r="D23" s="14"/>
      <c r="E23" s="15"/>
      <c r="F23" s="14"/>
      <c r="G23" s="14"/>
      <c r="H23" s="14"/>
      <c r="I23" s="14"/>
      <c r="J23" s="22"/>
      <c r="K23" s="14"/>
    </row>
    <row r="24" customFormat="false" ht="27" hidden="false" customHeight="true" outlineLevel="0" collapsed="false">
      <c r="A24" s="14"/>
      <c r="B24" s="14"/>
      <c r="C24" s="16"/>
      <c r="D24" s="14"/>
      <c r="E24" s="15"/>
      <c r="F24" s="14"/>
      <c r="G24" s="14"/>
      <c r="H24" s="14"/>
      <c r="I24" s="14"/>
      <c r="J24" s="22"/>
      <c r="K24" s="14"/>
    </row>
    <row r="25" customFormat="false" ht="27" hidden="false" customHeight="true" outlineLevel="0" collapsed="false">
      <c r="A25" s="14"/>
      <c r="B25" s="14"/>
      <c r="C25" s="16"/>
      <c r="D25" s="14"/>
      <c r="E25" s="15"/>
      <c r="F25" s="14"/>
      <c r="G25" s="14"/>
      <c r="H25" s="14"/>
      <c r="I25" s="14"/>
      <c r="J25" s="22"/>
      <c r="K25" s="14"/>
    </row>
    <row r="26" customFormat="false" ht="27" hidden="false" customHeight="true" outlineLevel="0" collapsed="false">
      <c r="A26" s="14"/>
      <c r="B26" s="14"/>
      <c r="C26" s="16"/>
      <c r="D26" s="14"/>
      <c r="E26" s="15"/>
      <c r="F26" s="14"/>
      <c r="G26" s="14"/>
      <c r="H26" s="14"/>
      <c r="I26" s="14"/>
      <c r="J26" s="22"/>
      <c r="K26" s="14"/>
    </row>
    <row r="27" customFormat="false" ht="27" hidden="false" customHeight="true" outlineLevel="0" collapsed="false">
      <c r="A27" s="14"/>
      <c r="B27" s="14"/>
      <c r="C27" s="16"/>
      <c r="D27" s="14"/>
      <c r="E27" s="15"/>
      <c r="F27" s="14"/>
      <c r="G27" s="14"/>
      <c r="H27" s="14"/>
      <c r="I27" s="14"/>
      <c r="J27" s="22"/>
      <c r="K27" s="14"/>
    </row>
    <row r="28" customFormat="false" ht="27" hidden="false" customHeight="true" outlineLevel="0" collapsed="false">
      <c r="A28" s="14"/>
      <c r="B28" s="14"/>
      <c r="C28" s="16"/>
      <c r="D28" s="14"/>
      <c r="E28" s="15"/>
      <c r="F28" s="14"/>
      <c r="G28" s="14"/>
      <c r="H28" s="14"/>
      <c r="I28" s="14"/>
      <c r="J28" s="22"/>
      <c r="K28" s="14"/>
    </row>
    <row r="29" customFormat="false" ht="27" hidden="false" customHeight="true" outlineLevel="0" collapsed="false">
      <c r="A29" s="14"/>
      <c r="B29" s="14"/>
      <c r="C29" s="16"/>
      <c r="D29" s="14"/>
      <c r="E29" s="15"/>
      <c r="F29" s="14"/>
      <c r="G29" s="14"/>
      <c r="H29" s="14"/>
      <c r="I29" s="14"/>
      <c r="J29" s="22"/>
      <c r="K29" s="14"/>
    </row>
    <row r="30" customFormat="false" ht="27" hidden="false" customHeight="true" outlineLevel="0" collapsed="false">
      <c r="A30" s="14"/>
      <c r="B30" s="14"/>
      <c r="C30" s="16"/>
      <c r="D30" s="14"/>
      <c r="E30" s="15"/>
      <c r="F30" s="14"/>
      <c r="G30" s="14"/>
      <c r="H30" s="14"/>
      <c r="I30" s="14"/>
      <c r="J30" s="22"/>
      <c r="K30" s="14"/>
    </row>
    <row r="31" customFormat="false" ht="27" hidden="false" customHeight="true" outlineLevel="0" collapsed="false">
      <c r="A31" s="14"/>
      <c r="B31" s="14"/>
      <c r="C31" s="16"/>
      <c r="D31" s="14"/>
      <c r="E31" s="15"/>
      <c r="F31" s="14"/>
      <c r="G31" s="14"/>
      <c r="H31" s="14"/>
      <c r="I31" s="14"/>
      <c r="J31" s="22"/>
      <c r="K31" s="14"/>
    </row>
    <row r="32" customFormat="false" ht="27" hidden="false" customHeight="true" outlineLevel="0" collapsed="false">
      <c r="A32" s="14"/>
      <c r="B32" s="14"/>
      <c r="C32" s="16"/>
      <c r="D32" s="14"/>
      <c r="E32" s="15"/>
      <c r="F32" s="14"/>
      <c r="G32" s="14"/>
      <c r="H32" s="14"/>
      <c r="I32" s="14"/>
      <c r="J32" s="22"/>
      <c r="K32" s="14"/>
    </row>
    <row r="33" customFormat="false" ht="27" hidden="false" customHeight="true" outlineLevel="0" collapsed="false">
      <c r="A33" s="14"/>
      <c r="B33" s="14"/>
      <c r="C33" s="16"/>
      <c r="D33" s="14"/>
      <c r="E33" s="15"/>
      <c r="F33" s="14"/>
      <c r="G33" s="14"/>
      <c r="H33" s="14"/>
      <c r="I33" s="14"/>
      <c r="J33" s="22"/>
      <c r="K33" s="14"/>
    </row>
    <row r="34" customFormat="false" ht="27" hidden="false" customHeight="true" outlineLevel="0" collapsed="false">
      <c r="A34" s="14"/>
      <c r="B34" s="14"/>
      <c r="C34" s="16"/>
      <c r="D34" s="14"/>
      <c r="E34" s="15"/>
      <c r="F34" s="14"/>
      <c r="G34" s="14"/>
      <c r="H34" s="14"/>
      <c r="I34" s="14"/>
      <c r="J34" s="22"/>
      <c r="K34" s="14"/>
    </row>
    <row r="35" customFormat="false" ht="27" hidden="false" customHeight="true" outlineLevel="0" collapsed="false">
      <c r="A35" s="14"/>
      <c r="B35" s="14"/>
      <c r="C35" s="16"/>
      <c r="D35" s="14"/>
      <c r="E35" s="15"/>
      <c r="F35" s="14"/>
      <c r="G35" s="14"/>
      <c r="H35" s="14"/>
      <c r="I35" s="14"/>
      <c r="J35" s="22"/>
      <c r="K35" s="14"/>
    </row>
    <row r="36" customFormat="false" ht="27" hidden="false" customHeight="true" outlineLevel="0" collapsed="false">
      <c r="A36" s="14"/>
      <c r="B36" s="14"/>
      <c r="C36" s="16"/>
      <c r="D36" s="14"/>
      <c r="E36" s="15"/>
      <c r="F36" s="14"/>
      <c r="G36" s="14"/>
      <c r="H36" s="14"/>
      <c r="I36" s="14"/>
      <c r="J36" s="22"/>
      <c r="K36" s="14"/>
    </row>
    <row r="37" customFormat="false" ht="27" hidden="false" customHeight="true" outlineLevel="0" collapsed="false">
      <c r="A37" s="14"/>
      <c r="B37" s="14"/>
      <c r="C37" s="16"/>
      <c r="D37" s="14"/>
      <c r="E37" s="15"/>
      <c r="F37" s="14"/>
      <c r="G37" s="14"/>
      <c r="H37" s="14"/>
      <c r="I37" s="14"/>
      <c r="J37" s="22"/>
      <c r="K37" s="14"/>
    </row>
    <row r="38" customFormat="false" ht="27" hidden="false" customHeight="true" outlineLevel="0" collapsed="false">
      <c r="A38" s="14"/>
      <c r="B38" s="14"/>
      <c r="C38" s="16"/>
      <c r="D38" s="14"/>
      <c r="E38" s="15"/>
      <c r="F38" s="14"/>
      <c r="G38" s="14"/>
      <c r="H38" s="14"/>
      <c r="I38" s="14"/>
      <c r="J38" s="22"/>
      <c r="K38" s="14"/>
    </row>
    <row r="39" customFormat="false" ht="27" hidden="false" customHeight="true" outlineLevel="0" collapsed="false">
      <c r="A39" s="14"/>
      <c r="B39" s="14"/>
      <c r="C39" s="16"/>
      <c r="D39" s="14"/>
      <c r="E39" s="15"/>
      <c r="F39" s="14"/>
      <c r="G39" s="14"/>
      <c r="H39" s="14"/>
      <c r="I39" s="14"/>
      <c r="J39" s="22"/>
      <c r="K39" s="14"/>
    </row>
    <row r="40" customFormat="false" ht="27" hidden="false" customHeight="true" outlineLevel="0" collapsed="false">
      <c r="A40" s="14"/>
      <c r="B40" s="14"/>
      <c r="C40" s="16"/>
      <c r="D40" s="14"/>
      <c r="E40" s="15"/>
      <c r="F40" s="14"/>
      <c r="G40" s="14"/>
      <c r="H40" s="14"/>
      <c r="I40" s="14"/>
      <c r="J40" s="22"/>
      <c r="K40" s="14"/>
    </row>
    <row r="41" customFormat="false" ht="27" hidden="false" customHeight="true" outlineLevel="0" collapsed="false">
      <c r="A41" s="14"/>
      <c r="B41" s="14"/>
      <c r="C41" s="16"/>
      <c r="D41" s="14"/>
      <c r="E41" s="15"/>
      <c r="F41" s="14"/>
      <c r="G41" s="14"/>
      <c r="H41" s="14"/>
      <c r="I41" s="14"/>
      <c r="J41" s="22"/>
      <c r="K41" s="14"/>
    </row>
    <row r="42" customFormat="false" ht="27" hidden="false" customHeight="true" outlineLevel="0" collapsed="false">
      <c r="A42" s="14"/>
      <c r="B42" s="14"/>
      <c r="C42" s="16"/>
      <c r="D42" s="14"/>
      <c r="E42" s="15"/>
      <c r="F42" s="14"/>
      <c r="G42" s="14"/>
      <c r="H42" s="14"/>
      <c r="I42" s="14"/>
      <c r="J42" s="22"/>
      <c r="K42" s="14"/>
    </row>
    <row r="43" customFormat="false" ht="27" hidden="false" customHeight="true" outlineLevel="0" collapsed="false">
      <c r="A43" s="14"/>
      <c r="B43" s="14"/>
      <c r="C43" s="16"/>
      <c r="D43" s="14"/>
      <c r="E43" s="15"/>
      <c r="F43" s="14"/>
      <c r="G43" s="14"/>
      <c r="H43" s="14"/>
      <c r="I43" s="14"/>
      <c r="J43" s="22"/>
      <c r="K43" s="14"/>
    </row>
    <row r="44" customFormat="false" ht="27" hidden="false" customHeight="true" outlineLevel="0" collapsed="false">
      <c r="A44" s="14"/>
      <c r="B44" s="14"/>
      <c r="C44" s="16"/>
      <c r="D44" s="14"/>
      <c r="E44" s="15"/>
      <c r="F44" s="14"/>
      <c r="G44" s="14"/>
      <c r="H44" s="14"/>
      <c r="I44" s="14"/>
      <c r="J44" s="22"/>
      <c r="K44" s="14"/>
    </row>
    <row r="45" customFormat="false" ht="27" hidden="false" customHeight="true" outlineLevel="0" collapsed="false">
      <c r="A45" s="14"/>
      <c r="B45" s="14"/>
      <c r="C45" s="16"/>
      <c r="D45" s="14"/>
      <c r="E45" s="15"/>
      <c r="F45" s="14"/>
      <c r="G45" s="14"/>
      <c r="H45" s="14"/>
      <c r="I45" s="14"/>
      <c r="J45" s="22"/>
      <c r="K45" s="14"/>
    </row>
    <row r="46" customFormat="false" ht="27" hidden="false" customHeight="true" outlineLevel="0" collapsed="false">
      <c r="A46" s="14"/>
      <c r="B46" s="14"/>
      <c r="C46" s="16"/>
      <c r="D46" s="14"/>
      <c r="E46" s="15"/>
      <c r="F46" s="14"/>
      <c r="G46" s="14"/>
      <c r="H46" s="14"/>
      <c r="I46" s="14"/>
      <c r="J46" s="22"/>
      <c r="K46" s="14"/>
    </row>
    <row r="47" customFormat="false" ht="27" hidden="false" customHeight="true" outlineLevel="0" collapsed="false">
      <c r="A47" s="14"/>
      <c r="B47" s="14"/>
      <c r="C47" s="16"/>
      <c r="D47" s="14"/>
      <c r="E47" s="15"/>
      <c r="F47" s="14"/>
      <c r="G47" s="14"/>
      <c r="H47" s="14"/>
      <c r="I47" s="14"/>
      <c r="J47" s="22"/>
      <c r="K47" s="14"/>
    </row>
    <row r="48" customFormat="false" ht="27" hidden="false" customHeight="true" outlineLevel="0" collapsed="false">
      <c r="A48" s="14"/>
      <c r="B48" s="14"/>
      <c r="C48" s="16"/>
      <c r="D48" s="14"/>
      <c r="E48" s="15"/>
      <c r="F48" s="14"/>
      <c r="G48" s="14"/>
      <c r="H48" s="14"/>
      <c r="I48" s="14"/>
      <c r="J48" s="22"/>
      <c r="K48" s="14"/>
    </row>
    <row r="49" customFormat="false" ht="27" hidden="false" customHeight="true" outlineLevel="0" collapsed="false">
      <c r="A49" s="14"/>
      <c r="B49" s="14"/>
      <c r="C49" s="16"/>
      <c r="D49" s="14"/>
      <c r="E49" s="15"/>
      <c r="F49" s="14"/>
      <c r="G49" s="14"/>
      <c r="H49" s="14"/>
      <c r="I49" s="14"/>
      <c r="J49" s="22"/>
      <c r="K49" s="14"/>
    </row>
    <row r="50" customFormat="false" ht="27" hidden="false" customHeight="true" outlineLevel="0" collapsed="false">
      <c r="A50" s="14"/>
      <c r="B50" s="14"/>
      <c r="C50" s="16"/>
      <c r="D50" s="14"/>
      <c r="E50" s="15"/>
      <c r="F50" s="14"/>
      <c r="G50" s="14"/>
      <c r="H50" s="14"/>
      <c r="I50" s="14"/>
      <c r="J50" s="22"/>
      <c r="K50" s="14"/>
    </row>
    <row r="51" customFormat="false" ht="27" hidden="false" customHeight="true" outlineLevel="0" collapsed="false">
      <c r="A51" s="14"/>
      <c r="B51" s="14"/>
      <c r="C51" s="16"/>
      <c r="D51" s="14"/>
      <c r="E51" s="15"/>
      <c r="F51" s="14"/>
      <c r="G51" s="14"/>
      <c r="H51" s="14"/>
      <c r="I51" s="14"/>
      <c r="J51" s="22"/>
      <c r="K51" s="14"/>
    </row>
    <row r="52" customFormat="false" ht="27" hidden="false" customHeight="true" outlineLevel="0" collapsed="false">
      <c r="A52" s="14"/>
      <c r="B52" s="14"/>
      <c r="C52" s="16"/>
      <c r="D52" s="14"/>
      <c r="E52" s="15"/>
      <c r="F52" s="14"/>
      <c r="G52" s="14"/>
      <c r="H52" s="14"/>
      <c r="I52" s="14"/>
      <c r="J52" s="22"/>
      <c r="K52" s="14"/>
    </row>
    <row r="53" customFormat="false" ht="27" hidden="false" customHeight="true" outlineLevel="0" collapsed="false">
      <c r="A53" s="14"/>
      <c r="B53" s="14"/>
      <c r="C53" s="16"/>
      <c r="D53" s="14"/>
      <c r="E53" s="15"/>
      <c r="F53" s="14"/>
      <c r="G53" s="14"/>
      <c r="H53" s="14"/>
      <c r="I53" s="14"/>
      <c r="J53" s="22"/>
      <c r="K53" s="14"/>
    </row>
    <row r="54" customFormat="false" ht="27" hidden="false" customHeight="true" outlineLevel="0" collapsed="false">
      <c r="A54" s="14"/>
      <c r="B54" s="14"/>
      <c r="C54" s="16"/>
      <c r="D54" s="14"/>
      <c r="E54" s="15"/>
      <c r="F54" s="14"/>
      <c r="G54" s="14"/>
      <c r="H54" s="14"/>
      <c r="I54" s="14"/>
      <c r="J54" s="22"/>
      <c r="K54" s="14"/>
    </row>
    <row r="55" customFormat="false" ht="27" hidden="false" customHeight="true" outlineLevel="0" collapsed="false">
      <c r="A55" s="14"/>
      <c r="B55" s="14"/>
      <c r="C55" s="16"/>
      <c r="D55" s="14"/>
      <c r="E55" s="15"/>
      <c r="F55" s="14"/>
      <c r="G55" s="14"/>
      <c r="H55" s="14"/>
      <c r="I55" s="14"/>
      <c r="J55" s="22"/>
      <c r="K55" s="14"/>
    </row>
    <row r="56" customFormat="false" ht="27" hidden="false" customHeight="true" outlineLevel="0" collapsed="false">
      <c r="A56" s="14"/>
      <c r="B56" s="14"/>
      <c r="C56" s="16"/>
      <c r="D56" s="14"/>
      <c r="E56" s="15"/>
      <c r="F56" s="14"/>
      <c r="G56" s="14"/>
      <c r="H56" s="14"/>
      <c r="I56" s="14"/>
      <c r="J56" s="22"/>
      <c r="K56" s="14"/>
    </row>
    <row r="57" customFormat="false" ht="27" hidden="false" customHeight="true" outlineLevel="0" collapsed="false">
      <c r="A57" s="14"/>
      <c r="B57" s="14"/>
      <c r="C57" s="16"/>
      <c r="D57" s="14"/>
      <c r="E57" s="15"/>
      <c r="F57" s="14"/>
      <c r="G57" s="14"/>
      <c r="H57" s="14"/>
      <c r="I57" s="14"/>
      <c r="J57" s="22"/>
      <c r="K57" s="14"/>
    </row>
    <row r="58" customFormat="false" ht="27" hidden="false" customHeight="true" outlineLevel="0" collapsed="false">
      <c r="A58" s="14"/>
      <c r="B58" s="14"/>
      <c r="C58" s="16"/>
      <c r="D58" s="14"/>
      <c r="E58" s="15"/>
      <c r="F58" s="14"/>
      <c r="G58" s="14"/>
      <c r="H58" s="14"/>
      <c r="I58" s="14"/>
      <c r="J58" s="22"/>
      <c r="K58" s="14"/>
    </row>
    <row r="59" customFormat="false" ht="27" hidden="false" customHeight="true" outlineLevel="0" collapsed="false">
      <c r="A59" s="14"/>
      <c r="B59" s="14"/>
      <c r="C59" s="16"/>
      <c r="D59" s="14"/>
      <c r="E59" s="15"/>
      <c r="F59" s="14"/>
      <c r="G59" s="14"/>
      <c r="H59" s="14"/>
      <c r="I59" s="14"/>
      <c r="J59" s="22"/>
      <c r="K59" s="14"/>
    </row>
    <row r="60" customFormat="false" ht="27" hidden="false" customHeight="true" outlineLevel="0" collapsed="false">
      <c r="A60" s="14"/>
      <c r="B60" s="14"/>
      <c r="C60" s="16"/>
      <c r="D60" s="14"/>
      <c r="E60" s="15"/>
      <c r="F60" s="14"/>
      <c r="G60" s="14"/>
      <c r="H60" s="14"/>
      <c r="I60" s="14"/>
      <c r="J60" s="22"/>
      <c r="K60" s="14"/>
    </row>
    <row r="61" customFormat="false" ht="27" hidden="false" customHeight="true" outlineLevel="0" collapsed="false">
      <c r="A61" s="14"/>
      <c r="B61" s="14"/>
      <c r="C61" s="16"/>
      <c r="D61" s="14"/>
      <c r="E61" s="15"/>
      <c r="F61" s="14"/>
      <c r="G61" s="14"/>
      <c r="H61" s="14"/>
      <c r="I61" s="14"/>
      <c r="J61" s="22"/>
      <c r="K61" s="14"/>
    </row>
    <row r="62" customFormat="false" ht="27" hidden="false" customHeight="true" outlineLevel="0" collapsed="false">
      <c r="A62" s="14"/>
      <c r="B62" s="14"/>
      <c r="C62" s="16"/>
      <c r="D62" s="14"/>
      <c r="E62" s="15"/>
      <c r="F62" s="14"/>
      <c r="G62" s="14"/>
      <c r="H62" s="14"/>
      <c r="I62" s="14"/>
      <c r="J62" s="22"/>
      <c r="K62" s="14"/>
    </row>
    <row r="63" customFormat="false" ht="27" hidden="false" customHeight="true" outlineLevel="0" collapsed="false">
      <c r="A63" s="14"/>
      <c r="B63" s="14"/>
      <c r="C63" s="16"/>
      <c r="D63" s="14"/>
      <c r="E63" s="15"/>
      <c r="F63" s="14"/>
      <c r="G63" s="14"/>
      <c r="H63" s="14"/>
      <c r="I63" s="14"/>
      <c r="J63" s="22"/>
      <c r="K63" s="14"/>
    </row>
    <row r="64" customFormat="false" ht="27" hidden="false" customHeight="true" outlineLevel="0" collapsed="false">
      <c r="A64" s="14"/>
      <c r="B64" s="14"/>
      <c r="C64" s="16"/>
      <c r="D64" s="14"/>
      <c r="E64" s="15"/>
      <c r="F64" s="14"/>
      <c r="G64" s="14"/>
      <c r="H64" s="14"/>
      <c r="I64" s="14"/>
      <c r="J64" s="22"/>
      <c r="K64" s="14"/>
    </row>
  </sheetData>
  <conditionalFormatting sqref="A5:A64">
    <cfRule type="expression" priority="2" aboveAverage="0" equalAverage="0" bottom="0" percent="0" rank="0" text="" dxfId="28">
      <formula>AND(A5&lt;&gt;"",COUNTIF($A$5:$A$64,A5)&gt;1)</formula>
    </cfRule>
  </conditionalFormatting>
  <conditionalFormatting sqref="I5:I64">
    <cfRule type="containsText" priority="3" operator="containsText" aboveAverage="0" equalAverage="0" bottom="0" percent="0" rank="0" text="Menunggu" dxfId="29">
      <formula>NOT(ISERROR(SEARCH("Menunggu",I5)))</formula>
    </cfRule>
  </conditionalFormatting>
  <dataValidations count="4">
    <dataValidation allowBlank="false" errorStyle="stop" operator="between" showDropDown="false" showErrorMessage="false" showInputMessage="false" sqref="B5:B504" type="list">
      <formula1>'TRANSAKSI PENJUALAN'!$A$5:$A$504</formula1>
      <formula2>0</formula2>
    </dataValidation>
    <dataValidation allowBlank="false" errorStyle="stop" operator="between" showDropDown="false" showErrorMessage="false" showInputMessage="false" sqref="D5:D504" type="list">
      <formula1>"Refund sebagian,Refund penuh,Pembatalan"</formula1>
      <formula2>0</formula2>
    </dataValidation>
    <dataValidation allowBlank="false" errorStyle="stop" operator="between" showDropDown="false" showErrorMessage="false" showInputMessage="false" sqref="I5:I504" type="list">
      <formula1>"Menunggu,Disetujui,Berhasil,Gagal,Ditolak"</formula1>
      <formula2>0</formula2>
    </dataValidation>
    <dataValidation allowBlank="false" errorStyle="stop" operator="between" showDropDown="false" showErrorMessage="false" showInputMessage="false" sqref="K5:K504" type="list">
      <formula1>"Tunai,QRIS,Debit,Transfer,E-wallet,Kredit"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4"/>
    <col collapsed="false" customWidth="true" hidden="false" outlineLevel="0" max="3" min="3" style="0" width="31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9"/>
    <col collapsed="false" customWidth="true" hidden="false" outlineLevel="0" max="7" min="7" style="0" width="24"/>
    <col collapsed="false" customWidth="true" hidden="false" outlineLevel="0" max="8" min="8" style="0" width="19"/>
  </cols>
  <sheetData>
    <row r="1" customFormat="false" ht="34" hidden="false" customHeight="true" outlineLevel="0" collapsed="false">
      <c r="A1" s="28" t="s">
        <v>339</v>
      </c>
      <c r="B1" s="28"/>
      <c r="C1" s="28"/>
      <c r="D1" s="28"/>
      <c r="E1" s="28"/>
      <c r="F1" s="28"/>
      <c r="G1" s="28"/>
      <c r="H1" s="28"/>
    </row>
    <row r="2" customFormat="false" ht="15" hidden="false" customHeight="false" outlineLevel="0" collapsed="false">
      <c r="A2" s="29" t="s">
        <v>340</v>
      </c>
      <c r="B2" s="29"/>
      <c r="C2" s="29"/>
      <c r="D2" s="29"/>
      <c r="E2" s="29"/>
      <c r="F2" s="29"/>
      <c r="G2" s="29"/>
      <c r="H2" s="29"/>
    </row>
    <row r="3" customFormat="false" ht="15" hidden="false" customHeight="false" outlineLevel="0" collapsed="false">
      <c r="A3" s="0" t="s">
        <v>341</v>
      </c>
      <c r="B3" s="30" t="n">
        <v>46325</v>
      </c>
    </row>
    <row r="4" customFormat="false" ht="15" hidden="false" customHeight="false" outlineLevel="0" collapsed="false">
      <c r="A4" s="25"/>
      <c r="B4" s="25"/>
      <c r="C4" s="25"/>
      <c r="D4" s="25"/>
      <c r="E4" s="25"/>
      <c r="F4" s="25"/>
      <c r="G4" s="25"/>
      <c r="H4" s="25"/>
    </row>
    <row r="5" customFormat="false" ht="29" hidden="false" customHeight="true" outlineLevel="0" collapsed="false">
      <c r="A5" s="31" t="s">
        <v>342</v>
      </c>
      <c r="B5" s="32" t="n">
        <f aca="false">SUMIFS('TRANSAKSI PENJUALAN'!$H$5:$H$504,'TRANSAKSI PENJUALAN'!$B$5:$B$504,$B$3,'TRANSAKSI PENJUALAN'!$M$5:$M$504,"Lunas")</f>
        <v>279000</v>
      </c>
      <c r="C5" s="25"/>
      <c r="D5" s="25"/>
      <c r="E5" s="25"/>
      <c r="F5" s="25"/>
      <c r="G5" s="25"/>
      <c r="H5" s="25"/>
    </row>
    <row r="6" customFormat="false" ht="29" hidden="false" customHeight="true" outlineLevel="0" collapsed="false">
      <c r="A6" s="31" t="s">
        <v>251</v>
      </c>
      <c r="B6" s="32" t="n">
        <f aca="false">SUMIFS('TRANSAKSI PENJUALAN'!$I$5:$I$504,'TRANSAKSI PENJUALAN'!$B$5:$B$504,$B$3,'TRANSAKSI PENJUALAN'!$M$5:$M$504,"Lunas")</f>
        <v>2000</v>
      </c>
      <c r="C6" s="25"/>
      <c r="D6" s="25"/>
      <c r="E6" s="25"/>
      <c r="F6" s="25"/>
      <c r="G6" s="25"/>
      <c r="H6" s="25"/>
    </row>
    <row r="7" customFormat="false" ht="29" hidden="false" customHeight="true" outlineLevel="0" collapsed="false">
      <c r="A7" s="31" t="s">
        <v>252</v>
      </c>
      <c r="B7" s="32" t="n">
        <f aca="false">SUMIFS('TRANSAKSI PENJUALAN'!$J$5:$J$504,'TRANSAKSI PENJUALAN'!$B$5:$B$504,$B$3,'TRANSAKSI PENJUALAN'!$M$5:$M$504,"Lunas")</f>
        <v>5000</v>
      </c>
      <c r="C7" s="25"/>
      <c r="D7" s="25"/>
      <c r="E7" s="25"/>
      <c r="F7" s="25"/>
      <c r="G7" s="25"/>
      <c r="H7" s="25"/>
    </row>
    <row r="8" customFormat="false" ht="33" hidden="false" customHeight="true" outlineLevel="0" collapsed="false">
      <c r="A8" s="33" t="s">
        <v>253</v>
      </c>
      <c r="B8" s="34" t="n">
        <f aca="false">B5-B6-B7</f>
        <v>272000</v>
      </c>
      <c r="C8" s="25"/>
      <c r="D8" s="25"/>
      <c r="E8" s="25"/>
      <c r="F8" s="25"/>
      <c r="G8" s="25"/>
      <c r="H8" s="25"/>
    </row>
    <row r="9" customFormat="false" ht="29" hidden="false" customHeight="true" outlineLevel="0" collapsed="false">
      <c r="A9" s="31" t="s">
        <v>343</v>
      </c>
      <c r="B9" s="32" t="n">
        <f aca="false">COUNTIFS('TRANSAKSI PENJUALAN'!$B$5:$B$504,$B$3,'TRANSAKSI PENJUALAN'!$M$5:$M$504,"Lunas")</f>
        <v>10</v>
      </c>
      <c r="C9" s="25"/>
      <c r="D9" s="25"/>
      <c r="E9" s="25"/>
      <c r="F9" s="25"/>
      <c r="G9" s="25"/>
      <c r="H9" s="25"/>
    </row>
    <row r="10" customFormat="false" ht="29" hidden="false" customHeight="true" outlineLevel="0" collapsed="false">
      <c r="A10" s="31" t="s">
        <v>344</v>
      </c>
      <c r="B10" s="32" t="n">
        <f aca="false">SUMIFS('DETAIL TRANSAKSI'!$E$5:$E$504,'DETAIL TRANSAKSI'!$P$5:$P$504,$B$3,'DETAIL TRANSAKSI'!$Q$5:$Q$504,"Lunas")</f>
        <v>10</v>
      </c>
      <c r="C10" s="25"/>
      <c r="D10" s="25"/>
      <c r="E10" s="25"/>
      <c r="F10" s="25"/>
      <c r="G10" s="25"/>
      <c r="H10" s="25"/>
    </row>
    <row r="11" customFormat="false" ht="29" hidden="false" customHeight="true" outlineLevel="0" collapsed="false">
      <c r="A11" s="31" t="s">
        <v>345</v>
      </c>
      <c r="B11" s="32" t="n">
        <f aca="false">SUMIFS('DETAIL TRANSAKSI'!$L$5:$L$504,'DETAIL TRANSAKSI'!$P$5:$P$504,$B$3,'DETAIL TRANSAKSI'!$Q$5:$Q$504,"Lunas")</f>
        <v>53490</v>
      </c>
      <c r="C11" s="25"/>
      <c r="D11" s="25"/>
      <c r="E11" s="25"/>
      <c r="F11" s="25"/>
      <c r="G11" s="25"/>
      <c r="H11" s="25"/>
    </row>
    <row r="12" customFormat="false" ht="33" hidden="false" customHeight="true" outlineLevel="0" collapsed="false">
      <c r="A12" s="33" t="s">
        <v>168</v>
      </c>
      <c r="B12" s="34" t="n">
        <f aca="false">B8-B11</f>
        <v>218510</v>
      </c>
      <c r="C12" s="25"/>
      <c r="D12" s="25"/>
      <c r="E12" s="25"/>
      <c r="F12" s="25"/>
      <c r="G12" s="25"/>
      <c r="H12" s="25"/>
    </row>
    <row r="13" customFormat="false" ht="29" hidden="false" customHeight="true" outlineLevel="0" collapsed="false">
      <c r="A13" s="31" t="s">
        <v>346</v>
      </c>
      <c r="B13" s="32" t="n">
        <f aca="false">SUMIFS(PENGELUARAN!$E$5:$E$504,PENGELUARAN!$B$5:$B$504,$B$3,PENGELUARAN!$I$5:$I$504,"Ya")</f>
        <v>8000</v>
      </c>
      <c r="C13" s="25"/>
      <c r="D13" s="25"/>
      <c r="E13" s="25"/>
      <c r="F13" s="25"/>
      <c r="G13" s="25"/>
      <c r="H13" s="25"/>
    </row>
    <row r="14" customFormat="false" ht="29" hidden="false" customHeight="true" outlineLevel="0" collapsed="false">
      <c r="A14" s="31" t="s">
        <v>347</v>
      </c>
      <c r="B14" s="32" t="n">
        <f aca="false">SUMIFS('PERGERAKAN STOK'!$M$5:$M$504,'PERGERAKAN STOK'!$B$5:$B$504,"&gt;="&amp;$B$3,'PERGERAKAN STOK'!$B$5:$B$504,"&lt;"&amp;($B$3+1))</f>
        <v>480</v>
      </c>
      <c r="C14" s="25"/>
      <c r="D14" s="25"/>
      <c r="E14" s="25"/>
      <c r="F14" s="25"/>
      <c r="G14" s="25"/>
      <c r="H14" s="25"/>
    </row>
    <row r="15" customFormat="false" ht="33" hidden="false" customHeight="true" outlineLevel="0" collapsed="false">
      <c r="A15" s="35" t="s">
        <v>348</v>
      </c>
      <c r="B15" s="36" t="n">
        <f aca="false">B12-B13-B14</f>
        <v>210030</v>
      </c>
      <c r="C15" s="25"/>
      <c r="D15" s="25"/>
      <c r="E15" s="25"/>
      <c r="F15" s="25"/>
      <c r="G15" s="25"/>
      <c r="H15" s="25"/>
    </row>
    <row r="16" customFormat="false" ht="29" hidden="false" customHeight="true" outlineLevel="0" collapsed="false">
      <c r="A16" s="31" t="s">
        <v>349</v>
      </c>
      <c r="B16" s="37" t="n">
        <f aca="false">SUMIFS('SHIFT KASIR'!$L$5:$L$504,'SHIFT KASIR'!$B$5:$B$504,$B$3)</f>
        <v>0</v>
      </c>
      <c r="C16" s="25"/>
      <c r="D16" s="25"/>
      <c r="E16" s="25"/>
      <c r="F16" s="25"/>
      <c r="G16" s="25"/>
      <c r="H16" s="25"/>
    </row>
    <row r="17" customFormat="false" ht="29" hidden="false" customHeight="true" outlineLevel="0" collapsed="false">
      <c r="A17" s="31" t="s">
        <v>350</v>
      </c>
      <c r="B17" s="37" t="str">
        <f aca="false">IF(MAX(D25:D84)=0,"Belum ada",INDEX(C25:C84,MATCH(MAX(D25:D84),D25:D84,0)))</f>
        <v>Kopi Susu Gula Aren</v>
      </c>
      <c r="C17" s="25"/>
      <c r="D17" s="25"/>
      <c r="E17" s="25"/>
      <c r="F17" s="25"/>
      <c r="G17" s="25"/>
      <c r="H17" s="25"/>
    </row>
    <row r="18" customFormat="false" ht="29" hidden="false" customHeight="true" outlineLevel="0" collapsed="false">
      <c r="A18" s="31" t="s">
        <v>351</v>
      </c>
      <c r="B18" s="37" t="n">
        <f aca="false">COUNTIFS('RINGKASAN STOK'!$J$5:$J$504,"Menipis")+COUNTIFS('RINGKASAN STOK'!$J$5:$J$504,"Habis")</f>
        <v>0</v>
      </c>
      <c r="C18" s="25"/>
      <c r="D18" s="25"/>
      <c r="E18" s="25"/>
      <c r="F18" s="25"/>
      <c r="G18" s="25"/>
      <c r="H18" s="25"/>
    </row>
    <row r="19" customFormat="false" ht="29" hidden="false" customHeight="true" outlineLevel="0" collapsed="false">
      <c r="A19" s="31" t="s">
        <v>352</v>
      </c>
      <c r="B19" s="37" t="n">
        <f aca="false">COUNTIFS('PERGERAKAN STOK'!$B$5:$B$504,"&gt;="&amp;$B$3,'PERGERAKAN STOK'!$B$5:$B$504,"&lt;"&amp;($B$3+1),'PERGERAKAN STOK'!$E$5:$E$504,"Waste",'PERGERAKAN STOK'!$K$5:$K$504,"Disetujui")</f>
        <v>1</v>
      </c>
      <c r="C19" s="25"/>
      <c r="D19" s="25"/>
      <c r="E19" s="25"/>
      <c r="F19" s="25"/>
      <c r="G19" s="25"/>
      <c r="H19" s="25"/>
    </row>
    <row r="20" customFormat="false" ht="29" hidden="false" customHeight="true" outlineLevel="0" collapsed="false">
      <c r="A20" s="31" t="s">
        <v>353</v>
      </c>
      <c r="B20" s="37" t="n">
        <f aca="false">COUNTIFS('TRANSAKSI PENJUALAN'!$B$5:$B$504,$B$3,'TRANSAKSI PENJUALAN'!$O$5:$O$504,"CEK ALOKASI")</f>
        <v>0</v>
      </c>
      <c r="C20" s="25"/>
      <c r="D20" s="25"/>
      <c r="E20" s="25"/>
      <c r="F20" s="25"/>
      <c r="G20" s="25"/>
      <c r="H20" s="25"/>
    </row>
    <row r="21" customFormat="false" ht="29" hidden="false" customHeight="true" outlineLevel="0" collapsed="false">
      <c r="A21" s="31" t="s">
        <v>354</v>
      </c>
      <c r="B21" s="37" t="n">
        <f aca="false">COUNTIFS('DETAIL TRANSAKSI'!$L$5:$L$504,"ISI SNAPSHOT HPP")</f>
        <v>0</v>
      </c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5"/>
      <c r="G22" s="25"/>
      <c r="H22" s="25"/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25"/>
      <c r="G23" s="25"/>
      <c r="H23" s="25"/>
    </row>
    <row r="24" customFormat="false" ht="30" hidden="false" customHeight="true" outlineLevel="0" collapsed="false">
      <c r="A24" s="25"/>
      <c r="B24" s="25"/>
      <c r="C24" s="38" t="s">
        <v>355</v>
      </c>
      <c r="D24" s="38" t="s">
        <v>356</v>
      </c>
      <c r="E24" s="25"/>
      <c r="F24" s="38" t="s">
        <v>357</v>
      </c>
      <c r="G24" s="38" t="s">
        <v>253</v>
      </c>
      <c r="H24" s="25"/>
    </row>
    <row r="25" customFormat="false" ht="15" hidden="false" customHeight="false" outlineLevel="0" collapsed="false">
      <c r="A25" s="25"/>
      <c r="B25" s="25"/>
      <c r="C25" s="25" t="str">
        <f aca="false">IF('MASTER MENU'!A5="","",'MASTER MENU'!B5)</f>
        <v>Kopi Susu Gula Aren</v>
      </c>
      <c r="D25" s="25" t="n">
        <f aca="false">IF(C25="","",SUMIFS('DETAIL TRANSAKSI'!$E$5:$E$504,'DETAIL TRANSAKSI'!$B$5:$B$504,'MASTER MENU'!A5,'DETAIL TRANSAKSI'!$P$5:$P$504,$B$3,'DETAIL TRANSAKSI'!$Q$5:$Q$504,"Lunas"))</f>
        <v>1</v>
      </c>
      <c r="E25" s="25"/>
      <c r="F25" s="25" t="s">
        <v>262</v>
      </c>
      <c r="G25" s="39" t="n">
        <f aca="false">SUMIFS('TRANSAKSI PENJUALAN'!$K$5:$K$504,'TRANSAKSI PENJUALAN'!$B$5:$B$504,$B$3,'TRANSAKSI PENJUALAN'!$L$5:$L$504,F25,'TRANSAKSI PENJUALAN'!$M$5:$M$504,"Lunas")</f>
        <v>122000</v>
      </c>
      <c r="H25" s="25"/>
    </row>
    <row r="26" customFormat="false" ht="15" hidden="false" customHeight="false" outlineLevel="0" collapsed="false">
      <c r="A26" s="25"/>
      <c r="B26" s="25"/>
      <c r="C26" s="25" t="str">
        <f aca="false">IF('MASTER MENU'!A6="","",'MASTER MENU'!B6)</f>
        <v>Americano</v>
      </c>
      <c r="D26" s="25" t="n">
        <f aca="false">IF(C26="","",SUMIFS('DETAIL TRANSAKSI'!$E$5:$E$504,'DETAIL TRANSAKSI'!$B$5:$B$504,'MASTER MENU'!A6,'DETAIL TRANSAKSI'!$P$5:$P$504,$B$3,'DETAIL TRANSAKSI'!$Q$5:$Q$504,"Lunas"))</f>
        <v>1</v>
      </c>
      <c r="E26" s="25"/>
      <c r="F26" s="25" t="s">
        <v>268</v>
      </c>
      <c r="G26" s="39" t="n">
        <f aca="false">SUMIFS('TRANSAKSI PENJUALAN'!$K$5:$K$504,'TRANSAKSI PENJUALAN'!$B$5:$B$504,$B$3,'TRANSAKSI PENJUALAN'!$L$5:$L$504,F26,'TRANSAKSI PENJUALAN'!$M$5:$M$504,"Lunas")</f>
        <v>73000</v>
      </c>
      <c r="H26" s="25"/>
    </row>
    <row r="27" customFormat="false" ht="15" hidden="false" customHeight="false" outlineLevel="0" collapsed="false">
      <c r="A27" s="25"/>
      <c r="B27" s="25"/>
      <c r="C27" s="25" t="str">
        <f aca="false">IF('MASTER MENU'!A7="","",'MASTER MENU'!B7)</f>
        <v>Latte</v>
      </c>
      <c r="D27" s="25" t="n">
        <f aca="false">IF(C27="","",SUMIFS('DETAIL TRANSAKSI'!$E$5:$E$504,'DETAIL TRANSAKSI'!$B$5:$B$504,'MASTER MENU'!A7,'DETAIL TRANSAKSI'!$P$5:$P$504,$B$3,'DETAIL TRANSAKSI'!$Q$5:$Q$504,"Lunas"))</f>
        <v>1</v>
      </c>
      <c r="E27" s="25"/>
      <c r="F27" s="25" t="s">
        <v>270</v>
      </c>
      <c r="G27" s="39" t="n">
        <f aca="false">SUMIFS('TRANSAKSI PENJUALAN'!$K$5:$K$504,'TRANSAKSI PENJUALAN'!$B$5:$B$504,$B$3,'TRANSAKSI PENJUALAN'!$L$5:$L$504,F27,'TRANSAKSI PENJUALAN'!$M$5:$M$504,"Lunas")</f>
        <v>77000</v>
      </c>
      <c r="H27" s="25"/>
    </row>
    <row r="28" customFormat="false" ht="15" hidden="false" customHeight="false" outlineLevel="0" collapsed="false">
      <c r="A28" s="25"/>
      <c r="B28" s="25"/>
      <c r="C28" s="25" t="str">
        <f aca="false">IF('MASTER MENU'!A8="","",'MASTER MENU'!B8)</f>
        <v>Matcha Latte</v>
      </c>
      <c r="D28" s="25" t="n">
        <f aca="false">IF(C28="","",SUMIFS('DETAIL TRANSAKSI'!$E$5:$E$504,'DETAIL TRANSAKSI'!$B$5:$B$504,'MASTER MENU'!A8,'DETAIL TRANSAKSI'!$P$5:$P$504,$B$3,'DETAIL TRANSAKSI'!$Q$5:$Q$504,"Lunas"))</f>
        <v>1</v>
      </c>
      <c r="E28" s="25"/>
      <c r="F28" s="25" t="s">
        <v>358</v>
      </c>
      <c r="G28" s="39" t="n">
        <f aca="false">SUMIFS('TRANSAKSI PENJUALAN'!$K$5:$K$504,'TRANSAKSI PENJUALAN'!$B$5:$B$504,$B$3,'TRANSAKSI PENJUALAN'!$L$5:$L$504,F28,'TRANSAKSI PENJUALAN'!$M$5:$M$504,"Lunas")</f>
        <v>0</v>
      </c>
      <c r="H28" s="25"/>
    </row>
    <row r="29" customFormat="false" ht="15" hidden="false" customHeight="false" outlineLevel="0" collapsed="false">
      <c r="A29" s="25"/>
      <c r="B29" s="25"/>
      <c r="C29" s="25" t="str">
        <f aca="false">IF('MASTER MENU'!A9="","",'MASTER MENU'!B9)</f>
        <v>Teh Lemon</v>
      </c>
      <c r="D29" s="25" t="n">
        <f aca="false">IF(C29="","",SUMIFS('DETAIL TRANSAKSI'!$E$5:$E$504,'DETAIL TRANSAKSI'!$B$5:$B$504,'MASTER MENU'!A9,'DETAIL TRANSAKSI'!$P$5:$P$504,$B$3,'DETAIL TRANSAKSI'!$Q$5:$Q$504,"Lunas"))</f>
        <v>1</v>
      </c>
      <c r="E29" s="25"/>
      <c r="F29" s="25" t="s">
        <v>316</v>
      </c>
      <c r="G29" s="39" t="n">
        <f aca="false">SUMIFS('TRANSAKSI PENJUALAN'!$K$5:$K$504,'TRANSAKSI PENJUALAN'!$B$5:$B$504,$B$3,'TRANSAKSI PENJUALAN'!$L$5:$L$504,F29,'TRANSAKSI PENJUALAN'!$M$5:$M$504,"Lunas")</f>
        <v>0</v>
      </c>
      <c r="H29" s="25"/>
    </row>
    <row r="30" customFormat="false" ht="15" hidden="false" customHeight="false" outlineLevel="0" collapsed="false">
      <c r="A30" s="25"/>
      <c r="B30" s="25"/>
      <c r="C30" s="25" t="str">
        <f aca="false">IF('MASTER MENU'!A10="","",'MASTER MENU'!B10)</f>
        <v>Croissant Butter</v>
      </c>
      <c r="D30" s="25" t="n">
        <f aca="false">IF(C30="","",SUMIFS('DETAIL TRANSAKSI'!$E$5:$E$504,'DETAIL TRANSAKSI'!$B$5:$B$504,'MASTER MENU'!A10,'DETAIL TRANSAKSI'!$P$5:$P$504,$B$3,'DETAIL TRANSAKSI'!$Q$5:$Q$504,"Lunas"))</f>
        <v>1</v>
      </c>
      <c r="E30" s="25"/>
      <c r="F30" s="25" t="s">
        <v>359</v>
      </c>
      <c r="G30" s="39" t="n">
        <f aca="false">SUMIFS('TRANSAKSI PENJUALAN'!$K$5:$K$504,'TRANSAKSI PENJUALAN'!$B$5:$B$504,$B$3,'TRANSAKSI PENJUALAN'!$L$5:$L$504,F30,'TRANSAKSI PENJUALAN'!$M$5:$M$504,"Lunas")</f>
        <v>0</v>
      </c>
      <c r="H30" s="25"/>
    </row>
    <row r="31" customFormat="false" ht="15" hidden="false" customHeight="false" outlineLevel="0" collapsed="false">
      <c r="A31" s="25"/>
      <c r="B31" s="25"/>
      <c r="C31" s="25" t="str">
        <f aca="false">IF('MASTER MENU'!A11="","",'MASTER MENU'!B11)</f>
        <v>Nasi Goreng</v>
      </c>
      <c r="D31" s="25" t="n">
        <f aca="false">IF(C31="","",SUMIFS('DETAIL TRANSAKSI'!$E$5:$E$504,'DETAIL TRANSAKSI'!$B$5:$B$504,'MASTER MENU'!A11,'DETAIL TRANSAKSI'!$P$5:$P$504,$B$3,'DETAIL TRANSAKSI'!$Q$5:$Q$504,"Lunas"))</f>
        <v>1</v>
      </c>
      <c r="E31" s="25"/>
      <c r="F31" s="25"/>
      <c r="G31" s="25"/>
      <c r="H31" s="25"/>
    </row>
    <row r="32" customFormat="false" ht="15" hidden="false" customHeight="false" outlineLevel="0" collapsed="false">
      <c r="A32" s="25"/>
      <c r="B32" s="25"/>
      <c r="C32" s="25" t="str">
        <f aca="false">IF('MASTER MENU'!A12="","",'MASTER MENU'!B12)</f>
        <v>Kentang Goreng</v>
      </c>
      <c r="D32" s="25" t="n">
        <f aca="false">IF(C32="","",SUMIFS('DETAIL TRANSAKSI'!$E$5:$E$504,'DETAIL TRANSAKSI'!$B$5:$B$504,'MASTER MENU'!A12,'DETAIL TRANSAKSI'!$P$5:$P$504,$B$3,'DETAIL TRANSAKSI'!$Q$5:$Q$504,"Lunas"))</f>
        <v>1</v>
      </c>
      <c r="E32" s="25"/>
      <c r="F32" s="25"/>
      <c r="G32" s="25"/>
      <c r="H32" s="25"/>
    </row>
    <row r="33" customFormat="false" ht="15" hidden="false" customHeight="false" outlineLevel="0" collapsed="false">
      <c r="A33" s="25"/>
      <c r="B33" s="25"/>
      <c r="C33" s="25" t="str">
        <f aca="false">IF('MASTER MENU'!A13="","",'MASTER MENU'!B13)</f>
        <v>Espresso</v>
      </c>
      <c r="D33" s="25" t="n">
        <f aca="false">IF(C33="","",SUMIFS('DETAIL TRANSAKSI'!$E$5:$E$504,'DETAIL TRANSAKSI'!$B$5:$B$504,'MASTER MENU'!A13,'DETAIL TRANSAKSI'!$P$5:$P$504,$B$3,'DETAIL TRANSAKSI'!$Q$5:$Q$504,"Lunas"))</f>
        <v>1</v>
      </c>
      <c r="E33" s="25"/>
      <c r="F33" s="25"/>
      <c r="G33" s="25"/>
      <c r="H33" s="25"/>
    </row>
    <row r="34" customFormat="false" ht="15" hidden="false" customHeight="false" outlineLevel="0" collapsed="false">
      <c r="A34" s="25"/>
      <c r="B34" s="25"/>
      <c r="C34" s="25" t="str">
        <f aca="false">IF('MASTER MENU'!A14="","",'MASTER MENU'!B14)</f>
        <v>Roti Bakar</v>
      </c>
      <c r="D34" s="25" t="n">
        <f aca="false">IF(C34="","",SUMIFS('DETAIL TRANSAKSI'!$E$5:$E$504,'DETAIL TRANSAKSI'!$B$5:$B$504,'MASTER MENU'!A14,'DETAIL TRANSAKSI'!$P$5:$P$504,$B$3,'DETAIL TRANSAKSI'!$Q$5:$Q$504,"Lunas"))</f>
        <v>1</v>
      </c>
      <c r="E34" s="25"/>
      <c r="F34" s="25"/>
      <c r="G34" s="25"/>
      <c r="H34" s="25"/>
    </row>
    <row r="35" customFormat="false" ht="15" hidden="false" customHeight="false" outlineLevel="0" collapsed="false">
      <c r="A35" s="25"/>
      <c r="B35" s="25"/>
      <c r="C35" s="25" t="str">
        <f aca="false">IF('MASTER MENU'!A15="","",'MASTER MENU'!B15)</f>
        <v/>
      </c>
      <c r="D35" s="25" t="str">
        <f aca="false">IF(C35="","",SUMIFS('DETAIL TRANSAKSI'!$E$5:$E$504,'DETAIL TRANSAKSI'!$B$5:$B$504,'MASTER MENU'!A15,'DETAIL TRANSAKSI'!$P$5:$P$504,$B$3,'DETAIL TRANSAKSI'!$Q$5:$Q$504,"Lunas"))</f>
        <v/>
      </c>
      <c r="E35" s="25"/>
      <c r="F35" s="25"/>
      <c r="G35" s="25"/>
      <c r="H35" s="25"/>
    </row>
    <row r="36" customFormat="false" ht="15" hidden="false" customHeight="false" outlineLevel="0" collapsed="false">
      <c r="A36" s="25"/>
      <c r="B36" s="25"/>
      <c r="C36" s="25" t="str">
        <f aca="false">IF('MASTER MENU'!A16="","",'MASTER MENU'!B16)</f>
        <v/>
      </c>
      <c r="D36" s="25" t="str">
        <f aca="false">IF(C36="","",SUMIFS('DETAIL TRANSAKSI'!$E$5:$E$504,'DETAIL TRANSAKSI'!$B$5:$B$504,'MASTER MENU'!A16,'DETAIL TRANSAKSI'!$P$5:$P$504,$B$3,'DETAIL TRANSAKSI'!$Q$5:$Q$504,"Lunas"))</f>
        <v/>
      </c>
      <c r="E36" s="25"/>
      <c r="F36" s="25"/>
      <c r="G36" s="25"/>
      <c r="H36" s="25"/>
    </row>
    <row r="37" customFormat="false" ht="15" hidden="false" customHeight="false" outlineLevel="0" collapsed="false">
      <c r="A37" s="25"/>
      <c r="B37" s="25"/>
      <c r="C37" s="25" t="str">
        <f aca="false">IF('MASTER MENU'!A17="","",'MASTER MENU'!B17)</f>
        <v/>
      </c>
      <c r="D37" s="25" t="str">
        <f aca="false">IF(C37="","",SUMIFS('DETAIL TRANSAKSI'!$E$5:$E$504,'DETAIL TRANSAKSI'!$B$5:$B$504,'MASTER MENU'!A17,'DETAIL TRANSAKSI'!$P$5:$P$504,$B$3,'DETAIL TRANSAKSI'!$Q$5:$Q$504,"Lunas"))</f>
        <v/>
      </c>
      <c r="E37" s="25"/>
      <c r="F37" s="25"/>
      <c r="G37" s="25"/>
      <c r="H37" s="25"/>
    </row>
    <row r="38" customFormat="false" ht="15" hidden="false" customHeight="false" outlineLevel="0" collapsed="false">
      <c r="A38" s="25"/>
      <c r="B38" s="25"/>
      <c r="C38" s="25" t="str">
        <f aca="false">IF('MASTER MENU'!A18="","",'MASTER MENU'!B18)</f>
        <v/>
      </c>
      <c r="D38" s="25" t="str">
        <f aca="false">IF(C38="","",SUMIFS('DETAIL TRANSAKSI'!$E$5:$E$504,'DETAIL TRANSAKSI'!$B$5:$B$504,'MASTER MENU'!A18,'DETAIL TRANSAKSI'!$P$5:$P$504,$B$3,'DETAIL TRANSAKSI'!$Q$5:$Q$504,"Lunas"))</f>
        <v/>
      </c>
      <c r="E38" s="25"/>
      <c r="F38" s="25"/>
      <c r="G38" s="25"/>
      <c r="H38" s="25"/>
    </row>
    <row r="39" customFormat="false" ht="15" hidden="false" customHeight="false" outlineLevel="0" collapsed="false">
      <c r="A39" s="25"/>
      <c r="B39" s="25"/>
      <c r="C39" s="25" t="str">
        <f aca="false">IF('MASTER MENU'!A19="","",'MASTER MENU'!B19)</f>
        <v/>
      </c>
      <c r="D39" s="25" t="str">
        <f aca="false">IF(C39="","",SUMIFS('DETAIL TRANSAKSI'!$E$5:$E$504,'DETAIL TRANSAKSI'!$B$5:$B$504,'MASTER MENU'!A19,'DETAIL TRANSAKSI'!$P$5:$P$504,$B$3,'DETAIL TRANSAKSI'!$Q$5:$Q$504,"Lunas"))</f>
        <v/>
      </c>
      <c r="E39" s="25"/>
      <c r="F39" s="25"/>
      <c r="G39" s="25"/>
      <c r="H39" s="25"/>
    </row>
    <row r="40" customFormat="false" ht="15" hidden="false" customHeight="false" outlineLevel="0" collapsed="false">
      <c r="A40" s="25"/>
      <c r="B40" s="25"/>
      <c r="C40" s="25" t="str">
        <f aca="false">IF('MASTER MENU'!A20="","",'MASTER MENU'!B20)</f>
        <v/>
      </c>
      <c r="D40" s="25" t="str">
        <f aca="false">IF(C40="","",SUMIFS('DETAIL TRANSAKSI'!$E$5:$E$504,'DETAIL TRANSAKSI'!$B$5:$B$504,'MASTER MENU'!A20,'DETAIL TRANSAKSI'!$P$5:$P$504,$B$3,'DETAIL TRANSAKSI'!$Q$5:$Q$504,"Lunas"))</f>
        <v/>
      </c>
      <c r="E40" s="25"/>
      <c r="F40" s="25"/>
      <c r="G40" s="25"/>
      <c r="H40" s="25"/>
    </row>
    <row r="41" customFormat="false" ht="15" hidden="false" customHeight="false" outlineLevel="0" collapsed="false">
      <c r="A41" s="25"/>
      <c r="B41" s="25"/>
      <c r="C41" s="25" t="str">
        <f aca="false">IF('MASTER MENU'!A21="","",'MASTER MENU'!B21)</f>
        <v/>
      </c>
      <c r="D41" s="25" t="str">
        <f aca="false">IF(C41="","",SUMIFS('DETAIL TRANSAKSI'!$E$5:$E$504,'DETAIL TRANSAKSI'!$B$5:$B$504,'MASTER MENU'!A21,'DETAIL TRANSAKSI'!$P$5:$P$504,$B$3,'DETAIL TRANSAKSI'!$Q$5:$Q$504,"Lunas"))</f>
        <v/>
      </c>
      <c r="E41" s="25"/>
      <c r="F41" s="25"/>
      <c r="G41" s="25"/>
      <c r="H41" s="25"/>
    </row>
    <row r="42" customFormat="false" ht="15" hidden="false" customHeight="false" outlineLevel="0" collapsed="false">
      <c r="A42" s="25"/>
      <c r="B42" s="25"/>
      <c r="C42" s="25" t="str">
        <f aca="false">IF('MASTER MENU'!A22="","",'MASTER MENU'!B22)</f>
        <v/>
      </c>
      <c r="D42" s="25" t="str">
        <f aca="false">IF(C42="","",SUMIFS('DETAIL TRANSAKSI'!$E$5:$E$504,'DETAIL TRANSAKSI'!$B$5:$B$504,'MASTER MENU'!A22,'DETAIL TRANSAKSI'!$P$5:$P$504,$B$3,'DETAIL TRANSAKSI'!$Q$5:$Q$504,"Lunas"))</f>
        <v/>
      </c>
      <c r="E42" s="25"/>
      <c r="F42" s="25"/>
      <c r="G42" s="25"/>
      <c r="H42" s="25"/>
    </row>
    <row r="43" customFormat="false" ht="15" hidden="false" customHeight="false" outlineLevel="0" collapsed="false">
      <c r="A43" s="25"/>
      <c r="B43" s="25"/>
      <c r="C43" s="25" t="str">
        <f aca="false">IF('MASTER MENU'!A23="","",'MASTER MENU'!B23)</f>
        <v/>
      </c>
      <c r="D43" s="25" t="str">
        <f aca="false">IF(C43="","",SUMIFS('DETAIL TRANSAKSI'!$E$5:$E$504,'DETAIL TRANSAKSI'!$B$5:$B$504,'MASTER MENU'!A23,'DETAIL TRANSAKSI'!$P$5:$P$504,$B$3,'DETAIL TRANSAKSI'!$Q$5:$Q$504,"Lunas"))</f>
        <v/>
      </c>
      <c r="E43" s="25"/>
      <c r="F43" s="25"/>
      <c r="G43" s="25"/>
      <c r="H43" s="25"/>
    </row>
    <row r="44" customFormat="false" ht="15" hidden="false" customHeight="false" outlineLevel="0" collapsed="false">
      <c r="A44" s="25"/>
      <c r="B44" s="25"/>
      <c r="C44" s="25" t="str">
        <f aca="false">IF('MASTER MENU'!A24="","",'MASTER MENU'!B24)</f>
        <v/>
      </c>
      <c r="D44" s="25" t="str">
        <f aca="false">IF(C44="","",SUMIFS('DETAIL TRANSAKSI'!$E$5:$E$504,'DETAIL TRANSAKSI'!$B$5:$B$504,'MASTER MENU'!A24,'DETAIL TRANSAKSI'!$P$5:$P$504,$B$3,'DETAIL TRANSAKSI'!$Q$5:$Q$504,"Lunas"))</f>
        <v/>
      </c>
      <c r="E44" s="25"/>
      <c r="F44" s="25"/>
      <c r="G44" s="25"/>
      <c r="H44" s="25"/>
    </row>
    <row r="45" customFormat="false" ht="15" hidden="false" customHeight="false" outlineLevel="0" collapsed="false">
      <c r="A45" s="25"/>
      <c r="B45" s="25"/>
      <c r="C45" s="25" t="str">
        <f aca="false">IF('MASTER MENU'!A25="","",'MASTER MENU'!B25)</f>
        <v/>
      </c>
      <c r="D45" s="25" t="str">
        <f aca="false">IF(C45="","",SUMIFS('DETAIL TRANSAKSI'!$E$5:$E$504,'DETAIL TRANSAKSI'!$B$5:$B$504,'MASTER MENU'!A25,'DETAIL TRANSAKSI'!$P$5:$P$504,$B$3,'DETAIL TRANSAKSI'!$Q$5:$Q$504,"Lunas"))</f>
        <v/>
      </c>
      <c r="E45" s="25"/>
      <c r="F45" s="25"/>
      <c r="G45" s="25"/>
      <c r="H45" s="25"/>
    </row>
    <row r="46" customFormat="false" ht="15" hidden="false" customHeight="false" outlineLevel="0" collapsed="false">
      <c r="A46" s="25"/>
      <c r="B46" s="25"/>
      <c r="C46" s="25" t="str">
        <f aca="false">IF('MASTER MENU'!A26="","",'MASTER MENU'!B26)</f>
        <v/>
      </c>
      <c r="D46" s="25" t="str">
        <f aca="false">IF(C46="","",SUMIFS('DETAIL TRANSAKSI'!$E$5:$E$504,'DETAIL TRANSAKSI'!$B$5:$B$504,'MASTER MENU'!A26,'DETAIL TRANSAKSI'!$P$5:$P$504,$B$3,'DETAIL TRANSAKSI'!$Q$5:$Q$504,"Lunas"))</f>
        <v/>
      </c>
      <c r="E46" s="25"/>
      <c r="F46" s="25"/>
      <c r="G46" s="25"/>
      <c r="H46" s="25"/>
    </row>
    <row r="47" customFormat="false" ht="15" hidden="false" customHeight="false" outlineLevel="0" collapsed="false">
      <c r="A47" s="25"/>
      <c r="B47" s="25"/>
      <c r="C47" s="25" t="str">
        <f aca="false">IF('MASTER MENU'!A27="","",'MASTER MENU'!B27)</f>
        <v/>
      </c>
      <c r="D47" s="25" t="str">
        <f aca="false">IF(C47="","",SUMIFS('DETAIL TRANSAKSI'!$E$5:$E$504,'DETAIL TRANSAKSI'!$B$5:$B$504,'MASTER MENU'!A27,'DETAIL TRANSAKSI'!$P$5:$P$504,$B$3,'DETAIL TRANSAKSI'!$Q$5:$Q$504,"Lunas"))</f>
        <v/>
      </c>
      <c r="E47" s="25"/>
      <c r="F47" s="25"/>
      <c r="G47" s="25"/>
      <c r="H47" s="25"/>
    </row>
    <row r="48" customFormat="false" ht="15" hidden="false" customHeight="false" outlineLevel="0" collapsed="false">
      <c r="A48" s="25"/>
      <c r="B48" s="25"/>
      <c r="C48" s="25" t="str">
        <f aca="false">IF('MASTER MENU'!A28="","",'MASTER MENU'!B28)</f>
        <v/>
      </c>
      <c r="D48" s="25" t="str">
        <f aca="false">IF(C48="","",SUMIFS('DETAIL TRANSAKSI'!$E$5:$E$504,'DETAIL TRANSAKSI'!$B$5:$B$504,'MASTER MENU'!A28,'DETAIL TRANSAKSI'!$P$5:$P$504,$B$3,'DETAIL TRANSAKSI'!$Q$5:$Q$504,"Lunas"))</f>
        <v/>
      </c>
      <c r="E48" s="25"/>
      <c r="F48" s="25"/>
      <c r="G48" s="25"/>
      <c r="H48" s="25"/>
    </row>
    <row r="49" customFormat="false" ht="15" hidden="false" customHeight="false" outlineLevel="0" collapsed="false">
      <c r="A49" s="25"/>
      <c r="B49" s="25"/>
      <c r="C49" s="25" t="str">
        <f aca="false">IF('MASTER MENU'!A29="","",'MASTER MENU'!B29)</f>
        <v/>
      </c>
      <c r="D49" s="25" t="str">
        <f aca="false">IF(C49="","",SUMIFS('DETAIL TRANSAKSI'!$E$5:$E$504,'DETAIL TRANSAKSI'!$B$5:$B$504,'MASTER MENU'!A29,'DETAIL TRANSAKSI'!$P$5:$P$504,$B$3,'DETAIL TRANSAKSI'!$Q$5:$Q$504,"Lunas"))</f>
        <v/>
      </c>
      <c r="E49" s="25"/>
      <c r="F49" s="25"/>
      <c r="G49" s="25"/>
      <c r="H49" s="25"/>
    </row>
    <row r="50" customFormat="false" ht="15" hidden="false" customHeight="false" outlineLevel="0" collapsed="false">
      <c r="A50" s="25"/>
      <c r="B50" s="25"/>
      <c r="C50" s="25" t="str">
        <f aca="false">IF('MASTER MENU'!A30="","",'MASTER MENU'!B30)</f>
        <v/>
      </c>
      <c r="D50" s="25" t="str">
        <f aca="false">IF(C50="","",SUMIFS('DETAIL TRANSAKSI'!$E$5:$E$504,'DETAIL TRANSAKSI'!$B$5:$B$504,'MASTER MENU'!A30,'DETAIL TRANSAKSI'!$P$5:$P$504,$B$3,'DETAIL TRANSAKSI'!$Q$5:$Q$504,"Lunas"))</f>
        <v/>
      </c>
      <c r="E50" s="25"/>
      <c r="F50" s="25"/>
      <c r="G50" s="25"/>
      <c r="H50" s="25"/>
    </row>
    <row r="51" customFormat="false" ht="15" hidden="false" customHeight="false" outlineLevel="0" collapsed="false">
      <c r="C51" s="0" t="str">
        <f aca="false">IF('MASTER MENU'!A31="","",'MASTER MENU'!B31)</f>
        <v/>
      </c>
      <c r="D51" s="0" t="str">
        <f aca="false">IF(C51="","",SUMIFS('DETAIL TRANSAKSI'!$E$5:$E$504,'DETAIL TRANSAKSI'!$B$5:$B$504,'MASTER MENU'!A31,'DETAIL TRANSAKSI'!$P$5:$P$504,$B$3,'DETAIL TRANSAKSI'!$Q$5:$Q$504,"Lunas"))</f>
        <v/>
      </c>
    </row>
    <row r="52" customFormat="false" ht="15" hidden="false" customHeight="false" outlineLevel="0" collapsed="false">
      <c r="C52" s="0" t="str">
        <f aca="false">IF('MASTER MENU'!A32="","",'MASTER MENU'!B32)</f>
        <v/>
      </c>
      <c r="D52" s="0" t="str">
        <f aca="false">IF(C52="","",SUMIFS('DETAIL TRANSAKSI'!$E$5:$E$504,'DETAIL TRANSAKSI'!$B$5:$B$504,'MASTER MENU'!A32,'DETAIL TRANSAKSI'!$P$5:$P$504,$B$3,'DETAIL TRANSAKSI'!$Q$5:$Q$504,"Lunas"))</f>
        <v/>
      </c>
    </row>
    <row r="53" customFormat="false" ht="15" hidden="false" customHeight="false" outlineLevel="0" collapsed="false">
      <c r="C53" s="0" t="str">
        <f aca="false">IF('MASTER MENU'!A33="","",'MASTER MENU'!B33)</f>
        <v/>
      </c>
      <c r="D53" s="0" t="str">
        <f aca="false">IF(C53="","",SUMIFS('DETAIL TRANSAKSI'!$E$5:$E$504,'DETAIL TRANSAKSI'!$B$5:$B$504,'MASTER MENU'!A33,'DETAIL TRANSAKSI'!$P$5:$P$504,$B$3,'DETAIL TRANSAKSI'!$Q$5:$Q$504,"Lunas"))</f>
        <v/>
      </c>
    </row>
    <row r="54" customFormat="false" ht="15" hidden="false" customHeight="false" outlineLevel="0" collapsed="false">
      <c r="C54" s="0" t="str">
        <f aca="false">IF('MASTER MENU'!A34="","",'MASTER MENU'!B34)</f>
        <v/>
      </c>
      <c r="D54" s="0" t="str">
        <f aca="false">IF(C54="","",SUMIFS('DETAIL TRANSAKSI'!$E$5:$E$504,'DETAIL TRANSAKSI'!$B$5:$B$504,'MASTER MENU'!A34,'DETAIL TRANSAKSI'!$P$5:$P$504,$B$3,'DETAIL TRANSAKSI'!$Q$5:$Q$504,"Lunas"))</f>
        <v/>
      </c>
    </row>
    <row r="55" customFormat="false" ht="15" hidden="false" customHeight="false" outlineLevel="0" collapsed="false">
      <c r="C55" s="0" t="str">
        <f aca="false">IF('MASTER MENU'!A35="","",'MASTER MENU'!B35)</f>
        <v/>
      </c>
      <c r="D55" s="0" t="str">
        <f aca="false">IF(C55="","",SUMIFS('DETAIL TRANSAKSI'!$E$5:$E$504,'DETAIL TRANSAKSI'!$B$5:$B$504,'MASTER MENU'!A35,'DETAIL TRANSAKSI'!$P$5:$P$504,$B$3,'DETAIL TRANSAKSI'!$Q$5:$Q$504,"Lunas"))</f>
        <v/>
      </c>
    </row>
    <row r="56" customFormat="false" ht="15" hidden="false" customHeight="false" outlineLevel="0" collapsed="false">
      <c r="C56" s="0" t="str">
        <f aca="false">IF('MASTER MENU'!A36="","",'MASTER MENU'!B36)</f>
        <v/>
      </c>
      <c r="D56" s="0" t="str">
        <f aca="false">IF(C56="","",SUMIFS('DETAIL TRANSAKSI'!$E$5:$E$504,'DETAIL TRANSAKSI'!$B$5:$B$504,'MASTER MENU'!A36,'DETAIL TRANSAKSI'!$P$5:$P$504,$B$3,'DETAIL TRANSAKSI'!$Q$5:$Q$504,"Lunas"))</f>
        <v/>
      </c>
    </row>
    <row r="57" customFormat="false" ht="15" hidden="false" customHeight="false" outlineLevel="0" collapsed="false">
      <c r="C57" s="0" t="str">
        <f aca="false">IF('MASTER MENU'!A37="","",'MASTER MENU'!B37)</f>
        <v/>
      </c>
      <c r="D57" s="0" t="str">
        <f aca="false">IF(C57="","",SUMIFS('DETAIL TRANSAKSI'!$E$5:$E$504,'DETAIL TRANSAKSI'!$B$5:$B$504,'MASTER MENU'!A37,'DETAIL TRANSAKSI'!$P$5:$P$504,$B$3,'DETAIL TRANSAKSI'!$Q$5:$Q$504,"Lunas"))</f>
        <v/>
      </c>
    </row>
    <row r="58" customFormat="false" ht="15" hidden="false" customHeight="false" outlineLevel="0" collapsed="false">
      <c r="C58" s="0" t="str">
        <f aca="false">IF('MASTER MENU'!A38="","",'MASTER MENU'!B38)</f>
        <v/>
      </c>
      <c r="D58" s="0" t="str">
        <f aca="false">IF(C58="","",SUMIFS('DETAIL TRANSAKSI'!$E$5:$E$504,'DETAIL TRANSAKSI'!$B$5:$B$504,'MASTER MENU'!A38,'DETAIL TRANSAKSI'!$P$5:$P$504,$B$3,'DETAIL TRANSAKSI'!$Q$5:$Q$504,"Lunas"))</f>
        <v/>
      </c>
    </row>
    <row r="59" customFormat="false" ht="15" hidden="false" customHeight="false" outlineLevel="0" collapsed="false">
      <c r="C59" s="0" t="str">
        <f aca="false">IF('MASTER MENU'!A39="","",'MASTER MENU'!B39)</f>
        <v/>
      </c>
      <c r="D59" s="0" t="str">
        <f aca="false">IF(C59="","",SUMIFS('DETAIL TRANSAKSI'!$E$5:$E$504,'DETAIL TRANSAKSI'!$B$5:$B$504,'MASTER MENU'!A39,'DETAIL TRANSAKSI'!$P$5:$P$504,$B$3,'DETAIL TRANSAKSI'!$Q$5:$Q$504,"Lunas"))</f>
        <v/>
      </c>
    </row>
    <row r="60" customFormat="false" ht="15" hidden="false" customHeight="false" outlineLevel="0" collapsed="false">
      <c r="C60" s="0" t="str">
        <f aca="false">IF('MASTER MENU'!A40="","",'MASTER MENU'!B40)</f>
        <v/>
      </c>
      <c r="D60" s="0" t="str">
        <f aca="false">IF(C60="","",SUMIFS('DETAIL TRANSAKSI'!$E$5:$E$504,'DETAIL TRANSAKSI'!$B$5:$B$504,'MASTER MENU'!A40,'DETAIL TRANSAKSI'!$P$5:$P$504,$B$3,'DETAIL TRANSAKSI'!$Q$5:$Q$504,"Lunas"))</f>
        <v/>
      </c>
    </row>
    <row r="61" customFormat="false" ht="15" hidden="false" customHeight="false" outlineLevel="0" collapsed="false">
      <c r="C61" s="0" t="str">
        <f aca="false">IF('MASTER MENU'!A41="","",'MASTER MENU'!B41)</f>
        <v/>
      </c>
      <c r="D61" s="0" t="str">
        <f aca="false">IF(C61="","",SUMIFS('DETAIL TRANSAKSI'!$E$5:$E$504,'DETAIL TRANSAKSI'!$B$5:$B$504,'MASTER MENU'!A41,'DETAIL TRANSAKSI'!$P$5:$P$504,$B$3,'DETAIL TRANSAKSI'!$Q$5:$Q$504,"Lunas"))</f>
        <v/>
      </c>
    </row>
    <row r="62" customFormat="false" ht="15" hidden="false" customHeight="false" outlineLevel="0" collapsed="false">
      <c r="C62" s="0" t="str">
        <f aca="false">IF('MASTER MENU'!A42="","",'MASTER MENU'!B42)</f>
        <v/>
      </c>
      <c r="D62" s="0" t="str">
        <f aca="false">IF(C62="","",SUMIFS('DETAIL TRANSAKSI'!$E$5:$E$504,'DETAIL TRANSAKSI'!$B$5:$B$504,'MASTER MENU'!A42,'DETAIL TRANSAKSI'!$P$5:$P$504,$B$3,'DETAIL TRANSAKSI'!$Q$5:$Q$504,"Lunas"))</f>
        <v/>
      </c>
    </row>
    <row r="63" customFormat="false" ht="15" hidden="false" customHeight="false" outlineLevel="0" collapsed="false">
      <c r="C63" s="0" t="str">
        <f aca="false">IF('MASTER MENU'!A43="","",'MASTER MENU'!B43)</f>
        <v/>
      </c>
      <c r="D63" s="0" t="str">
        <f aca="false">IF(C63="","",SUMIFS('DETAIL TRANSAKSI'!$E$5:$E$504,'DETAIL TRANSAKSI'!$B$5:$B$504,'MASTER MENU'!A43,'DETAIL TRANSAKSI'!$P$5:$P$504,$B$3,'DETAIL TRANSAKSI'!$Q$5:$Q$504,"Lunas"))</f>
        <v/>
      </c>
    </row>
    <row r="64" customFormat="false" ht="15" hidden="false" customHeight="false" outlineLevel="0" collapsed="false">
      <c r="C64" s="0" t="str">
        <f aca="false">IF('MASTER MENU'!A44="","",'MASTER MENU'!B44)</f>
        <v/>
      </c>
      <c r="D64" s="0" t="str">
        <f aca="false">IF(C64="","",SUMIFS('DETAIL TRANSAKSI'!$E$5:$E$504,'DETAIL TRANSAKSI'!$B$5:$B$504,'MASTER MENU'!A44,'DETAIL TRANSAKSI'!$P$5:$P$504,$B$3,'DETAIL TRANSAKSI'!$Q$5:$Q$504,"Lunas"))</f>
        <v/>
      </c>
    </row>
    <row r="65" customFormat="false" ht="15" hidden="false" customHeight="false" outlineLevel="0" collapsed="false">
      <c r="C65" s="0" t="str">
        <f aca="false">IF('MASTER MENU'!A45="","",'MASTER MENU'!B45)</f>
        <v/>
      </c>
      <c r="D65" s="0" t="str">
        <f aca="false">IF(C65="","",SUMIFS('DETAIL TRANSAKSI'!$E$5:$E$504,'DETAIL TRANSAKSI'!$B$5:$B$504,'MASTER MENU'!A45,'DETAIL TRANSAKSI'!$P$5:$P$504,$B$3,'DETAIL TRANSAKSI'!$Q$5:$Q$504,"Lunas"))</f>
        <v/>
      </c>
    </row>
    <row r="66" customFormat="false" ht="15" hidden="false" customHeight="false" outlineLevel="0" collapsed="false">
      <c r="C66" s="0" t="str">
        <f aca="false">IF('MASTER MENU'!A46="","",'MASTER MENU'!B46)</f>
        <v/>
      </c>
      <c r="D66" s="0" t="str">
        <f aca="false">IF(C66="","",SUMIFS('DETAIL TRANSAKSI'!$E$5:$E$504,'DETAIL TRANSAKSI'!$B$5:$B$504,'MASTER MENU'!A46,'DETAIL TRANSAKSI'!$P$5:$P$504,$B$3,'DETAIL TRANSAKSI'!$Q$5:$Q$504,"Lunas"))</f>
        <v/>
      </c>
    </row>
    <row r="67" customFormat="false" ht="15" hidden="false" customHeight="false" outlineLevel="0" collapsed="false">
      <c r="C67" s="0" t="str">
        <f aca="false">IF('MASTER MENU'!A47="","",'MASTER MENU'!B47)</f>
        <v/>
      </c>
      <c r="D67" s="0" t="str">
        <f aca="false">IF(C67="","",SUMIFS('DETAIL TRANSAKSI'!$E$5:$E$504,'DETAIL TRANSAKSI'!$B$5:$B$504,'MASTER MENU'!A47,'DETAIL TRANSAKSI'!$P$5:$P$504,$B$3,'DETAIL TRANSAKSI'!$Q$5:$Q$504,"Lunas"))</f>
        <v/>
      </c>
    </row>
    <row r="68" customFormat="false" ht="15" hidden="false" customHeight="false" outlineLevel="0" collapsed="false">
      <c r="C68" s="0" t="str">
        <f aca="false">IF('MASTER MENU'!A48="","",'MASTER MENU'!B48)</f>
        <v/>
      </c>
      <c r="D68" s="0" t="str">
        <f aca="false">IF(C68="","",SUMIFS('DETAIL TRANSAKSI'!$E$5:$E$504,'DETAIL TRANSAKSI'!$B$5:$B$504,'MASTER MENU'!A48,'DETAIL TRANSAKSI'!$P$5:$P$504,$B$3,'DETAIL TRANSAKSI'!$Q$5:$Q$504,"Lunas"))</f>
        <v/>
      </c>
    </row>
    <row r="69" customFormat="false" ht="15" hidden="false" customHeight="false" outlineLevel="0" collapsed="false">
      <c r="C69" s="0" t="str">
        <f aca="false">IF('MASTER MENU'!A49="","",'MASTER MENU'!B49)</f>
        <v/>
      </c>
      <c r="D69" s="0" t="str">
        <f aca="false">IF(C69="","",SUMIFS('DETAIL TRANSAKSI'!$E$5:$E$504,'DETAIL TRANSAKSI'!$B$5:$B$504,'MASTER MENU'!A49,'DETAIL TRANSAKSI'!$P$5:$P$504,$B$3,'DETAIL TRANSAKSI'!$Q$5:$Q$504,"Lunas"))</f>
        <v/>
      </c>
    </row>
    <row r="70" customFormat="false" ht="15" hidden="false" customHeight="false" outlineLevel="0" collapsed="false">
      <c r="C70" s="0" t="str">
        <f aca="false">IF('MASTER MENU'!A50="","",'MASTER MENU'!B50)</f>
        <v/>
      </c>
      <c r="D70" s="0" t="str">
        <f aca="false">IF(C70="","",SUMIFS('DETAIL TRANSAKSI'!$E$5:$E$504,'DETAIL TRANSAKSI'!$B$5:$B$504,'MASTER MENU'!A50,'DETAIL TRANSAKSI'!$P$5:$P$504,$B$3,'DETAIL TRANSAKSI'!$Q$5:$Q$504,"Lunas"))</f>
        <v/>
      </c>
    </row>
    <row r="71" customFormat="false" ht="15" hidden="false" customHeight="false" outlineLevel="0" collapsed="false">
      <c r="C71" s="0" t="str">
        <f aca="false">IF('MASTER MENU'!A51="","",'MASTER MENU'!B51)</f>
        <v/>
      </c>
      <c r="D71" s="0" t="str">
        <f aca="false">IF(C71="","",SUMIFS('DETAIL TRANSAKSI'!$E$5:$E$504,'DETAIL TRANSAKSI'!$B$5:$B$504,'MASTER MENU'!A51,'DETAIL TRANSAKSI'!$P$5:$P$504,$B$3,'DETAIL TRANSAKSI'!$Q$5:$Q$504,"Lunas"))</f>
        <v/>
      </c>
    </row>
    <row r="72" customFormat="false" ht="15" hidden="false" customHeight="false" outlineLevel="0" collapsed="false">
      <c r="C72" s="0" t="str">
        <f aca="false">IF('MASTER MENU'!A52="","",'MASTER MENU'!B52)</f>
        <v/>
      </c>
      <c r="D72" s="0" t="str">
        <f aca="false">IF(C72="","",SUMIFS('DETAIL TRANSAKSI'!$E$5:$E$504,'DETAIL TRANSAKSI'!$B$5:$B$504,'MASTER MENU'!A52,'DETAIL TRANSAKSI'!$P$5:$P$504,$B$3,'DETAIL TRANSAKSI'!$Q$5:$Q$504,"Lunas"))</f>
        <v/>
      </c>
    </row>
    <row r="73" customFormat="false" ht="15" hidden="false" customHeight="false" outlineLevel="0" collapsed="false">
      <c r="C73" s="0" t="str">
        <f aca="false">IF('MASTER MENU'!A53="","",'MASTER MENU'!B53)</f>
        <v/>
      </c>
      <c r="D73" s="0" t="str">
        <f aca="false">IF(C73="","",SUMIFS('DETAIL TRANSAKSI'!$E$5:$E$504,'DETAIL TRANSAKSI'!$B$5:$B$504,'MASTER MENU'!A53,'DETAIL TRANSAKSI'!$P$5:$P$504,$B$3,'DETAIL TRANSAKSI'!$Q$5:$Q$504,"Lunas"))</f>
        <v/>
      </c>
    </row>
    <row r="74" customFormat="false" ht="15" hidden="false" customHeight="false" outlineLevel="0" collapsed="false">
      <c r="C74" s="0" t="str">
        <f aca="false">IF('MASTER MENU'!A54="","",'MASTER MENU'!B54)</f>
        <v/>
      </c>
      <c r="D74" s="0" t="str">
        <f aca="false">IF(C74="","",SUMIFS('DETAIL TRANSAKSI'!$E$5:$E$504,'DETAIL TRANSAKSI'!$B$5:$B$504,'MASTER MENU'!A54,'DETAIL TRANSAKSI'!$P$5:$P$504,$B$3,'DETAIL TRANSAKSI'!$Q$5:$Q$504,"Lunas"))</f>
        <v/>
      </c>
    </row>
    <row r="75" customFormat="false" ht="15" hidden="false" customHeight="false" outlineLevel="0" collapsed="false">
      <c r="C75" s="0" t="str">
        <f aca="false">IF('MASTER MENU'!A55="","",'MASTER MENU'!B55)</f>
        <v/>
      </c>
      <c r="D75" s="0" t="str">
        <f aca="false">IF(C75="","",SUMIFS('DETAIL TRANSAKSI'!$E$5:$E$504,'DETAIL TRANSAKSI'!$B$5:$B$504,'MASTER MENU'!A55,'DETAIL TRANSAKSI'!$P$5:$P$504,$B$3,'DETAIL TRANSAKSI'!$Q$5:$Q$504,"Lunas"))</f>
        <v/>
      </c>
    </row>
    <row r="76" customFormat="false" ht="15" hidden="false" customHeight="false" outlineLevel="0" collapsed="false">
      <c r="C76" s="0" t="str">
        <f aca="false">IF('MASTER MENU'!A56="","",'MASTER MENU'!B56)</f>
        <v/>
      </c>
      <c r="D76" s="0" t="str">
        <f aca="false">IF(C76="","",SUMIFS('DETAIL TRANSAKSI'!$E$5:$E$504,'DETAIL TRANSAKSI'!$B$5:$B$504,'MASTER MENU'!A56,'DETAIL TRANSAKSI'!$P$5:$P$504,$B$3,'DETAIL TRANSAKSI'!$Q$5:$Q$504,"Lunas"))</f>
        <v/>
      </c>
    </row>
    <row r="77" customFormat="false" ht="15" hidden="false" customHeight="false" outlineLevel="0" collapsed="false">
      <c r="C77" s="0" t="str">
        <f aca="false">IF('MASTER MENU'!A57="","",'MASTER MENU'!B57)</f>
        <v/>
      </c>
      <c r="D77" s="0" t="str">
        <f aca="false">IF(C77="","",SUMIFS('DETAIL TRANSAKSI'!$E$5:$E$504,'DETAIL TRANSAKSI'!$B$5:$B$504,'MASTER MENU'!A57,'DETAIL TRANSAKSI'!$P$5:$P$504,$B$3,'DETAIL TRANSAKSI'!$Q$5:$Q$504,"Lunas"))</f>
        <v/>
      </c>
    </row>
    <row r="78" customFormat="false" ht="15" hidden="false" customHeight="false" outlineLevel="0" collapsed="false">
      <c r="C78" s="0" t="str">
        <f aca="false">IF('MASTER MENU'!A58="","",'MASTER MENU'!B58)</f>
        <v/>
      </c>
      <c r="D78" s="0" t="str">
        <f aca="false">IF(C78="","",SUMIFS('DETAIL TRANSAKSI'!$E$5:$E$504,'DETAIL TRANSAKSI'!$B$5:$B$504,'MASTER MENU'!A58,'DETAIL TRANSAKSI'!$P$5:$P$504,$B$3,'DETAIL TRANSAKSI'!$Q$5:$Q$504,"Lunas"))</f>
        <v/>
      </c>
    </row>
    <row r="79" customFormat="false" ht="15" hidden="false" customHeight="false" outlineLevel="0" collapsed="false">
      <c r="C79" s="0" t="str">
        <f aca="false">IF('MASTER MENU'!A59="","",'MASTER MENU'!B59)</f>
        <v/>
      </c>
      <c r="D79" s="0" t="str">
        <f aca="false">IF(C79="","",SUMIFS('DETAIL TRANSAKSI'!$E$5:$E$504,'DETAIL TRANSAKSI'!$B$5:$B$504,'MASTER MENU'!A59,'DETAIL TRANSAKSI'!$P$5:$P$504,$B$3,'DETAIL TRANSAKSI'!$Q$5:$Q$504,"Lunas"))</f>
        <v/>
      </c>
    </row>
    <row r="80" customFormat="false" ht="15" hidden="false" customHeight="false" outlineLevel="0" collapsed="false">
      <c r="C80" s="0" t="str">
        <f aca="false">IF('MASTER MENU'!A60="","",'MASTER MENU'!B60)</f>
        <v/>
      </c>
      <c r="D80" s="0" t="str">
        <f aca="false">IF(C80="","",SUMIFS('DETAIL TRANSAKSI'!$E$5:$E$504,'DETAIL TRANSAKSI'!$B$5:$B$504,'MASTER MENU'!A60,'DETAIL TRANSAKSI'!$P$5:$P$504,$B$3,'DETAIL TRANSAKSI'!$Q$5:$Q$504,"Lunas"))</f>
        <v/>
      </c>
    </row>
    <row r="81" customFormat="false" ht="15" hidden="false" customHeight="false" outlineLevel="0" collapsed="false">
      <c r="C81" s="0" t="str">
        <f aca="false">IF('MASTER MENU'!A61="","",'MASTER MENU'!B61)</f>
        <v/>
      </c>
      <c r="D81" s="0" t="str">
        <f aca="false">IF(C81="","",SUMIFS('DETAIL TRANSAKSI'!$E$5:$E$504,'DETAIL TRANSAKSI'!$B$5:$B$504,'MASTER MENU'!A61,'DETAIL TRANSAKSI'!$P$5:$P$504,$B$3,'DETAIL TRANSAKSI'!$Q$5:$Q$504,"Lunas"))</f>
        <v/>
      </c>
    </row>
    <row r="82" customFormat="false" ht="15" hidden="false" customHeight="false" outlineLevel="0" collapsed="false">
      <c r="C82" s="0" t="str">
        <f aca="false">IF('MASTER MENU'!A62="","",'MASTER MENU'!B62)</f>
        <v/>
      </c>
      <c r="D82" s="0" t="str">
        <f aca="false">IF(C82="","",SUMIFS('DETAIL TRANSAKSI'!$E$5:$E$504,'DETAIL TRANSAKSI'!$B$5:$B$504,'MASTER MENU'!A62,'DETAIL TRANSAKSI'!$P$5:$P$504,$B$3,'DETAIL TRANSAKSI'!$Q$5:$Q$504,"Lunas"))</f>
        <v/>
      </c>
    </row>
    <row r="83" customFormat="false" ht="15" hidden="false" customHeight="false" outlineLevel="0" collapsed="false">
      <c r="C83" s="0" t="str">
        <f aca="false">IF('MASTER MENU'!A63="","",'MASTER MENU'!B63)</f>
        <v/>
      </c>
      <c r="D83" s="0" t="str">
        <f aca="false">IF(C83="","",SUMIFS('DETAIL TRANSAKSI'!$E$5:$E$504,'DETAIL TRANSAKSI'!$B$5:$B$504,'MASTER MENU'!A63,'DETAIL TRANSAKSI'!$P$5:$P$504,$B$3,'DETAIL TRANSAKSI'!$Q$5:$Q$504,"Lunas"))</f>
        <v/>
      </c>
    </row>
    <row r="84" customFormat="false" ht="15" hidden="false" customHeight="false" outlineLevel="0" collapsed="false">
      <c r="C84" s="0" t="str">
        <f aca="false">IF('MASTER MENU'!A64="","",'MASTER MENU'!B64)</f>
        <v/>
      </c>
      <c r="D84" s="0" t="str">
        <f aca="false">IF(C84="","",SUMIFS('DETAIL TRANSAKSI'!$E$5:$E$504,'DETAIL TRANSAKSI'!$B$5:$B$504,'MASTER MENU'!A64,'DETAIL TRANSAKSI'!$P$5:$P$504,$B$3,'DETAIL TRANSAKSI'!$Q$5:$Q$504,"Lunas"))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9"/>
    <col collapsed="false" customWidth="true" hidden="false" outlineLevel="0" max="7" min="7" style="0" width="23"/>
    <col collapsed="false" customWidth="true" hidden="false" outlineLevel="0" max="8" min="8" style="0" width="19"/>
  </cols>
  <sheetData>
    <row r="1" customFormat="false" ht="34" hidden="false" customHeight="true" outlineLevel="0" collapsed="false">
      <c r="A1" s="28" t="s">
        <v>360</v>
      </c>
      <c r="B1" s="28"/>
      <c r="C1" s="28"/>
      <c r="D1" s="28"/>
      <c r="E1" s="28"/>
      <c r="F1" s="28"/>
      <c r="G1" s="28"/>
      <c r="H1" s="28"/>
    </row>
    <row r="2" customFormat="false" ht="15" hidden="false" customHeight="false" outlineLevel="0" collapsed="false">
      <c r="A2" s="29" t="s">
        <v>361</v>
      </c>
      <c r="B2" s="29"/>
      <c r="C2" s="29"/>
      <c r="D2" s="29"/>
      <c r="E2" s="29"/>
      <c r="F2" s="29"/>
      <c r="G2" s="29"/>
      <c r="H2" s="29"/>
    </row>
    <row r="3" customFormat="false" ht="15" hidden="false" customHeight="false" outlineLevel="0" collapsed="false">
      <c r="A3" s="0" t="s">
        <v>362</v>
      </c>
      <c r="B3" s="40" t="n">
        <v>46325</v>
      </c>
    </row>
    <row r="4" customFormat="false" ht="15" hidden="false" customHeight="false" outlineLevel="0" collapsed="false">
      <c r="A4" s="25"/>
      <c r="B4" s="25"/>
      <c r="C4" s="25"/>
      <c r="D4" s="25"/>
      <c r="E4" s="25"/>
      <c r="F4" s="25"/>
      <c r="G4" s="25"/>
      <c r="H4" s="25"/>
    </row>
    <row r="5" customFormat="false" ht="29" hidden="false" customHeight="true" outlineLevel="0" collapsed="false">
      <c r="A5" s="31" t="s">
        <v>363</v>
      </c>
      <c r="B5" s="32" t="n">
        <f aca="false">SUM(B21:B51)</f>
        <v>279000</v>
      </c>
      <c r="C5" s="25"/>
      <c r="D5" s="25"/>
      <c r="E5" s="25"/>
      <c r="F5" s="25"/>
      <c r="G5" s="25"/>
      <c r="H5" s="25"/>
    </row>
    <row r="6" customFormat="false" ht="29" hidden="false" customHeight="true" outlineLevel="0" collapsed="false">
      <c r="A6" s="31" t="s">
        <v>251</v>
      </c>
      <c r="B6" s="32" t="n">
        <f aca="false">SUM(C21:C51)</f>
        <v>2000</v>
      </c>
      <c r="C6" s="25"/>
      <c r="D6" s="25"/>
      <c r="E6" s="25"/>
      <c r="F6" s="25"/>
      <c r="G6" s="25"/>
      <c r="H6" s="25"/>
    </row>
    <row r="7" customFormat="false" ht="29" hidden="false" customHeight="true" outlineLevel="0" collapsed="false">
      <c r="A7" s="31" t="s">
        <v>364</v>
      </c>
      <c r="B7" s="32" t="n">
        <f aca="false">SUM(D21:D51)</f>
        <v>5000</v>
      </c>
      <c r="C7" s="25"/>
      <c r="D7" s="25"/>
      <c r="E7" s="25"/>
      <c r="F7" s="25"/>
      <c r="G7" s="25"/>
      <c r="H7" s="25"/>
    </row>
    <row r="8" customFormat="false" ht="33" hidden="false" customHeight="true" outlineLevel="0" collapsed="false">
      <c r="A8" s="33" t="s">
        <v>253</v>
      </c>
      <c r="B8" s="34" t="n">
        <f aca="false">SUM(E21:E51)</f>
        <v>272000</v>
      </c>
      <c r="C8" s="25"/>
      <c r="D8" s="25"/>
      <c r="E8" s="25"/>
      <c r="F8" s="25"/>
      <c r="G8" s="25"/>
      <c r="H8" s="25"/>
    </row>
    <row r="9" customFormat="false" ht="29" hidden="false" customHeight="true" outlineLevel="0" collapsed="false">
      <c r="A9" s="31" t="s">
        <v>365</v>
      </c>
      <c r="B9" s="32" t="n">
        <f aca="false">SUM(F21:F51)</f>
        <v>53490</v>
      </c>
      <c r="C9" s="25"/>
      <c r="D9" s="25"/>
      <c r="E9" s="25"/>
      <c r="F9" s="25"/>
      <c r="G9" s="25"/>
      <c r="H9" s="25"/>
    </row>
    <row r="10" customFormat="false" ht="33" hidden="false" customHeight="true" outlineLevel="0" collapsed="false">
      <c r="A10" s="33" t="s">
        <v>168</v>
      </c>
      <c r="B10" s="34" t="n">
        <f aca="false">B8-B9</f>
        <v>218510</v>
      </c>
      <c r="C10" s="25"/>
      <c r="D10" s="25"/>
      <c r="E10" s="25"/>
      <c r="F10" s="25"/>
      <c r="G10" s="25"/>
      <c r="H10" s="25"/>
    </row>
    <row r="11" customFormat="false" ht="29" hidden="false" customHeight="true" outlineLevel="0" collapsed="false">
      <c r="A11" s="31" t="s">
        <v>346</v>
      </c>
      <c r="B11" s="32" t="n">
        <f aca="false">SUM(G21:G51)-B12</f>
        <v>8000</v>
      </c>
      <c r="C11" s="25"/>
      <c r="D11" s="25"/>
      <c r="E11" s="25"/>
      <c r="F11" s="25"/>
      <c r="G11" s="25"/>
      <c r="H11" s="25"/>
    </row>
    <row r="12" customFormat="false" ht="29" hidden="false" customHeight="true" outlineLevel="0" collapsed="false">
      <c r="A12" s="31" t="s">
        <v>210</v>
      </c>
      <c r="B12" s="32" t="n">
        <f aca="false">SUMIFS('PERGERAKAN STOK'!$M$5:$M$504,'PERGERAKAN STOK'!$B$5:$B$504,"&gt;="&amp;DATE(YEAR($B$3),MONTH($B$3),1),'PERGERAKAN STOK'!$B$5:$B$504,"&lt;"&amp;EDATE(DATE(YEAR($B$3),MONTH($B$3),1),1))</f>
        <v>480</v>
      </c>
      <c r="C12" s="25"/>
      <c r="D12" s="25"/>
      <c r="E12" s="25"/>
      <c r="F12" s="25"/>
      <c r="G12" s="25"/>
      <c r="H12" s="25"/>
    </row>
    <row r="13" customFormat="false" ht="33" hidden="false" customHeight="true" outlineLevel="0" collapsed="false">
      <c r="A13" s="35" t="s">
        <v>348</v>
      </c>
      <c r="B13" s="36" t="n">
        <f aca="false">B10-B11-B12</f>
        <v>210030</v>
      </c>
      <c r="C13" s="25"/>
      <c r="D13" s="25"/>
      <c r="E13" s="25"/>
      <c r="F13" s="25"/>
      <c r="G13" s="25"/>
      <c r="H13" s="25"/>
    </row>
    <row r="14" customFormat="false" ht="29" hidden="false" customHeight="true" outlineLevel="0" collapsed="false">
      <c r="A14" s="31" t="s">
        <v>366</v>
      </c>
      <c r="B14" s="41" t="n">
        <f aca="false">IF(B8=0,"BELUM ADA",B13/B8)</f>
        <v>0.772169117647059</v>
      </c>
      <c r="C14" s="25"/>
      <c r="D14" s="25"/>
      <c r="E14" s="25"/>
      <c r="F14" s="25"/>
      <c r="G14" s="25"/>
      <c r="H14" s="25"/>
    </row>
    <row r="15" customFormat="false" ht="29" hidden="false" customHeight="true" outlineLevel="0" collapsed="false">
      <c r="A15" s="31" t="s">
        <v>367</v>
      </c>
      <c r="B15" s="37" t="n">
        <f aca="false">COUNTIFS('RINGKASAN STOK'!$J$5:$J$504,"Menipis")+COUNTIFS('RINGKASAN STOK'!$J$5:$J$504,"Habis")</f>
        <v>0</v>
      </c>
      <c r="C15" s="25"/>
      <c r="D15" s="25"/>
      <c r="E15" s="25"/>
      <c r="F15" s="25"/>
      <c r="G15" s="25"/>
      <c r="H15" s="25"/>
    </row>
    <row r="16" customFormat="false" ht="29" hidden="false" customHeight="true" outlineLevel="0" collapsed="false">
      <c r="A16" s="31" t="s">
        <v>368</v>
      </c>
      <c r="B16" s="37" t="str">
        <f aca="false">IF(MAX(D55:D114)=0,"Belum ada",INDEX(C55:C114,MATCH(MAX(D55:D114),D55:D114,0)))</f>
        <v>Kopi Susu Gula Aren</v>
      </c>
      <c r="C16" s="25"/>
      <c r="D16" s="25"/>
      <c r="E16" s="25"/>
      <c r="F16" s="25"/>
      <c r="G16" s="25"/>
      <c r="H16" s="25"/>
    </row>
    <row r="17" customFormat="false" ht="29" hidden="false" customHeight="true" outlineLevel="0" collapsed="false">
      <c r="A17" s="31" t="s">
        <v>369</v>
      </c>
      <c r="B17" s="37" t="str">
        <f aca="false">IF(COUNT(E55:E114)=0,"Belum ada",INDEX(C55:C114,MATCH(SMALL(E55:E114,1),E55:E114,0)))</f>
        <v>Kopi Susu Gula Aren</v>
      </c>
      <c r="C17" s="25"/>
      <c r="D17" s="25"/>
      <c r="E17" s="25"/>
      <c r="F17" s="25"/>
      <c r="G17" s="25"/>
      <c r="H17" s="25"/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25"/>
      <c r="G18" s="25"/>
      <c r="H18" s="25"/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5"/>
      <c r="G19" s="25"/>
      <c r="H19" s="25"/>
    </row>
    <row r="20" customFormat="false" ht="30" hidden="false" customHeight="true" outlineLevel="0" collapsed="false">
      <c r="A20" s="38" t="s">
        <v>370</v>
      </c>
      <c r="B20" s="38" t="s">
        <v>371</v>
      </c>
      <c r="C20" s="38" t="s">
        <v>251</v>
      </c>
      <c r="D20" s="38" t="s">
        <v>364</v>
      </c>
      <c r="E20" s="38" t="s">
        <v>372</v>
      </c>
      <c r="F20" s="38" t="s">
        <v>365</v>
      </c>
      <c r="G20" s="38" t="s">
        <v>373</v>
      </c>
      <c r="H20" s="38" t="s">
        <v>374</v>
      </c>
    </row>
    <row r="21" customFormat="false" ht="15" hidden="false" customHeight="false" outlineLevel="0" collapsed="false">
      <c r="A21" s="42" t="n">
        <f aca="false">DATE(YEAR($B$3),MONTH($B$3),1)</f>
        <v>46296</v>
      </c>
      <c r="B21" s="39" t="n">
        <f aca="false">IF(A21="","",SUMIFS('TRANSAKSI PENJUALAN'!$H$5:$H$504,'TRANSAKSI PENJUALAN'!$B$5:$B$504,A21,'TRANSAKSI PENJUALAN'!$M$5:$M$504,"Lunas"))</f>
        <v>0</v>
      </c>
      <c r="C21" s="39" t="n">
        <f aca="false">IF(A21="","",SUMIFS('TRANSAKSI PENJUALAN'!$I$5:$I$504,'TRANSAKSI PENJUALAN'!$B$5:$B$504,A21,'TRANSAKSI PENJUALAN'!$M$5:$M$504,"Lunas"))</f>
        <v>0</v>
      </c>
      <c r="D21" s="39" t="n">
        <f aca="false">IF(A21="","",SUMIFS('TRANSAKSI PENJUALAN'!$J$5:$J$504,'TRANSAKSI PENJUALAN'!$B$5:$B$504,A21,'TRANSAKSI PENJUALAN'!$M$5:$M$504,"Lunas"))</f>
        <v>0</v>
      </c>
      <c r="E21" s="39" t="n">
        <f aca="false">IF(A21="","",SUMIFS('TRANSAKSI PENJUALAN'!$K$5:$K$504,'TRANSAKSI PENJUALAN'!$B$5:$B$504,A21,'TRANSAKSI PENJUALAN'!$M$5:$M$504,"Lunas"))</f>
        <v>0</v>
      </c>
      <c r="F21" s="39" t="n">
        <f aca="false">IF(A21="","",SUMIFS('DETAIL TRANSAKSI'!$L$5:$L$504,'DETAIL TRANSAKSI'!$P$5:$P$504,A21,'DETAIL TRANSAKSI'!$Q$5:$Q$504,"Lunas"))</f>
        <v>0</v>
      </c>
      <c r="G21" s="39" t="n">
        <f aca="false">IF(A21="","",SUMIFS(PENGELUARAN!$E$5:$E$504,PENGELUARAN!$B$5:$B$504,A21,PENGELUARAN!$I$5:$I$504,"Ya")+SUMIFS('PERGERAKAN STOK'!$M$5:$M$504,'PERGERAKAN STOK'!$B$5:$B$504,"&gt;="&amp;A21,'PERGERAKAN STOK'!$B$5:$B$504,"&lt;"&amp;(A21+1)))</f>
        <v>0</v>
      </c>
      <c r="H21" s="39" t="n">
        <f aca="false">IF(A21="","",E21-F21-G21)</f>
        <v>0</v>
      </c>
    </row>
    <row r="22" customFormat="false" ht="15" hidden="false" customHeight="false" outlineLevel="0" collapsed="false">
      <c r="A22" s="42" t="n">
        <f aca="false">IF(MONTH(A21+1)=MONTH($B$3),A21+1,"")</f>
        <v>46297</v>
      </c>
      <c r="B22" s="39" t="n">
        <f aca="false">IF(A22="","",SUMIFS('TRANSAKSI PENJUALAN'!$H$5:$H$504,'TRANSAKSI PENJUALAN'!$B$5:$B$504,A22,'TRANSAKSI PENJUALAN'!$M$5:$M$504,"Lunas"))</f>
        <v>0</v>
      </c>
      <c r="C22" s="39" t="n">
        <f aca="false">IF(A22="","",SUMIFS('TRANSAKSI PENJUALAN'!$I$5:$I$504,'TRANSAKSI PENJUALAN'!$B$5:$B$504,A22,'TRANSAKSI PENJUALAN'!$M$5:$M$504,"Lunas"))</f>
        <v>0</v>
      </c>
      <c r="D22" s="39" t="n">
        <f aca="false">IF(A22="","",SUMIFS('TRANSAKSI PENJUALAN'!$J$5:$J$504,'TRANSAKSI PENJUALAN'!$B$5:$B$504,A22,'TRANSAKSI PENJUALAN'!$M$5:$M$504,"Lunas"))</f>
        <v>0</v>
      </c>
      <c r="E22" s="39" t="n">
        <f aca="false">IF(A22="","",SUMIFS('TRANSAKSI PENJUALAN'!$K$5:$K$504,'TRANSAKSI PENJUALAN'!$B$5:$B$504,A22,'TRANSAKSI PENJUALAN'!$M$5:$M$504,"Lunas"))</f>
        <v>0</v>
      </c>
      <c r="F22" s="39" t="n">
        <f aca="false">IF(A22="","",SUMIFS('DETAIL TRANSAKSI'!$L$5:$L$504,'DETAIL TRANSAKSI'!$P$5:$P$504,A22,'DETAIL TRANSAKSI'!$Q$5:$Q$504,"Lunas"))</f>
        <v>0</v>
      </c>
      <c r="G22" s="39" t="n">
        <f aca="false">IF(A22="","",SUMIFS(PENGELUARAN!$E$5:$E$504,PENGELUARAN!$B$5:$B$504,A22,PENGELUARAN!$I$5:$I$504,"Ya")+SUMIFS('PERGERAKAN STOK'!$M$5:$M$504,'PERGERAKAN STOK'!$B$5:$B$504,"&gt;="&amp;A22,'PERGERAKAN STOK'!$B$5:$B$504,"&lt;"&amp;(A22+1)))</f>
        <v>0</v>
      </c>
      <c r="H22" s="39" t="n">
        <f aca="false">IF(A22="","",E22-F22-G22)</f>
        <v>0</v>
      </c>
    </row>
    <row r="23" customFormat="false" ht="15" hidden="false" customHeight="false" outlineLevel="0" collapsed="false">
      <c r="A23" s="42" t="n">
        <f aca="false">IF(MONTH(A22+1)=MONTH($B$3),A22+1,"")</f>
        <v>46298</v>
      </c>
      <c r="B23" s="39" t="n">
        <f aca="false">IF(A23="","",SUMIFS('TRANSAKSI PENJUALAN'!$H$5:$H$504,'TRANSAKSI PENJUALAN'!$B$5:$B$504,A23,'TRANSAKSI PENJUALAN'!$M$5:$M$504,"Lunas"))</f>
        <v>0</v>
      </c>
      <c r="C23" s="39" t="n">
        <f aca="false">IF(A23="","",SUMIFS('TRANSAKSI PENJUALAN'!$I$5:$I$504,'TRANSAKSI PENJUALAN'!$B$5:$B$504,A23,'TRANSAKSI PENJUALAN'!$M$5:$M$504,"Lunas"))</f>
        <v>0</v>
      </c>
      <c r="D23" s="39" t="n">
        <f aca="false">IF(A23="","",SUMIFS('TRANSAKSI PENJUALAN'!$J$5:$J$504,'TRANSAKSI PENJUALAN'!$B$5:$B$504,A23,'TRANSAKSI PENJUALAN'!$M$5:$M$504,"Lunas"))</f>
        <v>0</v>
      </c>
      <c r="E23" s="39" t="n">
        <f aca="false">IF(A23="","",SUMIFS('TRANSAKSI PENJUALAN'!$K$5:$K$504,'TRANSAKSI PENJUALAN'!$B$5:$B$504,A23,'TRANSAKSI PENJUALAN'!$M$5:$M$504,"Lunas"))</f>
        <v>0</v>
      </c>
      <c r="F23" s="39" t="n">
        <f aca="false">IF(A23="","",SUMIFS('DETAIL TRANSAKSI'!$L$5:$L$504,'DETAIL TRANSAKSI'!$P$5:$P$504,A23,'DETAIL TRANSAKSI'!$Q$5:$Q$504,"Lunas"))</f>
        <v>0</v>
      </c>
      <c r="G23" s="39" t="n">
        <f aca="false">IF(A23="","",SUMIFS(PENGELUARAN!$E$5:$E$504,PENGELUARAN!$B$5:$B$504,A23,PENGELUARAN!$I$5:$I$504,"Ya")+SUMIFS('PERGERAKAN STOK'!$M$5:$M$504,'PERGERAKAN STOK'!$B$5:$B$504,"&gt;="&amp;A23,'PERGERAKAN STOK'!$B$5:$B$504,"&lt;"&amp;(A23+1)))</f>
        <v>0</v>
      </c>
      <c r="H23" s="39" t="n">
        <f aca="false">IF(A23="","",E23-F23-G23)</f>
        <v>0</v>
      </c>
    </row>
    <row r="24" customFormat="false" ht="15" hidden="false" customHeight="false" outlineLevel="0" collapsed="false">
      <c r="A24" s="42" t="n">
        <f aca="false">IF(MONTH(A23+1)=MONTH($B$3),A23+1,"")</f>
        <v>46299</v>
      </c>
      <c r="B24" s="39" t="n">
        <f aca="false">IF(A24="","",SUMIFS('TRANSAKSI PENJUALAN'!$H$5:$H$504,'TRANSAKSI PENJUALAN'!$B$5:$B$504,A24,'TRANSAKSI PENJUALAN'!$M$5:$M$504,"Lunas"))</f>
        <v>0</v>
      </c>
      <c r="C24" s="39" t="n">
        <f aca="false">IF(A24="","",SUMIFS('TRANSAKSI PENJUALAN'!$I$5:$I$504,'TRANSAKSI PENJUALAN'!$B$5:$B$504,A24,'TRANSAKSI PENJUALAN'!$M$5:$M$504,"Lunas"))</f>
        <v>0</v>
      </c>
      <c r="D24" s="39" t="n">
        <f aca="false">IF(A24="","",SUMIFS('TRANSAKSI PENJUALAN'!$J$5:$J$504,'TRANSAKSI PENJUALAN'!$B$5:$B$504,A24,'TRANSAKSI PENJUALAN'!$M$5:$M$504,"Lunas"))</f>
        <v>0</v>
      </c>
      <c r="E24" s="39" t="n">
        <f aca="false">IF(A24="","",SUMIFS('TRANSAKSI PENJUALAN'!$K$5:$K$504,'TRANSAKSI PENJUALAN'!$B$5:$B$504,A24,'TRANSAKSI PENJUALAN'!$M$5:$M$504,"Lunas"))</f>
        <v>0</v>
      </c>
      <c r="F24" s="39" t="n">
        <f aca="false">IF(A24="","",SUMIFS('DETAIL TRANSAKSI'!$L$5:$L$504,'DETAIL TRANSAKSI'!$P$5:$P$504,A24,'DETAIL TRANSAKSI'!$Q$5:$Q$504,"Lunas"))</f>
        <v>0</v>
      </c>
      <c r="G24" s="39" t="n">
        <f aca="false">IF(A24="","",SUMIFS(PENGELUARAN!$E$5:$E$504,PENGELUARAN!$B$5:$B$504,A24,PENGELUARAN!$I$5:$I$504,"Ya")+SUMIFS('PERGERAKAN STOK'!$M$5:$M$504,'PERGERAKAN STOK'!$B$5:$B$504,"&gt;="&amp;A24,'PERGERAKAN STOK'!$B$5:$B$504,"&lt;"&amp;(A24+1)))</f>
        <v>0</v>
      </c>
      <c r="H24" s="39" t="n">
        <f aca="false">IF(A24="","",E24-F24-G24)</f>
        <v>0</v>
      </c>
    </row>
    <row r="25" customFormat="false" ht="15" hidden="false" customHeight="false" outlineLevel="0" collapsed="false">
      <c r="A25" s="42" t="n">
        <f aca="false">IF(MONTH(A24+1)=MONTH($B$3),A24+1,"")</f>
        <v>46300</v>
      </c>
      <c r="B25" s="39" t="n">
        <f aca="false">IF(A25="","",SUMIFS('TRANSAKSI PENJUALAN'!$H$5:$H$504,'TRANSAKSI PENJUALAN'!$B$5:$B$504,A25,'TRANSAKSI PENJUALAN'!$M$5:$M$504,"Lunas"))</f>
        <v>0</v>
      </c>
      <c r="C25" s="39" t="n">
        <f aca="false">IF(A25="","",SUMIFS('TRANSAKSI PENJUALAN'!$I$5:$I$504,'TRANSAKSI PENJUALAN'!$B$5:$B$504,A25,'TRANSAKSI PENJUALAN'!$M$5:$M$504,"Lunas"))</f>
        <v>0</v>
      </c>
      <c r="D25" s="39" t="n">
        <f aca="false">IF(A25="","",SUMIFS('TRANSAKSI PENJUALAN'!$J$5:$J$504,'TRANSAKSI PENJUALAN'!$B$5:$B$504,A25,'TRANSAKSI PENJUALAN'!$M$5:$M$504,"Lunas"))</f>
        <v>0</v>
      </c>
      <c r="E25" s="39" t="n">
        <f aca="false">IF(A25="","",SUMIFS('TRANSAKSI PENJUALAN'!$K$5:$K$504,'TRANSAKSI PENJUALAN'!$B$5:$B$504,A25,'TRANSAKSI PENJUALAN'!$M$5:$M$504,"Lunas"))</f>
        <v>0</v>
      </c>
      <c r="F25" s="39" t="n">
        <f aca="false">IF(A25="","",SUMIFS('DETAIL TRANSAKSI'!$L$5:$L$504,'DETAIL TRANSAKSI'!$P$5:$P$504,A25,'DETAIL TRANSAKSI'!$Q$5:$Q$504,"Lunas"))</f>
        <v>0</v>
      </c>
      <c r="G25" s="39" t="n">
        <f aca="false">IF(A25="","",SUMIFS(PENGELUARAN!$E$5:$E$504,PENGELUARAN!$B$5:$B$504,A25,PENGELUARAN!$I$5:$I$504,"Ya")+SUMIFS('PERGERAKAN STOK'!$M$5:$M$504,'PERGERAKAN STOK'!$B$5:$B$504,"&gt;="&amp;A25,'PERGERAKAN STOK'!$B$5:$B$504,"&lt;"&amp;(A25+1)))</f>
        <v>0</v>
      </c>
      <c r="H25" s="39" t="n">
        <f aca="false">IF(A25="","",E25-F25-G25)</f>
        <v>0</v>
      </c>
    </row>
    <row r="26" customFormat="false" ht="15" hidden="false" customHeight="false" outlineLevel="0" collapsed="false">
      <c r="A26" s="42" t="n">
        <f aca="false">IF(MONTH(A25+1)=MONTH($B$3),A25+1,"")</f>
        <v>46301</v>
      </c>
      <c r="B26" s="39" t="n">
        <f aca="false">IF(A26="","",SUMIFS('TRANSAKSI PENJUALAN'!$H$5:$H$504,'TRANSAKSI PENJUALAN'!$B$5:$B$504,A26,'TRANSAKSI PENJUALAN'!$M$5:$M$504,"Lunas"))</f>
        <v>0</v>
      </c>
      <c r="C26" s="39" t="n">
        <f aca="false">IF(A26="","",SUMIFS('TRANSAKSI PENJUALAN'!$I$5:$I$504,'TRANSAKSI PENJUALAN'!$B$5:$B$504,A26,'TRANSAKSI PENJUALAN'!$M$5:$M$504,"Lunas"))</f>
        <v>0</v>
      </c>
      <c r="D26" s="39" t="n">
        <f aca="false">IF(A26="","",SUMIFS('TRANSAKSI PENJUALAN'!$J$5:$J$504,'TRANSAKSI PENJUALAN'!$B$5:$B$504,A26,'TRANSAKSI PENJUALAN'!$M$5:$M$504,"Lunas"))</f>
        <v>0</v>
      </c>
      <c r="E26" s="39" t="n">
        <f aca="false">IF(A26="","",SUMIFS('TRANSAKSI PENJUALAN'!$K$5:$K$504,'TRANSAKSI PENJUALAN'!$B$5:$B$504,A26,'TRANSAKSI PENJUALAN'!$M$5:$M$504,"Lunas"))</f>
        <v>0</v>
      </c>
      <c r="F26" s="39" t="n">
        <f aca="false">IF(A26="","",SUMIFS('DETAIL TRANSAKSI'!$L$5:$L$504,'DETAIL TRANSAKSI'!$P$5:$P$504,A26,'DETAIL TRANSAKSI'!$Q$5:$Q$504,"Lunas"))</f>
        <v>0</v>
      </c>
      <c r="G26" s="39" t="n">
        <f aca="false">IF(A26="","",SUMIFS(PENGELUARAN!$E$5:$E$504,PENGELUARAN!$B$5:$B$504,A26,PENGELUARAN!$I$5:$I$504,"Ya")+SUMIFS('PERGERAKAN STOK'!$M$5:$M$504,'PERGERAKAN STOK'!$B$5:$B$504,"&gt;="&amp;A26,'PERGERAKAN STOK'!$B$5:$B$504,"&lt;"&amp;(A26+1)))</f>
        <v>0</v>
      </c>
      <c r="H26" s="39" t="n">
        <f aca="false">IF(A26="","",E26-F26-G26)</f>
        <v>0</v>
      </c>
    </row>
    <row r="27" customFormat="false" ht="15" hidden="false" customHeight="false" outlineLevel="0" collapsed="false">
      <c r="A27" s="42" t="n">
        <f aca="false">IF(MONTH(A26+1)=MONTH($B$3),A26+1,"")</f>
        <v>46302</v>
      </c>
      <c r="B27" s="39" t="n">
        <f aca="false">IF(A27="","",SUMIFS('TRANSAKSI PENJUALAN'!$H$5:$H$504,'TRANSAKSI PENJUALAN'!$B$5:$B$504,A27,'TRANSAKSI PENJUALAN'!$M$5:$M$504,"Lunas"))</f>
        <v>0</v>
      </c>
      <c r="C27" s="39" t="n">
        <f aca="false">IF(A27="","",SUMIFS('TRANSAKSI PENJUALAN'!$I$5:$I$504,'TRANSAKSI PENJUALAN'!$B$5:$B$504,A27,'TRANSAKSI PENJUALAN'!$M$5:$M$504,"Lunas"))</f>
        <v>0</v>
      </c>
      <c r="D27" s="39" t="n">
        <f aca="false">IF(A27="","",SUMIFS('TRANSAKSI PENJUALAN'!$J$5:$J$504,'TRANSAKSI PENJUALAN'!$B$5:$B$504,A27,'TRANSAKSI PENJUALAN'!$M$5:$M$504,"Lunas"))</f>
        <v>0</v>
      </c>
      <c r="E27" s="39" t="n">
        <f aca="false">IF(A27="","",SUMIFS('TRANSAKSI PENJUALAN'!$K$5:$K$504,'TRANSAKSI PENJUALAN'!$B$5:$B$504,A27,'TRANSAKSI PENJUALAN'!$M$5:$M$504,"Lunas"))</f>
        <v>0</v>
      </c>
      <c r="F27" s="39" t="n">
        <f aca="false">IF(A27="","",SUMIFS('DETAIL TRANSAKSI'!$L$5:$L$504,'DETAIL TRANSAKSI'!$P$5:$P$504,A27,'DETAIL TRANSAKSI'!$Q$5:$Q$504,"Lunas"))</f>
        <v>0</v>
      </c>
      <c r="G27" s="39" t="n">
        <f aca="false">IF(A27="","",SUMIFS(PENGELUARAN!$E$5:$E$504,PENGELUARAN!$B$5:$B$504,A27,PENGELUARAN!$I$5:$I$504,"Ya")+SUMIFS('PERGERAKAN STOK'!$M$5:$M$504,'PERGERAKAN STOK'!$B$5:$B$504,"&gt;="&amp;A27,'PERGERAKAN STOK'!$B$5:$B$504,"&lt;"&amp;(A27+1)))</f>
        <v>0</v>
      </c>
      <c r="H27" s="39" t="n">
        <f aca="false">IF(A27="","",E27-F27-G27)</f>
        <v>0</v>
      </c>
    </row>
    <row r="28" customFormat="false" ht="15" hidden="false" customHeight="false" outlineLevel="0" collapsed="false">
      <c r="A28" s="42" t="n">
        <f aca="false">IF(MONTH(A27+1)=MONTH($B$3),A27+1,"")</f>
        <v>46303</v>
      </c>
      <c r="B28" s="39" t="n">
        <f aca="false">IF(A28="","",SUMIFS('TRANSAKSI PENJUALAN'!$H$5:$H$504,'TRANSAKSI PENJUALAN'!$B$5:$B$504,A28,'TRANSAKSI PENJUALAN'!$M$5:$M$504,"Lunas"))</f>
        <v>0</v>
      </c>
      <c r="C28" s="39" t="n">
        <f aca="false">IF(A28="","",SUMIFS('TRANSAKSI PENJUALAN'!$I$5:$I$504,'TRANSAKSI PENJUALAN'!$B$5:$B$504,A28,'TRANSAKSI PENJUALAN'!$M$5:$M$504,"Lunas"))</f>
        <v>0</v>
      </c>
      <c r="D28" s="39" t="n">
        <f aca="false">IF(A28="","",SUMIFS('TRANSAKSI PENJUALAN'!$J$5:$J$504,'TRANSAKSI PENJUALAN'!$B$5:$B$504,A28,'TRANSAKSI PENJUALAN'!$M$5:$M$504,"Lunas"))</f>
        <v>0</v>
      </c>
      <c r="E28" s="39" t="n">
        <f aca="false">IF(A28="","",SUMIFS('TRANSAKSI PENJUALAN'!$K$5:$K$504,'TRANSAKSI PENJUALAN'!$B$5:$B$504,A28,'TRANSAKSI PENJUALAN'!$M$5:$M$504,"Lunas"))</f>
        <v>0</v>
      </c>
      <c r="F28" s="39" t="n">
        <f aca="false">IF(A28="","",SUMIFS('DETAIL TRANSAKSI'!$L$5:$L$504,'DETAIL TRANSAKSI'!$P$5:$P$504,A28,'DETAIL TRANSAKSI'!$Q$5:$Q$504,"Lunas"))</f>
        <v>0</v>
      </c>
      <c r="G28" s="39" t="n">
        <f aca="false">IF(A28="","",SUMIFS(PENGELUARAN!$E$5:$E$504,PENGELUARAN!$B$5:$B$504,A28,PENGELUARAN!$I$5:$I$504,"Ya")+SUMIFS('PERGERAKAN STOK'!$M$5:$M$504,'PERGERAKAN STOK'!$B$5:$B$504,"&gt;="&amp;A28,'PERGERAKAN STOK'!$B$5:$B$504,"&lt;"&amp;(A28+1)))</f>
        <v>0</v>
      </c>
      <c r="H28" s="39" t="n">
        <f aca="false">IF(A28="","",E28-F28-G28)</f>
        <v>0</v>
      </c>
    </row>
    <row r="29" customFormat="false" ht="15" hidden="false" customHeight="false" outlineLevel="0" collapsed="false">
      <c r="A29" s="42" t="n">
        <f aca="false">IF(MONTH(A28+1)=MONTH($B$3),A28+1,"")</f>
        <v>46304</v>
      </c>
      <c r="B29" s="39" t="n">
        <f aca="false">IF(A29="","",SUMIFS('TRANSAKSI PENJUALAN'!$H$5:$H$504,'TRANSAKSI PENJUALAN'!$B$5:$B$504,A29,'TRANSAKSI PENJUALAN'!$M$5:$M$504,"Lunas"))</f>
        <v>0</v>
      </c>
      <c r="C29" s="39" t="n">
        <f aca="false">IF(A29="","",SUMIFS('TRANSAKSI PENJUALAN'!$I$5:$I$504,'TRANSAKSI PENJUALAN'!$B$5:$B$504,A29,'TRANSAKSI PENJUALAN'!$M$5:$M$504,"Lunas"))</f>
        <v>0</v>
      </c>
      <c r="D29" s="39" t="n">
        <f aca="false">IF(A29="","",SUMIFS('TRANSAKSI PENJUALAN'!$J$5:$J$504,'TRANSAKSI PENJUALAN'!$B$5:$B$504,A29,'TRANSAKSI PENJUALAN'!$M$5:$M$504,"Lunas"))</f>
        <v>0</v>
      </c>
      <c r="E29" s="39" t="n">
        <f aca="false">IF(A29="","",SUMIFS('TRANSAKSI PENJUALAN'!$K$5:$K$504,'TRANSAKSI PENJUALAN'!$B$5:$B$504,A29,'TRANSAKSI PENJUALAN'!$M$5:$M$504,"Lunas"))</f>
        <v>0</v>
      </c>
      <c r="F29" s="39" t="n">
        <f aca="false">IF(A29="","",SUMIFS('DETAIL TRANSAKSI'!$L$5:$L$504,'DETAIL TRANSAKSI'!$P$5:$P$504,A29,'DETAIL TRANSAKSI'!$Q$5:$Q$504,"Lunas"))</f>
        <v>0</v>
      </c>
      <c r="G29" s="39" t="n">
        <f aca="false">IF(A29="","",SUMIFS(PENGELUARAN!$E$5:$E$504,PENGELUARAN!$B$5:$B$504,A29,PENGELUARAN!$I$5:$I$504,"Ya")+SUMIFS('PERGERAKAN STOK'!$M$5:$M$504,'PERGERAKAN STOK'!$B$5:$B$504,"&gt;="&amp;A29,'PERGERAKAN STOK'!$B$5:$B$504,"&lt;"&amp;(A29+1)))</f>
        <v>0</v>
      </c>
      <c r="H29" s="39" t="n">
        <f aca="false">IF(A29="","",E29-F29-G29)</f>
        <v>0</v>
      </c>
    </row>
    <row r="30" customFormat="false" ht="15" hidden="false" customHeight="false" outlineLevel="0" collapsed="false">
      <c r="A30" s="42" t="n">
        <f aca="false">IF(MONTH(A29+1)=MONTH($B$3),A29+1,"")</f>
        <v>46305</v>
      </c>
      <c r="B30" s="39" t="n">
        <f aca="false">IF(A30="","",SUMIFS('TRANSAKSI PENJUALAN'!$H$5:$H$504,'TRANSAKSI PENJUALAN'!$B$5:$B$504,A30,'TRANSAKSI PENJUALAN'!$M$5:$M$504,"Lunas"))</f>
        <v>0</v>
      </c>
      <c r="C30" s="39" t="n">
        <f aca="false">IF(A30="","",SUMIFS('TRANSAKSI PENJUALAN'!$I$5:$I$504,'TRANSAKSI PENJUALAN'!$B$5:$B$504,A30,'TRANSAKSI PENJUALAN'!$M$5:$M$504,"Lunas"))</f>
        <v>0</v>
      </c>
      <c r="D30" s="39" t="n">
        <f aca="false">IF(A30="","",SUMIFS('TRANSAKSI PENJUALAN'!$J$5:$J$504,'TRANSAKSI PENJUALAN'!$B$5:$B$504,A30,'TRANSAKSI PENJUALAN'!$M$5:$M$504,"Lunas"))</f>
        <v>0</v>
      </c>
      <c r="E30" s="39" t="n">
        <f aca="false">IF(A30="","",SUMIFS('TRANSAKSI PENJUALAN'!$K$5:$K$504,'TRANSAKSI PENJUALAN'!$B$5:$B$504,A30,'TRANSAKSI PENJUALAN'!$M$5:$M$504,"Lunas"))</f>
        <v>0</v>
      </c>
      <c r="F30" s="39" t="n">
        <f aca="false">IF(A30="","",SUMIFS('DETAIL TRANSAKSI'!$L$5:$L$504,'DETAIL TRANSAKSI'!$P$5:$P$504,A30,'DETAIL TRANSAKSI'!$Q$5:$Q$504,"Lunas"))</f>
        <v>0</v>
      </c>
      <c r="G30" s="39" t="n">
        <f aca="false">IF(A30="","",SUMIFS(PENGELUARAN!$E$5:$E$504,PENGELUARAN!$B$5:$B$504,A30,PENGELUARAN!$I$5:$I$504,"Ya")+SUMIFS('PERGERAKAN STOK'!$M$5:$M$504,'PERGERAKAN STOK'!$B$5:$B$504,"&gt;="&amp;A30,'PERGERAKAN STOK'!$B$5:$B$504,"&lt;"&amp;(A30+1)))</f>
        <v>0</v>
      </c>
      <c r="H30" s="39" t="n">
        <f aca="false">IF(A30="","",E30-F30-G30)</f>
        <v>0</v>
      </c>
    </row>
    <row r="31" customFormat="false" ht="15" hidden="false" customHeight="false" outlineLevel="0" collapsed="false">
      <c r="A31" s="42" t="n">
        <f aca="false">IF(MONTH(A30+1)=MONTH($B$3),A30+1,"")</f>
        <v>46306</v>
      </c>
      <c r="B31" s="39" t="n">
        <f aca="false">IF(A31="","",SUMIFS('TRANSAKSI PENJUALAN'!$H$5:$H$504,'TRANSAKSI PENJUALAN'!$B$5:$B$504,A31,'TRANSAKSI PENJUALAN'!$M$5:$M$504,"Lunas"))</f>
        <v>0</v>
      </c>
      <c r="C31" s="39" t="n">
        <f aca="false">IF(A31="","",SUMIFS('TRANSAKSI PENJUALAN'!$I$5:$I$504,'TRANSAKSI PENJUALAN'!$B$5:$B$504,A31,'TRANSAKSI PENJUALAN'!$M$5:$M$504,"Lunas"))</f>
        <v>0</v>
      </c>
      <c r="D31" s="39" t="n">
        <f aca="false">IF(A31="","",SUMIFS('TRANSAKSI PENJUALAN'!$J$5:$J$504,'TRANSAKSI PENJUALAN'!$B$5:$B$504,A31,'TRANSAKSI PENJUALAN'!$M$5:$M$504,"Lunas"))</f>
        <v>0</v>
      </c>
      <c r="E31" s="39" t="n">
        <f aca="false">IF(A31="","",SUMIFS('TRANSAKSI PENJUALAN'!$K$5:$K$504,'TRANSAKSI PENJUALAN'!$B$5:$B$504,A31,'TRANSAKSI PENJUALAN'!$M$5:$M$504,"Lunas"))</f>
        <v>0</v>
      </c>
      <c r="F31" s="39" t="n">
        <f aca="false">IF(A31="","",SUMIFS('DETAIL TRANSAKSI'!$L$5:$L$504,'DETAIL TRANSAKSI'!$P$5:$P$504,A31,'DETAIL TRANSAKSI'!$Q$5:$Q$504,"Lunas"))</f>
        <v>0</v>
      </c>
      <c r="G31" s="39" t="n">
        <f aca="false">IF(A31="","",SUMIFS(PENGELUARAN!$E$5:$E$504,PENGELUARAN!$B$5:$B$504,A31,PENGELUARAN!$I$5:$I$504,"Ya")+SUMIFS('PERGERAKAN STOK'!$M$5:$M$504,'PERGERAKAN STOK'!$B$5:$B$504,"&gt;="&amp;A31,'PERGERAKAN STOK'!$B$5:$B$504,"&lt;"&amp;(A31+1)))</f>
        <v>0</v>
      </c>
      <c r="H31" s="39" t="n">
        <f aca="false">IF(A31="","",E31-F31-G31)</f>
        <v>0</v>
      </c>
    </row>
    <row r="32" customFormat="false" ht="15" hidden="false" customHeight="false" outlineLevel="0" collapsed="false">
      <c r="A32" s="42" t="n">
        <f aca="false">IF(MONTH(A31+1)=MONTH($B$3),A31+1,"")</f>
        <v>46307</v>
      </c>
      <c r="B32" s="39" t="n">
        <f aca="false">IF(A32="","",SUMIFS('TRANSAKSI PENJUALAN'!$H$5:$H$504,'TRANSAKSI PENJUALAN'!$B$5:$B$504,A32,'TRANSAKSI PENJUALAN'!$M$5:$M$504,"Lunas"))</f>
        <v>0</v>
      </c>
      <c r="C32" s="39" t="n">
        <f aca="false">IF(A32="","",SUMIFS('TRANSAKSI PENJUALAN'!$I$5:$I$504,'TRANSAKSI PENJUALAN'!$B$5:$B$504,A32,'TRANSAKSI PENJUALAN'!$M$5:$M$504,"Lunas"))</f>
        <v>0</v>
      </c>
      <c r="D32" s="39" t="n">
        <f aca="false">IF(A32="","",SUMIFS('TRANSAKSI PENJUALAN'!$J$5:$J$504,'TRANSAKSI PENJUALAN'!$B$5:$B$504,A32,'TRANSAKSI PENJUALAN'!$M$5:$M$504,"Lunas"))</f>
        <v>0</v>
      </c>
      <c r="E32" s="39" t="n">
        <f aca="false">IF(A32="","",SUMIFS('TRANSAKSI PENJUALAN'!$K$5:$K$504,'TRANSAKSI PENJUALAN'!$B$5:$B$504,A32,'TRANSAKSI PENJUALAN'!$M$5:$M$504,"Lunas"))</f>
        <v>0</v>
      </c>
      <c r="F32" s="39" t="n">
        <f aca="false">IF(A32="","",SUMIFS('DETAIL TRANSAKSI'!$L$5:$L$504,'DETAIL TRANSAKSI'!$P$5:$P$504,A32,'DETAIL TRANSAKSI'!$Q$5:$Q$504,"Lunas"))</f>
        <v>0</v>
      </c>
      <c r="G32" s="39" t="n">
        <f aca="false">IF(A32="","",SUMIFS(PENGELUARAN!$E$5:$E$504,PENGELUARAN!$B$5:$B$504,A32,PENGELUARAN!$I$5:$I$504,"Ya")+SUMIFS('PERGERAKAN STOK'!$M$5:$M$504,'PERGERAKAN STOK'!$B$5:$B$504,"&gt;="&amp;A32,'PERGERAKAN STOK'!$B$5:$B$504,"&lt;"&amp;(A32+1)))</f>
        <v>0</v>
      </c>
      <c r="H32" s="39" t="n">
        <f aca="false">IF(A32="","",E32-F32-G32)</f>
        <v>0</v>
      </c>
    </row>
    <row r="33" customFormat="false" ht="15" hidden="false" customHeight="false" outlineLevel="0" collapsed="false">
      <c r="A33" s="42" t="n">
        <f aca="false">IF(MONTH(A32+1)=MONTH($B$3),A32+1,"")</f>
        <v>46308</v>
      </c>
      <c r="B33" s="39" t="n">
        <f aca="false">IF(A33="","",SUMIFS('TRANSAKSI PENJUALAN'!$H$5:$H$504,'TRANSAKSI PENJUALAN'!$B$5:$B$504,A33,'TRANSAKSI PENJUALAN'!$M$5:$M$504,"Lunas"))</f>
        <v>0</v>
      </c>
      <c r="C33" s="39" t="n">
        <f aca="false">IF(A33="","",SUMIFS('TRANSAKSI PENJUALAN'!$I$5:$I$504,'TRANSAKSI PENJUALAN'!$B$5:$B$504,A33,'TRANSAKSI PENJUALAN'!$M$5:$M$504,"Lunas"))</f>
        <v>0</v>
      </c>
      <c r="D33" s="39" t="n">
        <f aca="false">IF(A33="","",SUMIFS('TRANSAKSI PENJUALAN'!$J$5:$J$504,'TRANSAKSI PENJUALAN'!$B$5:$B$504,A33,'TRANSAKSI PENJUALAN'!$M$5:$M$504,"Lunas"))</f>
        <v>0</v>
      </c>
      <c r="E33" s="39" t="n">
        <f aca="false">IF(A33="","",SUMIFS('TRANSAKSI PENJUALAN'!$K$5:$K$504,'TRANSAKSI PENJUALAN'!$B$5:$B$504,A33,'TRANSAKSI PENJUALAN'!$M$5:$M$504,"Lunas"))</f>
        <v>0</v>
      </c>
      <c r="F33" s="39" t="n">
        <f aca="false">IF(A33="","",SUMIFS('DETAIL TRANSAKSI'!$L$5:$L$504,'DETAIL TRANSAKSI'!$P$5:$P$504,A33,'DETAIL TRANSAKSI'!$Q$5:$Q$504,"Lunas"))</f>
        <v>0</v>
      </c>
      <c r="G33" s="39" t="n">
        <f aca="false">IF(A33="","",SUMIFS(PENGELUARAN!$E$5:$E$504,PENGELUARAN!$B$5:$B$504,A33,PENGELUARAN!$I$5:$I$504,"Ya")+SUMIFS('PERGERAKAN STOK'!$M$5:$M$504,'PERGERAKAN STOK'!$B$5:$B$504,"&gt;="&amp;A33,'PERGERAKAN STOK'!$B$5:$B$504,"&lt;"&amp;(A33+1)))</f>
        <v>0</v>
      </c>
      <c r="H33" s="39" t="n">
        <f aca="false">IF(A33="","",E33-F33-G33)</f>
        <v>0</v>
      </c>
    </row>
    <row r="34" customFormat="false" ht="15" hidden="false" customHeight="false" outlineLevel="0" collapsed="false">
      <c r="A34" s="42" t="n">
        <f aca="false">IF(MONTH(A33+1)=MONTH($B$3),A33+1,"")</f>
        <v>46309</v>
      </c>
      <c r="B34" s="39" t="n">
        <f aca="false">IF(A34="","",SUMIFS('TRANSAKSI PENJUALAN'!$H$5:$H$504,'TRANSAKSI PENJUALAN'!$B$5:$B$504,A34,'TRANSAKSI PENJUALAN'!$M$5:$M$504,"Lunas"))</f>
        <v>0</v>
      </c>
      <c r="C34" s="39" t="n">
        <f aca="false">IF(A34="","",SUMIFS('TRANSAKSI PENJUALAN'!$I$5:$I$504,'TRANSAKSI PENJUALAN'!$B$5:$B$504,A34,'TRANSAKSI PENJUALAN'!$M$5:$M$504,"Lunas"))</f>
        <v>0</v>
      </c>
      <c r="D34" s="39" t="n">
        <f aca="false">IF(A34="","",SUMIFS('TRANSAKSI PENJUALAN'!$J$5:$J$504,'TRANSAKSI PENJUALAN'!$B$5:$B$504,A34,'TRANSAKSI PENJUALAN'!$M$5:$M$504,"Lunas"))</f>
        <v>0</v>
      </c>
      <c r="E34" s="39" t="n">
        <f aca="false">IF(A34="","",SUMIFS('TRANSAKSI PENJUALAN'!$K$5:$K$504,'TRANSAKSI PENJUALAN'!$B$5:$B$504,A34,'TRANSAKSI PENJUALAN'!$M$5:$M$504,"Lunas"))</f>
        <v>0</v>
      </c>
      <c r="F34" s="39" t="n">
        <f aca="false">IF(A34="","",SUMIFS('DETAIL TRANSAKSI'!$L$5:$L$504,'DETAIL TRANSAKSI'!$P$5:$P$504,A34,'DETAIL TRANSAKSI'!$Q$5:$Q$504,"Lunas"))</f>
        <v>0</v>
      </c>
      <c r="G34" s="39" t="n">
        <f aca="false">IF(A34="","",SUMIFS(PENGELUARAN!$E$5:$E$504,PENGELUARAN!$B$5:$B$504,A34,PENGELUARAN!$I$5:$I$504,"Ya")+SUMIFS('PERGERAKAN STOK'!$M$5:$M$504,'PERGERAKAN STOK'!$B$5:$B$504,"&gt;="&amp;A34,'PERGERAKAN STOK'!$B$5:$B$504,"&lt;"&amp;(A34+1)))</f>
        <v>0</v>
      </c>
      <c r="H34" s="39" t="n">
        <f aca="false">IF(A34="","",E34-F34-G34)</f>
        <v>0</v>
      </c>
    </row>
    <row r="35" customFormat="false" ht="15" hidden="false" customHeight="false" outlineLevel="0" collapsed="false">
      <c r="A35" s="42" t="n">
        <f aca="false">IF(MONTH(A34+1)=MONTH($B$3),A34+1,"")</f>
        <v>46310</v>
      </c>
      <c r="B35" s="39" t="n">
        <f aca="false">IF(A35="","",SUMIFS('TRANSAKSI PENJUALAN'!$H$5:$H$504,'TRANSAKSI PENJUALAN'!$B$5:$B$504,A35,'TRANSAKSI PENJUALAN'!$M$5:$M$504,"Lunas"))</f>
        <v>0</v>
      </c>
      <c r="C35" s="39" t="n">
        <f aca="false">IF(A35="","",SUMIFS('TRANSAKSI PENJUALAN'!$I$5:$I$504,'TRANSAKSI PENJUALAN'!$B$5:$B$504,A35,'TRANSAKSI PENJUALAN'!$M$5:$M$504,"Lunas"))</f>
        <v>0</v>
      </c>
      <c r="D35" s="39" t="n">
        <f aca="false">IF(A35="","",SUMIFS('TRANSAKSI PENJUALAN'!$J$5:$J$504,'TRANSAKSI PENJUALAN'!$B$5:$B$504,A35,'TRANSAKSI PENJUALAN'!$M$5:$M$504,"Lunas"))</f>
        <v>0</v>
      </c>
      <c r="E35" s="39" t="n">
        <f aca="false">IF(A35="","",SUMIFS('TRANSAKSI PENJUALAN'!$K$5:$K$504,'TRANSAKSI PENJUALAN'!$B$5:$B$504,A35,'TRANSAKSI PENJUALAN'!$M$5:$M$504,"Lunas"))</f>
        <v>0</v>
      </c>
      <c r="F35" s="39" t="n">
        <f aca="false">IF(A35="","",SUMIFS('DETAIL TRANSAKSI'!$L$5:$L$504,'DETAIL TRANSAKSI'!$P$5:$P$504,A35,'DETAIL TRANSAKSI'!$Q$5:$Q$504,"Lunas"))</f>
        <v>0</v>
      </c>
      <c r="G35" s="39" t="n">
        <f aca="false">IF(A35="","",SUMIFS(PENGELUARAN!$E$5:$E$504,PENGELUARAN!$B$5:$B$504,A35,PENGELUARAN!$I$5:$I$504,"Ya")+SUMIFS('PERGERAKAN STOK'!$M$5:$M$504,'PERGERAKAN STOK'!$B$5:$B$504,"&gt;="&amp;A35,'PERGERAKAN STOK'!$B$5:$B$504,"&lt;"&amp;(A35+1)))</f>
        <v>0</v>
      </c>
      <c r="H35" s="39" t="n">
        <f aca="false">IF(A35="","",E35-F35-G35)</f>
        <v>0</v>
      </c>
    </row>
    <row r="36" customFormat="false" ht="15" hidden="false" customHeight="false" outlineLevel="0" collapsed="false">
      <c r="A36" s="42" t="n">
        <f aca="false">IF(MONTH(A35+1)=MONTH($B$3),A35+1,"")</f>
        <v>46311</v>
      </c>
      <c r="B36" s="39" t="n">
        <f aca="false">IF(A36="","",SUMIFS('TRANSAKSI PENJUALAN'!$H$5:$H$504,'TRANSAKSI PENJUALAN'!$B$5:$B$504,A36,'TRANSAKSI PENJUALAN'!$M$5:$M$504,"Lunas"))</f>
        <v>0</v>
      </c>
      <c r="C36" s="39" t="n">
        <f aca="false">IF(A36="","",SUMIFS('TRANSAKSI PENJUALAN'!$I$5:$I$504,'TRANSAKSI PENJUALAN'!$B$5:$B$504,A36,'TRANSAKSI PENJUALAN'!$M$5:$M$504,"Lunas"))</f>
        <v>0</v>
      </c>
      <c r="D36" s="39" t="n">
        <f aca="false">IF(A36="","",SUMIFS('TRANSAKSI PENJUALAN'!$J$5:$J$504,'TRANSAKSI PENJUALAN'!$B$5:$B$504,A36,'TRANSAKSI PENJUALAN'!$M$5:$M$504,"Lunas"))</f>
        <v>0</v>
      </c>
      <c r="E36" s="39" t="n">
        <f aca="false">IF(A36="","",SUMIFS('TRANSAKSI PENJUALAN'!$K$5:$K$504,'TRANSAKSI PENJUALAN'!$B$5:$B$504,A36,'TRANSAKSI PENJUALAN'!$M$5:$M$504,"Lunas"))</f>
        <v>0</v>
      </c>
      <c r="F36" s="39" t="n">
        <f aca="false">IF(A36="","",SUMIFS('DETAIL TRANSAKSI'!$L$5:$L$504,'DETAIL TRANSAKSI'!$P$5:$P$504,A36,'DETAIL TRANSAKSI'!$Q$5:$Q$504,"Lunas"))</f>
        <v>0</v>
      </c>
      <c r="G36" s="39" t="n">
        <f aca="false">IF(A36="","",SUMIFS(PENGELUARAN!$E$5:$E$504,PENGELUARAN!$B$5:$B$504,A36,PENGELUARAN!$I$5:$I$504,"Ya")+SUMIFS('PERGERAKAN STOK'!$M$5:$M$504,'PERGERAKAN STOK'!$B$5:$B$504,"&gt;="&amp;A36,'PERGERAKAN STOK'!$B$5:$B$504,"&lt;"&amp;(A36+1)))</f>
        <v>0</v>
      </c>
      <c r="H36" s="39" t="n">
        <f aca="false">IF(A36="","",E36-F36-G36)</f>
        <v>0</v>
      </c>
    </row>
    <row r="37" customFormat="false" ht="15" hidden="false" customHeight="false" outlineLevel="0" collapsed="false">
      <c r="A37" s="42" t="n">
        <f aca="false">IF(MONTH(A36+1)=MONTH($B$3),A36+1,"")</f>
        <v>46312</v>
      </c>
      <c r="B37" s="39" t="n">
        <f aca="false">IF(A37="","",SUMIFS('TRANSAKSI PENJUALAN'!$H$5:$H$504,'TRANSAKSI PENJUALAN'!$B$5:$B$504,A37,'TRANSAKSI PENJUALAN'!$M$5:$M$504,"Lunas"))</f>
        <v>0</v>
      </c>
      <c r="C37" s="39" t="n">
        <f aca="false">IF(A37="","",SUMIFS('TRANSAKSI PENJUALAN'!$I$5:$I$504,'TRANSAKSI PENJUALAN'!$B$5:$B$504,A37,'TRANSAKSI PENJUALAN'!$M$5:$M$504,"Lunas"))</f>
        <v>0</v>
      </c>
      <c r="D37" s="39" t="n">
        <f aca="false">IF(A37="","",SUMIFS('TRANSAKSI PENJUALAN'!$J$5:$J$504,'TRANSAKSI PENJUALAN'!$B$5:$B$504,A37,'TRANSAKSI PENJUALAN'!$M$5:$M$504,"Lunas"))</f>
        <v>0</v>
      </c>
      <c r="E37" s="39" t="n">
        <f aca="false">IF(A37="","",SUMIFS('TRANSAKSI PENJUALAN'!$K$5:$K$504,'TRANSAKSI PENJUALAN'!$B$5:$B$504,A37,'TRANSAKSI PENJUALAN'!$M$5:$M$504,"Lunas"))</f>
        <v>0</v>
      </c>
      <c r="F37" s="39" t="n">
        <f aca="false">IF(A37="","",SUMIFS('DETAIL TRANSAKSI'!$L$5:$L$504,'DETAIL TRANSAKSI'!$P$5:$P$504,A37,'DETAIL TRANSAKSI'!$Q$5:$Q$504,"Lunas"))</f>
        <v>0</v>
      </c>
      <c r="G37" s="39" t="n">
        <f aca="false">IF(A37="","",SUMIFS(PENGELUARAN!$E$5:$E$504,PENGELUARAN!$B$5:$B$504,A37,PENGELUARAN!$I$5:$I$504,"Ya")+SUMIFS('PERGERAKAN STOK'!$M$5:$M$504,'PERGERAKAN STOK'!$B$5:$B$504,"&gt;="&amp;A37,'PERGERAKAN STOK'!$B$5:$B$504,"&lt;"&amp;(A37+1)))</f>
        <v>0</v>
      </c>
      <c r="H37" s="39" t="n">
        <f aca="false">IF(A37="","",E37-F37-G37)</f>
        <v>0</v>
      </c>
    </row>
    <row r="38" customFormat="false" ht="15" hidden="false" customHeight="false" outlineLevel="0" collapsed="false">
      <c r="A38" s="42" t="n">
        <f aca="false">IF(MONTH(A37+1)=MONTH($B$3),A37+1,"")</f>
        <v>46313</v>
      </c>
      <c r="B38" s="39" t="n">
        <f aca="false">IF(A38="","",SUMIFS('TRANSAKSI PENJUALAN'!$H$5:$H$504,'TRANSAKSI PENJUALAN'!$B$5:$B$504,A38,'TRANSAKSI PENJUALAN'!$M$5:$M$504,"Lunas"))</f>
        <v>0</v>
      </c>
      <c r="C38" s="39" t="n">
        <f aca="false">IF(A38="","",SUMIFS('TRANSAKSI PENJUALAN'!$I$5:$I$504,'TRANSAKSI PENJUALAN'!$B$5:$B$504,A38,'TRANSAKSI PENJUALAN'!$M$5:$M$504,"Lunas"))</f>
        <v>0</v>
      </c>
      <c r="D38" s="39" t="n">
        <f aca="false">IF(A38="","",SUMIFS('TRANSAKSI PENJUALAN'!$J$5:$J$504,'TRANSAKSI PENJUALAN'!$B$5:$B$504,A38,'TRANSAKSI PENJUALAN'!$M$5:$M$504,"Lunas"))</f>
        <v>0</v>
      </c>
      <c r="E38" s="39" t="n">
        <f aca="false">IF(A38="","",SUMIFS('TRANSAKSI PENJUALAN'!$K$5:$K$504,'TRANSAKSI PENJUALAN'!$B$5:$B$504,A38,'TRANSAKSI PENJUALAN'!$M$5:$M$504,"Lunas"))</f>
        <v>0</v>
      </c>
      <c r="F38" s="39" t="n">
        <f aca="false">IF(A38="","",SUMIFS('DETAIL TRANSAKSI'!$L$5:$L$504,'DETAIL TRANSAKSI'!$P$5:$P$504,A38,'DETAIL TRANSAKSI'!$Q$5:$Q$504,"Lunas"))</f>
        <v>0</v>
      </c>
      <c r="G38" s="39" t="n">
        <f aca="false">IF(A38="","",SUMIFS(PENGELUARAN!$E$5:$E$504,PENGELUARAN!$B$5:$B$504,A38,PENGELUARAN!$I$5:$I$504,"Ya")+SUMIFS('PERGERAKAN STOK'!$M$5:$M$504,'PERGERAKAN STOK'!$B$5:$B$504,"&gt;="&amp;A38,'PERGERAKAN STOK'!$B$5:$B$504,"&lt;"&amp;(A38+1)))</f>
        <v>0</v>
      </c>
      <c r="H38" s="39" t="n">
        <f aca="false">IF(A38="","",E38-F38-G38)</f>
        <v>0</v>
      </c>
    </row>
    <row r="39" customFormat="false" ht="15" hidden="false" customHeight="false" outlineLevel="0" collapsed="false">
      <c r="A39" s="42" t="n">
        <f aca="false">IF(MONTH(A38+1)=MONTH($B$3),A38+1,"")</f>
        <v>46314</v>
      </c>
      <c r="B39" s="39" t="n">
        <f aca="false">IF(A39="","",SUMIFS('TRANSAKSI PENJUALAN'!$H$5:$H$504,'TRANSAKSI PENJUALAN'!$B$5:$B$504,A39,'TRANSAKSI PENJUALAN'!$M$5:$M$504,"Lunas"))</f>
        <v>0</v>
      </c>
      <c r="C39" s="39" t="n">
        <f aca="false">IF(A39="","",SUMIFS('TRANSAKSI PENJUALAN'!$I$5:$I$504,'TRANSAKSI PENJUALAN'!$B$5:$B$504,A39,'TRANSAKSI PENJUALAN'!$M$5:$M$504,"Lunas"))</f>
        <v>0</v>
      </c>
      <c r="D39" s="39" t="n">
        <f aca="false">IF(A39="","",SUMIFS('TRANSAKSI PENJUALAN'!$J$5:$J$504,'TRANSAKSI PENJUALAN'!$B$5:$B$504,A39,'TRANSAKSI PENJUALAN'!$M$5:$M$504,"Lunas"))</f>
        <v>0</v>
      </c>
      <c r="E39" s="39" t="n">
        <f aca="false">IF(A39="","",SUMIFS('TRANSAKSI PENJUALAN'!$K$5:$K$504,'TRANSAKSI PENJUALAN'!$B$5:$B$504,A39,'TRANSAKSI PENJUALAN'!$M$5:$M$504,"Lunas"))</f>
        <v>0</v>
      </c>
      <c r="F39" s="39" t="n">
        <f aca="false">IF(A39="","",SUMIFS('DETAIL TRANSAKSI'!$L$5:$L$504,'DETAIL TRANSAKSI'!$P$5:$P$504,A39,'DETAIL TRANSAKSI'!$Q$5:$Q$504,"Lunas"))</f>
        <v>0</v>
      </c>
      <c r="G39" s="39" t="n">
        <f aca="false">IF(A39="","",SUMIFS(PENGELUARAN!$E$5:$E$504,PENGELUARAN!$B$5:$B$504,A39,PENGELUARAN!$I$5:$I$504,"Ya")+SUMIFS('PERGERAKAN STOK'!$M$5:$M$504,'PERGERAKAN STOK'!$B$5:$B$504,"&gt;="&amp;A39,'PERGERAKAN STOK'!$B$5:$B$504,"&lt;"&amp;(A39+1)))</f>
        <v>0</v>
      </c>
      <c r="H39" s="39" t="n">
        <f aca="false">IF(A39="","",E39-F39-G39)</f>
        <v>0</v>
      </c>
    </row>
    <row r="40" customFormat="false" ht="15" hidden="false" customHeight="false" outlineLevel="0" collapsed="false">
      <c r="A40" s="42" t="n">
        <f aca="false">IF(MONTH(A39+1)=MONTH($B$3),A39+1,"")</f>
        <v>46315</v>
      </c>
      <c r="B40" s="39" t="n">
        <f aca="false">IF(A40="","",SUMIFS('TRANSAKSI PENJUALAN'!$H$5:$H$504,'TRANSAKSI PENJUALAN'!$B$5:$B$504,A40,'TRANSAKSI PENJUALAN'!$M$5:$M$504,"Lunas"))</f>
        <v>0</v>
      </c>
      <c r="C40" s="39" t="n">
        <f aca="false">IF(A40="","",SUMIFS('TRANSAKSI PENJUALAN'!$I$5:$I$504,'TRANSAKSI PENJUALAN'!$B$5:$B$504,A40,'TRANSAKSI PENJUALAN'!$M$5:$M$504,"Lunas"))</f>
        <v>0</v>
      </c>
      <c r="D40" s="39" t="n">
        <f aca="false">IF(A40="","",SUMIFS('TRANSAKSI PENJUALAN'!$J$5:$J$504,'TRANSAKSI PENJUALAN'!$B$5:$B$504,A40,'TRANSAKSI PENJUALAN'!$M$5:$M$504,"Lunas"))</f>
        <v>0</v>
      </c>
      <c r="E40" s="39" t="n">
        <f aca="false">IF(A40="","",SUMIFS('TRANSAKSI PENJUALAN'!$K$5:$K$504,'TRANSAKSI PENJUALAN'!$B$5:$B$504,A40,'TRANSAKSI PENJUALAN'!$M$5:$M$504,"Lunas"))</f>
        <v>0</v>
      </c>
      <c r="F40" s="39" t="n">
        <f aca="false">IF(A40="","",SUMIFS('DETAIL TRANSAKSI'!$L$5:$L$504,'DETAIL TRANSAKSI'!$P$5:$P$504,A40,'DETAIL TRANSAKSI'!$Q$5:$Q$504,"Lunas"))</f>
        <v>0</v>
      </c>
      <c r="G40" s="39" t="n">
        <f aca="false">IF(A40="","",SUMIFS(PENGELUARAN!$E$5:$E$504,PENGELUARAN!$B$5:$B$504,A40,PENGELUARAN!$I$5:$I$504,"Ya")+SUMIFS('PERGERAKAN STOK'!$M$5:$M$504,'PERGERAKAN STOK'!$B$5:$B$504,"&gt;="&amp;A40,'PERGERAKAN STOK'!$B$5:$B$504,"&lt;"&amp;(A40+1)))</f>
        <v>0</v>
      </c>
      <c r="H40" s="39" t="n">
        <f aca="false">IF(A40="","",E40-F40-G40)</f>
        <v>0</v>
      </c>
    </row>
    <row r="41" customFormat="false" ht="15" hidden="false" customHeight="false" outlineLevel="0" collapsed="false">
      <c r="A41" s="42" t="n">
        <f aca="false">IF(MONTH(A40+1)=MONTH($B$3),A40+1,"")</f>
        <v>46316</v>
      </c>
      <c r="B41" s="39" t="n">
        <f aca="false">IF(A41="","",SUMIFS('TRANSAKSI PENJUALAN'!$H$5:$H$504,'TRANSAKSI PENJUALAN'!$B$5:$B$504,A41,'TRANSAKSI PENJUALAN'!$M$5:$M$504,"Lunas"))</f>
        <v>0</v>
      </c>
      <c r="C41" s="39" t="n">
        <f aca="false">IF(A41="","",SUMIFS('TRANSAKSI PENJUALAN'!$I$5:$I$504,'TRANSAKSI PENJUALAN'!$B$5:$B$504,A41,'TRANSAKSI PENJUALAN'!$M$5:$M$504,"Lunas"))</f>
        <v>0</v>
      </c>
      <c r="D41" s="39" t="n">
        <f aca="false">IF(A41="","",SUMIFS('TRANSAKSI PENJUALAN'!$J$5:$J$504,'TRANSAKSI PENJUALAN'!$B$5:$B$504,A41,'TRANSAKSI PENJUALAN'!$M$5:$M$504,"Lunas"))</f>
        <v>0</v>
      </c>
      <c r="E41" s="39" t="n">
        <f aca="false">IF(A41="","",SUMIFS('TRANSAKSI PENJUALAN'!$K$5:$K$504,'TRANSAKSI PENJUALAN'!$B$5:$B$504,A41,'TRANSAKSI PENJUALAN'!$M$5:$M$504,"Lunas"))</f>
        <v>0</v>
      </c>
      <c r="F41" s="39" t="n">
        <f aca="false">IF(A41="","",SUMIFS('DETAIL TRANSAKSI'!$L$5:$L$504,'DETAIL TRANSAKSI'!$P$5:$P$504,A41,'DETAIL TRANSAKSI'!$Q$5:$Q$504,"Lunas"))</f>
        <v>0</v>
      </c>
      <c r="G41" s="39" t="n">
        <f aca="false">IF(A41="","",SUMIFS(PENGELUARAN!$E$5:$E$504,PENGELUARAN!$B$5:$B$504,A41,PENGELUARAN!$I$5:$I$504,"Ya")+SUMIFS('PERGERAKAN STOK'!$M$5:$M$504,'PERGERAKAN STOK'!$B$5:$B$504,"&gt;="&amp;A41,'PERGERAKAN STOK'!$B$5:$B$504,"&lt;"&amp;(A41+1)))</f>
        <v>0</v>
      </c>
      <c r="H41" s="39" t="n">
        <f aca="false">IF(A41="","",E41-F41-G41)</f>
        <v>0</v>
      </c>
    </row>
    <row r="42" customFormat="false" ht="15" hidden="false" customHeight="false" outlineLevel="0" collapsed="false">
      <c r="A42" s="42" t="n">
        <f aca="false">IF(MONTH(A41+1)=MONTH($B$3),A41+1,"")</f>
        <v>46317</v>
      </c>
      <c r="B42" s="39" t="n">
        <f aca="false">IF(A42="","",SUMIFS('TRANSAKSI PENJUALAN'!$H$5:$H$504,'TRANSAKSI PENJUALAN'!$B$5:$B$504,A42,'TRANSAKSI PENJUALAN'!$M$5:$M$504,"Lunas"))</f>
        <v>0</v>
      </c>
      <c r="C42" s="39" t="n">
        <f aca="false">IF(A42="","",SUMIFS('TRANSAKSI PENJUALAN'!$I$5:$I$504,'TRANSAKSI PENJUALAN'!$B$5:$B$504,A42,'TRANSAKSI PENJUALAN'!$M$5:$M$504,"Lunas"))</f>
        <v>0</v>
      </c>
      <c r="D42" s="39" t="n">
        <f aca="false">IF(A42="","",SUMIFS('TRANSAKSI PENJUALAN'!$J$5:$J$504,'TRANSAKSI PENJUALAN'!$B$5:$B$504,A42,'TRANSAKSI PENJUALAN'!$M$5:$M$504,"Lunas"))</f>
        <v>0</v>
      </c>
      <c r="E42" s="39" t="n">
        <f aca="false">IF(A42="","",SUMIFS('TRANSAKSI PENJUALAN'!$K$5:$K$504,'TRANSAKSI PENJUALAN'!$B$5:$B$504,A42,'TRANSAKSI PENJUALAN'!$M$5:$M$504,"Lunas"))</f>
        <v>0</v>
      </c>
      <c r="F42" s="39" t="n">
        <f aca="false">IF(A42="","",SUMIFS('DETAIL TRANSAKSI'!$L$5:$L$504,'DETAIL TRANSAKSI'!$P$5:$P$504,A42,'DETAIL TRANSAKSI'!$Q$5:$Q$504,"Lunas"))</f>
        <v>0</v>
      </c>
      <c r="G42" s="39" t="n">
        <f aca="false">IF(A42="","",SUMIFS(PENGELUARAN!$E$5:$E$504,PENGELUARAN!$B$5:$B$504,A42,PENGELUARAN!$I$5:$I$504,"Ya")+SUMIFS('PERGERAKAN STOK'!$M$5:$M$504,'PERGERAKAN STOK'!$B$5:$B$504,"&gt;="&amp;A42,'PERGERAKAN STOK'!$B$5:$B$504,"&lt;"&amp;(A42+1)))</f>
        <v>0</v>
      </c>
      <c r="H42" s="39" t="n">
        <f aca="false">IF(A42="","",E42-F42-G42)</f>
        <v>0</v>
      </c>
    </row>
    <row r="43" customFormat="false" ht="15" hidden="false" customHeight="false" outlineLevel="0" collapsed="false">
      <c r="A43" s="42" t="n">
        <f aca="false">IF(MONTH(A42+1)=MONTH($B$3),A42+1,"")</f>
        <v>46318</v>
      </c>
      <c r="B43" s="39" t="n">
        <f aca="false">IF(A43="","",SUMIFS('TRANSAKSI PENJUALAN'!$H$5:$H$504,'TRANSAKSI PENJUALAN'!$B$5:$B$504,A43,'TRANSAKSI PENJUALAN'!$M$5:$M$504,"Lunas"))</f>
        <v>0</v>
      </c>
      <c r="C43" s="39" t="n">
        <f aca="false">IF(A43="","",SUMIFS('TRANSAKSI PENJUALAN'!$I$5:$I$504,'TRANSAKSI PENJUALAN'!$B$5:$B$504,A43,'TRANSAKSI PENJUALAN'!$M$5:$M$504,"Lunas"))</f>
        <v>0</v>
      </c>
      <c r="D43" s="39" t="n">
        <f aca="false">IF(A43="","",SUMIFS('TRANSAKSI PENJUALAN'!$J$5:$J$504,'TRANSAKSI PENJUALAN'!$B$5:$B$504,A43,'TRANSAKSI PENJUALAN'!$M$5:$M$504,"Lunas"))</f>
        <v>0</v>
      </c>
      <c r="E43" s="39" t="n">
        <f aca="false">IF(A43="","",SUMIFS('TRANSAKSI PENJUALAN'!$K$5:$K$504,'TRANSAKSI PENJUALAN'!$B$5:$B$504,A43,'TRANSAKSI PENJUALAN'!$M$5:$M$504,"Lunas"))</f>
        <v>0</v>
      </c>
      <c r="F43" s="39" t="n">
        <f aca="false">IF(A43="","",SUMIFS('DETAIL TRANSAKSI'!$L$5:$L$504,'DETAIL TRANSAKSI'!$P$5:$P$504,A43,'DETAIL TRANSAKSI'!$Q$5:$Q$504,"Lunas"))</f>
        <v>0</v>
      </c>
      <c r="G43" s="39" t="n">
        <f aca="false">IF(A43="","",SUMIFS(PENGELUARAN!$E$5:$E$504,PENGELUARAN!$B$5:$B$504,A43,PENGELUARAN!$I$5:$I$504,"Ya")+SUMIFS('PERGERAKAN STOK'!$M$5:$M$504,'PERGERAKAN STOK'!$B$5:$B$504,"&gt;="&amp;A43,'PERGERAKAN STOK'!$B$5:$B$504,"&lt;"&amp;(A43+1)))</f>
        <v>0</v>
      </c>
      <c r="H43" s="39" t="n">
        <f aca="false">IF(A43="","",E43-F43-G43)</f>
        <v>0</v>
      </c>
    </row>
    <row r="44" customFormat="false" ht="15" hidden="false" customHeight="false" outlineLevel="0" collapsed="false">
      <c r="A44" s="42" t="n">
        <f aca="false">IF(MONTH(A43+1)=MONTH($B$3),A43+1,"")</f>
        <v>46319</v>
      </c>
      <c r="B44" s="39" t="n">
        <f aca="false">IF(A44="","",SUMIFS('TRANSAKSI PENJUALAN'!$H$5:$H$504,'TRANSAKSI PENJUALAN'!$B$5:$B$504,A44,'TRANSAKSI PENJUALAN'!$M$5:$M$504,"Lunas"))</f>
        <v>0</v>
      </c>
      <c r="C44" s="39" t="n">
        <f aca="false">IF(A44="","",SUMIFS('TRANSAKSI PENJUALAN'!$I$5:$I$504,'TRANSAKSI PENJUALAN'!$B$5:$B$504,A44,'TRANSAKSI PENJUALAN'!$M$5:$M$504,"Lunas"))</f>
        <v>0</v>
      </c>
      <c r="D44" s="39" t="n">
        <f aca="false">IF(A44="","",SUMIFS('TRANSAKSI PENJUALAN'!$J$5:$J$504,'TRANSAKSI PENJUALAN'!$B$5:$B$504,A44,'TRANSAKSI PENJUALAN'!$M$5:$M$504,"Lunas"))</f>
        <v>0</v>
      </c>
      <c r="E44" s="39" t="n">
        <f aca="false">IF(A44="","",SUMIFS('TRANSAKSI PENJUALAN'!$K$5:$K$504,'TRANSAKSI PENJUALAN'!$B$5:$B$504,A44,'TRANSAKSI PENJUALAN'!$M$5:$M$504,"Lunas"))</f>
        <v>0</v>
      </c>
      <c r="F44" s="39" t="n">
        <f aca="false">IF(A44="","",SUMIFS('DETAIL TRANSAKSI'!$L$5:$L$504,'DETAIL TRANSAKSI'!$P$5:$P$504,A44,'DETAIL TRANSAKSI'!$Q$5:$Q$504,"Lunas"))</f>
        <v>0</v>
      </c>
      <c r="G44" s="39" t="n">
        <f aca="false">IF(A44="","",SUMIFS(PENGELUARAN!$E$5:$E$504,PENGELUARAN!$B$5:$B$504,A44,PENGELUARAN!$I$5:$I$504,"Ya")+SUMIFS('PERGERAKAN STOK'!$M$5:$M$504,'PERGERAKAN STOK'!$B$5:$B$504,"&gt;="&amp;A44,'PERGERAKAN STOK'!$B$5:$B$504,"&lt;"&amp;(A44+1)))</f>
        <v>0</v>
      </c>
      <c r="H44" s="39" t="n">
        <f aca="false">IF(A44="","",E44-F44-G44)</f>
        <v>0</v>
      </c>
    </row>
    <row r="45" customFormat="false" ht="15" hidden="false" customHeight="false" outlineLevel="0" collapsed="false">
      <c r="A45" s="42" t="n">
        <f aca="false">IF(MONTH(A44+1)=MONTH($B$3),A44+1,"")</f>
        <v>46320</v>
      </c>
      <c r="B45" s="39" t="n">
        <f aca="false">IF(A45="","",SUMIFS('TRANSAKSI PENJUALAN'!$H$5:$H$504,'TRANSAKSI PENJUALAN'!$B$5:$B$504,A45,'TRANSAKSI PENJUALAN'!$M$5:$M$504,"Lunas"))</f>
        <v>0</v>
      </c>
      <c r="C45" s="39" t="n">
        <f aca="false">IF(A45="","",SUMIFS('TRANSAKSI PENJUALAN'!$I$5:$I$504,'TRANSAKSI PENJUALAN'!$B$5:$B$504,A45,'TRANSAKSI PENJUALAN'!$M$5:$M$504,"Lunas"))</f>
        <v>0</v>
      </c>
      <c r="D45" s="39" t="n">
        <f aca="false">IF(A45="","",SUMIFS('TRANSAKSI PENJUALAN'!$J$5:$J$504,'TRANSAKSI PENJUALAN'!$B$5:$B$504,A45,'TRANSAKSI PENJUALAN'!$M$5:$M$504,"Lunas"))</f>
        <v>0</v>
      </c>
      <c r="E45" s="39" t="n">
        <f aca="false">IF(A45="","",SUMIFS('TRANSAKSI PENJUALAN'!$K$5:$K$504,'TRANSAKSI PENJUALAN'!$B$5:$B$504,A45,'TRANSAKSI PENJUALAN'!$M$5:$M$504,"Lunas"))</f>
        <v>0</v>
      </c>
      <c r="F45" s="39" t="n">
        <f aca="false">IF(A45="","",SUMIFS('DETAIL TRANSAKSI'!$L$5:$L$504,'DETAIL TRANSAKSI'!$P$5:$P$504,A45,'DETAIL TRANSAKSI'!$Q$5:$Q$504,"Lunas"))</f>
        <v>0</v>
      </c>
      <c r="G45" s="39" t="n">
        <f aca="false">IF(A45="","",SUMIFS(PENGELUARAN!$E$5:$E$504,PENGELUARAN!$B$5:$B$504,A45,PENGELUARAN!$I$5:$I$504,"Ya")+SUMIFS('PERGERAKAN STOK'!$M$5:$M$504,'PERGERAKAN STOK'!$B$5:$B$504,"&gt;="&amp;A45,'PERGERAKAN STOK'!$B$5:$B$504,"&lt;"&amp;(A45+1)))</f>
        <v>0</v>
      </c>
      <c r="H45" s="39" t="n">
        <f aca="false">IF(A45="","",E45-F45-G45)</f>
        <v>0</v>
      </c>
    </row>
    <row r="46" customFormat="false" ht="15" hidden="false" customHeight="false" outlineLevel="0" collapsed="false">
      <c r="A46" s="42" t="n">
        <f aca="false">IF(MONTH(A45+1)=MONTH($B$3),A45+1,"")</f>
        <v>46321</v>
      </c>
      <c r="B46" s="39" t="n">
        <f aca="false">IF(A46="","",SUMIFS('TRANSAKSI PENJUALAN'!$H$5:$H$504,'TRANSAKSI PENJUALAN'!$B$5:$B$504,A46,'TRANSAKSI PENJUALAN'!$M$5:$M$504,"Lunas"))</f>
        <v>0</v>
      </c>
      <c r="C46" s="39" t="n">
        <f aca="false">IF(A46="","",SUMIFS('TRANSAKSI PENJUALAN'!$I$5:$I$504,'TRANSAKSI PENJUALAN'!$B$5:$B$504,A46,'TRANSAKSI PENJUALAN'!$M$5:$M$504,"Lunas"))</f>
        <v>0</v>
      </c>
      <c r="D46" s="39" t="n">
        <f aca="false">IF(A46="","",SUMIFS('TRANSAKSI PENJUALAN'!$J$5:$J$504,'TRANSAKSI PENJUALAN'!$B$5:$B$504,A46,'TRANSAKSI PENJUALAN'!$M$5:$M$504,"Lunas"))</f>
        <v>0</v>
      </c>
      <c r="E46" s="39" t="n">
        <f aca="false">IF(A46="","",SUMIFS('TRANSAKSI PENJUALAN'!$K$5:$K$504,'TRANSAKSI PENJUALAN'!$B$5:$B$504,A46,'TRANSAKSI PENJUALAN'!$M$5:$M$504,"Lunas"))</f>
        <v>0</v>
      </c>
      <c r="F46" s="39" t="n">
        <f aca="false">IF(A46="","",SUMIFS('DETAIL TRANSAKSI'!$L$5:$L$504,'DETAIL TRANSAKSI'!$P$5:$P$504,A46,'DETAIL TRANSAKSI'!$Q$5:$Q$504,"Lunas"))</f>
        <v>0</v>
      </c>
      <c r="G46" s="39" t="n">
        <f aca="false">IF(A46="","",SUMIFS(PENGELUARAN!$E$5:$E$504,PENGELUARAN!$B$5:$B$504,A46,PENGELUARAN!$I$5:$I$504,"Ya")+SUMIFS('PERGERAKAN STOK'!$M$5:$M$504,'PERGERAKAN STOK'!$B$5:$B$504,"&gt;="&amp;A46,'PERGERAKAN STOK'!$B$5:$B$504,"&lt;"&amp;(A46+1)))</f>
        <v>0</v>
      </c>
      <c r="H46" s="39" t="n">
        <f aca="false">IF(A46="","",E46-F46-G46)</f>
        <v>0</v>
      </c>
    </row>
    <row r="47" customFormat="false" ht="15" hidden="false" customHeight="false" outlineLevel="0" collapsed="false">
      <c r="A47" s="42" t="n">
        <f aca="false">IF(MONTH(A46+1)=MONTH($B$3),A46+1,"")</f>
        <v>46322</v>
      </c>
      <c r="B47" s="39" t="n">
        <f aca="false">IF(A47="","",SUMIFS('TRANSAKSI PENJUALAN'!$H$5:$H$504,'TRANSAKSI PENJUALAN'!$B$5:$B$504,A47,'TRANSAKSI PENJUALAN'!$M$5:$M$504,"Lunas"))</f>
        <v>0</v>
      </c>
      <c r="C47" s="39" t="n">
        <f aca="false">IF(A47="","",SUMIFS('TRANSAKSI PENJUALAN'!$I$5:$I$504,'TRANSAKSI PENJUALAN'!$B$5:$B$504,A47,'TRANSAKSI PENJUALAN'!$M$5:$M$504,"Lunas"))</f>
        <v>0</v>
      </c>
      <c r="D47" s="39" t="n">
        <f aca="false">IF(A47="","",SUMIFS('TRANSAKSI PENJUALAN'!$J$5:$J$504,'TRANSAKSI PENJUALAN'!$B$5:$B$504,A47,'TRANSAKSI PENJUALAN'!$M$5:$M$504,"Lunas"))</f>
        <v>0</v>
      </c>
      <c r="E47" s="39" t="n">
        <f aca="false">IF(A47="","",SUMIFS('TRANSAKSI PENJUALAN'!$K$5:$K$504,'TRANSAKSI PENJUALAN'!$B$5:$B$504,A47,'TRANSAKSI PENJUALAN'!$M$5:$M$504,"Lunas"))</f>
        <v>0</v>
      </c>
      <c r="F47" s="39" t="n">
        <f aca="false">IF(A47="","",SUMIFS('DETAIL TRANSAKSI'!$L$5:$L$504,'DETAIL TRANSAKSI'!$P$5:$P$504,A47,'DETAIL TRANSAKSI'!$Q$5:$Q$504,"Lunas"))</f>
        <v>0</v>
      </c>
      <c r="G47" s="39" t="n">
        <f aca="false">IF(A47="","",SUMIFS(PENGELUARAN!$E$5:$E$504,PENGELUARAN!$B$5:$B$504,A47,PENGELUARAN!$I$5:$I$504,"Ya")+SUMIFS('PERGERAKAN STOK'!$M$5:$M$504,'PERGERAKAN STOK'!$B$5:$B$504,"&gt;="&amp;A47,'PERGERAKAN STOK'!$B$5:$B$504,"&lt;"&amp;(A47+1)))</f>
        <v>0</v>
      </c>
      <c r="H47" s="39" t="n">
        <f aca="false">IF(A47="","",E47-F47-G47)</f>
        <v>0</v>
      </c>
    </row>
    <row r="48" customFormat="false" ht="15" hidden="false" customHeight="false" outlineLevel="0" collapsed="false">
      <c r="A48" s="42" t="n">
        <f aca="false">IF(MONTH(A47+1)=MONTH($B$3),A47+1,"")</f>
        <v>46323</v>
      </c>
      <c r="B48" s="39" t="n">
        <f aca="false">IF(A48="","",SUMIFS('TRANSAKSI PENJUALAN'!$H$5:$H$504,'TRANSAKSI PENJUALAN'!$B$5:$B$504,A48,'TRANSAKSI PENJUALAN'!$M$5:$M$504,"Lunas"))</f>
        <v>0</v>
      </c>
      <c r="C48" s="39" t="n">
        <f aca="false">IF(A48="","",SUMIFS('TRANSAKSI PENJUALAN'!$I$5:$I$504,'TRANSAKSI PENJUALAN'!$B$5:$B$504,A48,'TRANSAKSI PENJUALAN'!$M$5:$M$504,"Lunas"))</f>
        <v>0</v>
      </c>
      <c r="D48" s="39" t="n">
        <f aca="false">IF(A48="","",SUMIFS('TRANSAKSI PENJUALAN'!$J$5:$J$504,'TRANSAKSI PENJUALAN'!$B$5:$B$504,A48,'TRANSAKSI PENJUALAN'!$M$5:$M$504,"Lunas"))</f>
        <v>0</v>
      </c>
      <c r="E48" s="39" t="n">
        <f aca="false">IF(A48="","",SUMIFS('TRANSAKSI PENJUALAN'!$K$5:$K$504,'TRANSAKSI PENJUALAN'!$B$5:$B$504,A48,'TRANSAKSI PENJUALAN'!$M$5:$M$504,"Lunas"))</f>
        <v>0</v>
      </c>
      <c r="F48" s="39" t="n">
        <f aca="false">IF(A48="","",SUMIFS('DETAIL TRANSAKSI'!$L$5:$L$504,'DETAIL TRANSAKSI'!$P$5:$P$504,A48,'DETAIL TRANSAKSI'!$Q$5:$Q$504,"Lunas"))</f>
        <v>0</v>
      </c>
      <c r="G48" s="39" t="n">
        <f aca="false">IF(A48="","",SUMIFS(PENGELUARAN!$E$5:$E$504,PENGELUARAN!$B$5:$B$504,A48,PENGELUARAN!$I$5:$I$504,"Ya")+SUMIFS('PERGERAKAN STOK'!$M$5:$M$504,'PERGERAKAN STOK'!$B$5:$B$504,"&gt;="&amp;A48,'PERGERAKAN STOK'!$B$5:$B$504,"&lt;"&amp;(A48+1)))</f>
        <v>0</v>
      </c>
      <c r="H48" s="39" t="n">
        <f aca="false">IF(A48="","",E48-F48-G48)</f>
        <v>0</v>
      </c>
    </row>
    <row r="49" customFormat="false" ht="15" hidden="false" customHeight="false" outlineLevel="0" collapsed="false">
      <c r="A49" s="42" t="n">
        <f aca="false">IF(MONTH(A48+1)=MONTH($B$3),A48+1,"")</f>
        <v>46324</v>
      </c>
      <c r="B49" s="39" t="n">
        <f aca="false">IF(A49="","",SUMIFS('TRANSAKSI PENJUALAN'!$H$5:$H$504,'TRANSAKSI PENJUALAN'!$B$5:$B$504,A49,'TRANSAKSI PENJUALAN'!$M$5:$M$504,"Lunas"))</f>
        <v>0</v>
      </c>
      <c r="C49" s="39" t="n">
        <f aca="false">IF(A49="","",SUMIFS('TRANSAKSI PENJUALAN'!$I$5:$I$504,'TRANSAKSI PENJUALAN'!$B$5:$B$504,A49,'TRANSAKSI PENJUALAN'!$M$5:$M$504,"Lunas"))</f>
        <v>0</v>
      </c>
      <c r="D49" s="39" t="n">
        <f aca="false">IF(A49="","",SUMIFS('TRANSAKSI PENJUALAN'!$J$5:$J$504,'TRANSAKSI PENJUALAN'!$B$5:$B$504,A49,'TRANSAKSI PENJUALAN'!$M$5:$M$504,"Lunas"))</f>
        <v>0</v>
      </c>
      <c r="E49" s="39" t="n">
        <f aca="false">IF(A49="","",SUMIFS('TRANSAKSI PENJUALAN'!$K$5:$K$504,'TRANSAKSI PENJUALAN'!$B$5:$B$504,A49,'TRANSAKSI PENJUALAN'!$M$5:$M$504,"Lunas"))</f>
        <v>0</v>
      </c>
      <c r="F49" s="39" t="n">
        <f aca="false">IF(A49="","",SUMIFS('DETAIL TRANSAKSI'!$L$5:$L$504,'DETAIL TRANSAKSI'!$P$5:$P$504,A49,'DETAIL TRANSAKSI'!$Q$5:$Q$504,"Lunas"))</f>
        <v>0</v>
      </c>
      <c r="G49" s="39" t="n">
        <f aca="false">IF(A49="","",SUMIFS(PENGELUARAN!$E$5:$E$504,PENGELUARAN!$B$5:$B$504,A49,PENGELUARAN!$I$5:$I$504,"Ya")+SUMIFS('PERGERAKAN STOK'!$M$5:$M$504,'PERGERAKAN STOK'!$B$5:$B$504,"&gt;="&amp;A49,'PERGERAKAN STOK'!$B$5:$B$504,"&lt;"&amp;(A49+1)))</f>
        <v>0</v>
      </c>
      <c r="H49" s="39" t="n">
        <f aca="false">IF(A49="","",E49-F49-G49)</f>
        <v>0</v>
      </c>
    </row>
    <row r="50" customFormat="false" ht="15" hidden="false" customHeight="false" outlineLevel="0" collapsed="false">
      <c r="A50" s="42" t="n">
        <f aca="false">IF(MONTH(A49+1)=MONTH($B$3),A49+1,"")</f>
        <v>46325</v>
      </c>
      <c r="B50" s="39" t="n">
        <f aca="false">IF(A50="","",SUMIFS('TRANSAKSI PENJUALAN'!$H$5:$H$504,'TRANSAKSI PENJUALAN'!$B$5:$B$504,A50,'TRANSAKSI PENJUALAN'!$M$5:$M$504,"Lunas"))</f>
        <v>279000</v>
      </c>
      <c r="C50" s="39" t="n">
        <f aca="false">IF(A50="","",SUMIFS('TRANSAKSI PENJUALAN'!$I$5:$I$504,'TRANSAKSI PENJUALAN'!$B$5:$B$504,A50,'TRANSAKSI PENJUALAN'!$M$5:$M$504,"Lunas"))</f>
        <v>2000</v>
      </c>
      <c r="D50" s="39" t="n">
        <f aca="false">IF(A50="","",SUMIFS('TRANSAKSI PENJUALAN'!$J$5:$J$504,'TRANSAKSI PENJUALAN'!$B$5:$B$504,A50,'TRANSAKSI PENJUALAN'!$M$5:$M$504,"Lunas"))</f>
        <v>5000</v>
      </c>
      <c r="E50" s="39" t="n">
        <f aca="false">IF(A50="","",SUMIFS('TRANSAKSI PENJUALAN'!$K$5:$K$504,'TRANSAKSI PENJUALAN'!$B$5:$B$504,A50,'TRANSAKSI PENJUALAN'!$M$5:$M$504,"Lunas"))</f>
        <v>272000</v>
      </c>
      <c r="F50" s="39" t="n">
        <f aca="false">IF(A50="","",SUMIFS('DETAIL TRANSAKSI'!$L$5:$L$504,'DETAIL TRANSAKSI'!$P$5:$P$504,A50,'DETAIL TRANSAKSI'!$Q$5:$Q$504,"Lunas"))</f>
        <v>53490</v>
      </c>
      <c r="G50" s="39" t="n">
        <f aca="false">IF(A50="","",SUMIFS(PENGELUARAN!$E$5:$E$504,PENGELUARAN!$B$5:$B$504,A50,PENGELUARAN!$I$5:$I$504,"Ya")+SUMIFS('PERGERAKAN STOK'!$M$5:$M$504,'PERGERAKAN STOK'!$B$5:$B$504,"&gt;="&amp;A50,'PERGERAKAN STOK'!$B$5:$B$504,"&lt;"&amp;(A50+1)))</f>
        <v>8480</v>
      </c>
      <c r="H50" s="39" t="n">
        <f aca="false">IF(A50="","",E50-F50-G50)</f>
        <v>210030</v>
      </c>
    </row>
    <row r="51" customFormat="false" ht="15" hidden="false" customHeight="false" outlineLevel="0" collapsed="false">
      <c r="A51" s="43" t="n">
        <f aca="false">IF(MONTH(A50+1)=MONTH($B$3),A50+1,"")</f>
        <v>46326</v>
      </c>
      <c r="B51" s="44" t="n">
        <f aca="false">IF(A51="","",SUMIFS('TRANSAKSI PENJUALAN'!$H$5:$H$504,'TRANSAKSI PENJUALAN'!$B$5:$B$504,A51,'TRANSAKSI PENJUALAN'!$M$5:$M$504,"Lunas"))</f>
        <v>0</v>
      </c>
      <c r="C51" s="44" t="n">
        <f aca="false">IF(A51="","",SUMIFS('TRANSAKSI PENJUALAN'!$I$5:$I$504,'TRANSAKSI PENJUALAN'!$B$5:$B$504,A51,'TRANSAKSI PENJUALAN'!$M$5:$M$504,"Lunas"))</f>
        <v>0</v>
      </c>
      <c r="D51" s="44" t="n">
        <f aca="false">IF(A51="","",SUMIFS('TRANSAKSI PENJUALAN'!$J$5:$J$504,'TRANSAKSI PENJUALAN'!$B$5:$B$504,A51,'TRANSAKSI PENJUALAN'!$M$5:$M$504,"Lunas"))</f>
        <v>0</v>
      </c>
      <c r="E51" s="44" t="n">
        <f aca="false">IF(A51="","",SUMIFS('TRANSAKSI PENJUALAN'!$K$5:$K$504,'TRANSAKSI PENJUALAN'!$B$5:$B$504,A51,'TRANSAKSI PENJUALAN'!$M$5:$M$504,"Lunas"))</f>
        <v>0</v>
      </c>
      <c r="F51" s="44" t="n">
        <f aca="false">IF(A51="","",SUMIFS('DETAIL TRANSAKSI'!$L$5:$L$504,'DETAIL TRANSAKSI'!$P$5:$P$504,A51,'DETAIL TRANSAKSI'!$Q$5:$Q$504,"Lunas"))</f>
        <v>0</v>
      </c>
      <c r="G51" s="44" t="n">
        <f aca="false">IF(A51="","",SUMIFS(PENGELUARAN!$E$5:$E$504,PENGELUARAN!$B$5:$B$504,A51,PENGELUARAN!$I$5:$I$504,"Ya")+SUMIFS('PERGERAKAN STOK'!$M$5:$M$504,'PERGERAKAN STOK'!$B$5:$B$504,"&gt;="&amp;A51,'PERGERAKAN STOK'!$B$5:$B$504,"&lt;"&amp;(A51+1)))</f>
        <v>0</v>
      </c>
      <c r="H51" s="44" t="n">
        <f aca="false">IF(A51="","",E51-F51-G51)</f>
        <v>0</v>
      </c>
    </row>
    <row r="54" customFormat="false" ht="30" hidden="false" customHeight="true" outlineLevel="0" collapsed="false">
      <c r="C54" s="38" t="s">
        <v>375</v>
      </c>
      <c r="D54" s="38" t="s">
        <v>376</v>
      </c>
      <c r="E54" s="38"/>
    </row>
    <row r="55" customFormat="false" ht="15" hidden="false" customHeight="false" outlineLevel="0" collapsed="false">
      <c r="C55" s="0" t="str">
        <f aca="false">IF('MASTER MENU'!A5="","",'MASTER MENU'!B5)</f>
        <v>Kopi Susu Gula Aren</v>
      </c>
      <c r="D55" s="0" t="n">
        <f aca="false">IF(C55="","",SUMIFS('DETAIL TRANSAKSI'!$E$5:$E$504,'DETAIL TRANSAKSI'!$B$5:$B$504,'MASTER MENU'!A5,'DETAIL TRANSAKSI'!$P$5:$P$504,"&gt;="&amp;DATE(YEAR($B$3),MONTH($B$3),1),'DETAIL TRANSAKSI'!$P$5:$P$504,"&lt;"&amp;EDATE(DATE(YEAR($B$3),MONTH($B$3),1),1),'DETAIL TRANSAKSI'!$Q$5:$Q$504,"Lunas"))</f>
        <v>1</v>
      </c>
      <c r="E55" s="0" t="n">
        <f aca="false">IF(D55&gt;0,D55,"")</f>
        <v>1</v>
      </c>
    </row>
    <row r="56" customFormat="false" ht="15" hidden="false" customHeight="false" outlineLevel="0" collapsed="false">
      <c r="C56" s="0" t="str">
        <f aca="false">IF('MASTER MENU'!A6="","",'MASTER MENU'!B6)</f>
        <v>Americano</v>
      </c>
      <c r="D56" s="0" t="n">
        <f aca="false">IF(C56="","",SUMIFS('DETAIL TRANSAKSI'!$E$5:$E$504,'DETAIL TRANSAKSI'!$B$5:$B$504,'MASTER MENU'!A6,'DETAIL TRANSAKSI'!$P$5:$P$504,"&gt;="&amp;DATE(YEAR($B$3),MONTH($B$3),1),'DETAIL TRANSAKSI'!$P$5:$P$504,"&lt;"&amp;EDATE(DATE(YEAR($B$3),MONTH($B$3),1),1),'DETAIL TRANSAKSI'!$Q$5:$Q$504,"Lunas"))</f>
        <v>1</v>
      </c>
      <c r="E56" s="0" t="n">
        <f aca="false">IF(D56&gt;0,D56,"")</f>
        <v>1</v>
      </c>
    </row>
    <row r="57" customFormat="false" ht="15" hidden="false" customHeight="false" outlineLevel="0" collapsed="false">
      <c r="C57" s="0" t="str">
        <f aca="false">IF('MASTER MENU'!A7="","",'MASTER MENU'!B7)</f>
        <v>Latte</v>
      </c>
      <c r="D57" s="0" t="n">
        <f aca="false">IF(C57="","",SUMIFS('DETAIL TRANSAKSI'!$E$5:$E$504,'DETAIL TRANSAKSI'!$B$5:$B$504,'MASTER MENU'!A7,'DETAIL TRANSAKSI'!$P$5:$P$504,"&gt;="&amp;DATE(YEAR($B$3),MONTH($B$3),1),'DETAIL TRANSAKSI'!$P$5:$P$504,"&lt;"&amp;EDATE(DATE(YEAR($B$3),MONTH($B$3),1),1),'DETAIL TRANSAKSI'!$Q$5:$Q$504,"Lunas"))</f>
        <v>1</v>
      </c>
      <c r="E57" s="0" t="n">
        <f aca="false">IF(D57&gt;0,D57,"")</f>
        <v>1</v>
      </c>
    </row>
    <row r="58" customFormat="false" ht="15" hidden="false" customHeight="false" outlineLevel="0" collapsed="false">
      <c r="C58" s="0" t="str">
        <f aca="false">IF('MASTER MENU'!A8="","",'MASTER MENU'!B8)</f>
        <v>Matcha Latte</v>
      </c>
      <c r="D58" s="0" t="n">
        <f aca="false">IF(C58="","",SUMIFS('DETAIL TRANSAKSI'!$E$5:$E$504,'DETAIL TRANSAKSI'!$B$5:$B$504,'MASTER MENU'!A8,'DETAIL TRANSAKSI'!$P$5:$P$504,"&gt;="&amp;DATE(YEAR($B$3),MONTH($B$3),1),'DETAIL TRANSAKSI'!$P$5:$P$504,"&lt;"&amp;EDATE(DATE(YEAR($B$3),MONTH($B$3),1),1),'DETAIL TRANSAKSI'!$Q$5:$Q$504,"Lunas"))</f>
        <v>1</v>
      </c>
      <c r="E58" s="0" t="n">
        <f aca="false">IF(D58&gt;0,D58,"")</f>
        <v>1</v>
      </c>
    </row>
    <row r="59" customFormat="false" ht="15" hidden="false" customHeight="false" outlineLevel="0" collapsed="false">
      <c r="C59" s="0" t="str">
        <f aca="false">IF('MASTER MENU'!A9="","",'MASTER MENU'!B9)</f>
        <v>Teh Lemon</v>
      </c>
      <c r="D59" s="0" t="n">
        <f aca="false">IF(C59="","",SUMIFS('DETAIL TRANSAKSI'!$E$5:$E$504,'DETAIL TRANSAKSI'!$B$5:$B$504,'MASTER MENU'!A9,'DETAIL TRANSAKSI'!$P$5:$P$504,"&gt;="&amp;DATE(YEAR($B$3),MONTH($B$3),1),'DETAIL TRANSAKSI'!$P$5:$P$504,"&lt;"&amp;EDATE(DATE(YEAR($B$3),MONTH($B$3),1),1),'DETAIL TRANSAKSI'!$Q$5:$Q$504,"Lunas"))</f>
        <v>1</v>
      </c>
      <c r="E59" s="0" t="n">
        <f aca="false">IF(D59&gt;0,D59,"")</f>
        <v>1</v>
      </c>
    </row>
    <row r="60" customFormat="false" ht="15" hidden="false" customHeight="false" outlineLevel="0" collapsed="false">
      <c r="C60" s="0" t="str">
        <f aca="false">IF('MASTER MENU'!A10="","",'MASTER MENU'!B10)</f>
        <v>Croissant Butter</v>
      </c>
      <c r="D60" s="0" t="n">
        <f aca="false">IF(C60="","",SUMIFS('DETAIL TRANSAKSI'!$E$5:$E$504,'DETAIL TRANSAKSI'!$B$5:$B$504,'MASTER MENU'!A10,'DETAIL TRANSAKSI'!$P$5:$P$504,"&gt;="&amp;DATE(YEAR($B$3),MONTH($B$3),1),'DETAIL TRANSAKSI'!$P$5:$P$504,"&lt;"&amp;EDATE(DATE(YEAR($B$3),MONTH($B$3),1),1),'DETAIL TRANSAKSI'!$Q$5:$Q$504,"Lunas"))</f>
        <v>1</v>
      </c>
      <c r="E60" s="0" t="n">
        <f aca="false">IF(D60&gt;0,D60,"")</f>
        <v>1</v>
      </c>
    </row>
    <row r="61" customFormat="false" ht="15" hidden="false" customHeight="false" outlineLevel="0" collapsed="false">
      <c r="C61" s="0" t="str">
        <f aca="false">IF('MASTER MENU'!A11="","",'MASTER MENU'!B11)</f>
        <v>Nasi Goreng</v>
      </c>
      <c r="D61" s="0" t="n">
        <f aca="false">IF(C61="","",SUMIFS('DETAIL TRANSAKSI'!$E$5:$E$504,'DETAIL TRANSAKSI'!$B$5:$B$504,'MASTER MENU'!A11,'DETAIL TRANSAKSI'!$P$5:$P$504,"&gt;="&amp;DATE(YEAR($B$3),MONTH($B$3),1),'DETAIL TRANSAKSI'!$P$5:$P$504,"&lt;"&amp;EDATE(DATE(YEAR($B$3),MONTH($B$3),1),1),'DETAIL TRANSAKSI'!$Q$5:$Q$504,"Lunas"))</f>
        <v>1</v>
      </c>
      <c r="E61" s="0" t="n">
        <f aca="false">IF(D61&gt;0,D61,"")</f>
        <v>1</v>
      </c>
    </row>
    <row r="62" customFormat="false" ht="15" hidden="false" customHeight="false" outlineLevel="0" collapsed="false">
      <c r="C62" s="0" t="str">
        <f aca="false">IF('MASTER MENU'!A12="","",'MASTER MENU'!B12)</f>
        <v>Kentang Goreng</v>
      </c>
      <c r="D62" s="0" t="n">
        <f aca="false">IF(C62="","",SUMIFS('DETAIL TRANSAKSI'!$E$5:$E$504,'DETAIL TRANSAKSI'!$B$5:$B$504,'MASTER MENU'!A12,'DETAIL TRANSAKSI'!$P$5:$P$504,"&gt;="&amp;DATE(YEAR($B$3),MONTH($B$3),1),'DETAIL TRANSAKSI'!$P$5:$P$504,"&lt;"&amp;EDATE(DATE(YEAR($B$3),MONTH($B$3),1),1),'DETAIL TRANSAKSI'!$Q$5:$Q$504,"Lunas"))</f>
        <v>1</v>
      </c>
      <c r="E62" s="0" t="n">
        <f aca="false">IF(D62&gt;0,D62,"")</f>
        <v>1</v>
      </c>
    </row>
    <row r="63" customFormat="false" ht="15" hidden="false" customHeight="false" outlineLevel="0" collapsed="false">
      <c r="C63" s="0" t="str">
        <f aca="false">IF('MASTER MENU'!A13="","",'MASTER MENU'!B13)</f>
        <v>Espresso</v>
      </c>
      <c r="D63" s="0" t="n">
        <f aca="false">IF(C63="","",SUMIFS('DETAIL TRANSAKSI'!$E$5:$E$504,'DETAIL TRANSAKSI'!$B$5:$B$504,'MASTER MENU'!A13,'DETAIL TRANSAKSI'!$P$5:$P$504,"&gt;="&amp;DATE(YEAR($B$3),MONTH($B$3),1),'DETAIL TRANSAKSI'!$P$5:$P$504,"&lt;"&amp;EDATE(DATE(YEAR($B$3),MONTH($B$3),1),1),'DETAIL TRANSAKSI'!$Q$5:$Q$504,"Lunas"))</f>
        <v>1</v>
      </c>
      <c r="E63" s="0" t="n">
        <f aca="false">IF(D63&gt;0,D63,"")</f>
        <v>1</v>
      </c>
    </row>
    <row r="64" customFormat="false" ht="15" hidden="false" customHeight="false" outlineLevel="0" collapsed="false">
      <c r="C64" s="0" t="str">
        <f aca="false">IF('MASTER MENU'!A14="","",'MASTER MENU'!B14)</f>
        <v>Roti Bakar</v>
      </c>
      <c r="D64" s="0" t="n">
        <f aca="false">IF(C64="","",SUMIFS('DETAIL TRANSAKSI'!$E$5:$E$504,'DETAIL TRANSAKSI'!$B$5:$B$504,'MASTER MENU'!A14,'DETAIL TRANSAKSI'!$P$5:$P$504,"&gt;="&amp;DATE(YEAR($B$3),MONTH($B$3),1),'DETAIL TRANSAKSI'!$P$5:$P$504,"&lt;"&amp;EDATE(DATE(YEAR($B$3),MONTH($B$3),1),1),'DETAIL TRANSAKSI'!$Q$5:$Q$504,"Lunas"))</f>
        <v>1</v>
      </c>
      <c r="E64" s="0" t="n">
        <f aca="false">IF(D64&gt;0,D64,"")</f>
        <v>1</v>
      </c>
    </row>
    <row r="65" customFormat="false" ht="15" hidden="false" customHeight="false" outlineLevel="0" collapsed="false">
      <c r="C65" s="0" t="str">
        <f aca="false">IF('MASTER MENU'!A15="","",'MASTER MENU'!B15)</f>
        <v/>
      </c>
      <c r="D65" s="0" t="str">
        <f aca="false">IF(C65="","",SUMIFS('DETAIL TRANSAKSI'!$E$5:$E$504,'DETAIL TRANSAKSI'!$B$5:$B$504,'MASTER MENU'!A15,'DETAIL TRANSAKSI'!$P$5:$P$504,"&gt;="&amp;DATE(YEAR($B$3),MONTH($B$3),1),'DETAIL TRANSAKSI'!$P$5:$P$504,"&lt;"&amp;EDATE(DATE(YEAR($B$3),MONTH($B$3),1),1),'DETAIL TRANSAKSI'!$Q$5:$Q$504,"Lunas"))</f>
        <v/>
      </c>
      <c r="E65" s="0" t="str">
        <f aca="false">IF(D65&gt;0,D65,"")</f>
        <v/>
      </c>
    </row>
    <row r="66" customFormat="false" ht="15" hidden="false" customHeight="false" outlineLevel="0" collapsed="false">
      <c r="C66" s="0" t="str">
        <f aca="false">IF('MASTER MENU'!A16="","",'MASTER MENU'!B16)</f>
        <v/>
      </c>
      <c r="D66" s="0" t="str">
        <f aca="false">IF(C66="","",SUMIFS('DETAIL TRANSAKSI'!$E$5:$E$504,'DETAIL TRANSAKSI'!$B$5:$B$504,'MASTER MENU'!A16,'DETAIL TRANSAKSI'!$P$5:$P$504,"&gt;="&amp;DATE(YEAR($B$3),MONTH($B$3),1),'DETAIL TRANSAKSI'!$P$5:$P$504,"&lt;"&amp;EDATE(DATE(YEAR($B$3),MONTH($B$3),1),1),'DETAIL TRANSAKSI'!$Q$5:$Q$504,"Lunas"))</f>
        <v/>
      </c>
      <c r="E66" s="0" t="str">
        <f aca="false">IF(D66&gt;0,D66,"")</f>
        <v/>
      </c>
    </row>
    <row r="67" customFormat="false" ht="15" hidden="false" customHeight="false" outlineLevel="0" collapsed="false">
      <c r="C67" s="0" t="str">
        <f aca="false">IF('MASTER MENU'!A17="","",'MASTER MENU'!B17)</f>
        <v/>
      </c>
      <c r="D67" s="0" t="str">
        <f aca="false">IF(C67="","",SUMIFS('DETAIL TRANSAKSI'!$E$5:$E$504,'DETAIL TRANSAKSI'!$B$5:$B$504,'MASTER MENU'!A17,'DETAIL TRANSAKSI'!$P$5:$P$504,"&gt;="&amp;DATE(YEAR($B$3),MONTH($B$3),1),'DETAIL TRANSAKSI'!$P$5:$P$504,"&lt;"&amp;EDATE(DATE(YEAR($B$3),MONTH($B$3),1),1),'DETAIL TRANSAKSI'!$Q$5:$Q$504,"Lunas"))</f>
        <v/>
      </c>
      <c r="E67" s="0" t="str">
        <f aca="false">IF(D67&gt;0,D67,"")</f>
        <v/>
      </c>
    </row>
    <row r="68" customFormat="false" ht="15" hidden="false" customHeight="false" outlineLevel="0" collapsed="false">
      <c r="C68" s="0" t="str">
        <f aca="false">IF('MASTER MENU'!A18="","",'MASTER MENU'!B18)</f>
        <v/>
      </c>
      <c r="D68" s="0" t="str">
        <f aca="false">IF(C68="","",SUMIFS('DETAIL TRANSAKSI'!$E$5:$E$504,'DETAIL TRANSAKSI'!$B$5:$B$504,'MASTER MENU'!A18,'DETAIL TRANSAKSI'!$P$5:$P$504,"&gt;="&amp;DATE(YEAR($B$3),MONTH($B$3),1),'DETAIL TRANSAKSI'!$P$5:$P$504,"&lt;"&amp;EDATE(DATE(YEAR($B$3),MONTH($B$3),1),1),'DETAIL TRANSAKSI'!$Q$5:$Q$504,"Lunas"))</f>
        <v/>
      </c>
      <c r="E68" s="0" t="str">
        <f aca="false">IF(D68&gt;0,D68,"")</f>
        <v/>
      </c>
    </row>
    <row r="69" customFormat="false" ht="15" hidden="false" customHeight="false" outlineLevel="0" collapsed="false">
      <c r="C69" s="0" t="str">
        <f aca="false">IF('MASTER MENU'!A19="","",'MASTER MENU'!B19)</f>
        <v/>
      </c>
      <c r="D69" s="0" t="str">
        <f aca="false">IF(C69="","",SUMIFS('DETAIL TRANSAKSI'!$E$5:$E$504,'DETAIL TRANSAKSI'!$B$5:$B$504,'MASTER MENU'!A19,'DETAIL TRANSAKSI'!$P$5:$P$504,"&gt;="&amp;DATE(YEAR($B$3),MONTH($B$3),1),'DETAIL TRANSAKSI'!$P$5:$P$504,"&lt;"&amp;EDATE(DATE(YEAR($B$3),MONTH($B$3),1),1),'DETAIL TRANSAKSI'!$Q$5:$Q$504,"Lunas"))</f>
        <v/>
      </c>
      <c r="E69" s="0" t="str">
        <f aca="false">IF(D69&gt;0,D69,"")</f>
        <v/>
      </c>
    </row>
    <row r="70" customFormat="false" ht="15" hidden="false" customHeight="false" outlineLevel="0" collapsed="false">
      <c r="C70" s="0" t="str">
        <f aca="false">IF('MASTER MENU'!A20="","",'MASTER MENU'!B20)</f>
        <v/>
      </c>
      <c r="D70" s="0" t="str">
        <f aca="false">IF(C70="","",SUMIFS('DETAIL TRANSAKSI'!$E$5:$E$504,'DETAIL TRANSAKSI'!$B$5:$B$504,'MASTER MENU'!A20,'DETAIL TRANSAKSI'!$P$5:$P$504,"&gt;="&amp;DATE(YEAR($B$3),MONTH($B$3),1),'DETAIL TRANSAKSI'!$P$5:$P$504,"&lt;"&amp;EDATE(DATE(YEAR($B$3),MONTH($B$3),1),1),'DETAIL TRANSAKSI'!$Q$5:$Q$504,"Lunas"))</f>
        <v/>
      </c>
      <c r="E70" s="0" t="str">
        <f aca="false">IF(D70&gt;0,D70,"")</f>
        <v/>
      </c>
    </row>
    <row r="71" customFormat="false" ht="15" hidden="false" customHeight="false" outlineLevel="0" collapsed="false">
      <c r="C71" s="0" t="str">
        <f aca="false">IF('MASTER MENU'!A21="","",'MASTER MENU'!B21)</f>
        <v/>
      </c>
      <c r="D71" s="0" t="str">
        <f aca="false">IF(C71="","",SUMIFS('DETAIL TRANSAKSI'!$E$5:$E$504,'DETAIL TRANSAKSI'!$B$5:$B$504,'MASTER MENU'!A21,'DETAIL TRANSAKSI'!$P$5:$P$504,"&gt;="&amp;DATE(YEAR($B$3),MONTH($B$3),1),'DETAIL TRANSAKSI'!$P$5:$P$504,"&lt;"&amp;EDATE(DATE(YEAR($B$3),MONTH($B$3),1),1),'DETAIL TRANSAKSI'!$Q$5:$Q$504,"Lunas"))</f>
        <v/>
      </c>
      <c r="E71" s="0" t="str">
        <f aca="false">IF(D71&gt;0,D71,"")</f>
        <v/>
      </c>
    </row>
    <row r="72" customFormat="false" ht="15" hidden="false" customHeight="false" outlineLevel="0" collapsed="false">
      <c r="C72" s="0" t="str">
        <f aca="false">IF('MASTER MENU'!A22="","",'MASTER MENU'!B22)</f>
        <v/>
      </c>
      <c r="D72" s="0" t="str">
        <f aca="false">IF(C72="","",SUMIFS('DETAIL TRANSAKSI'!$E$5:$E$504,'DETAIL TRANSAKSI'!$B$5:$B$504,'MASTER MENU'!A22,'DETAIL TRANSAKSI'!$P$5:$P$504,"&gt;="&amp;DATE(YEAR($B$3),MONTH($B$3),1),'DETAIL TRANSAKSI'!$P$5:$P$504,"&lt;"&amp;EDATE(DATE(YEAR($B$3),MONTH($B$3),1),1),'DETAIL TRANSAKSI'!$Q$5:$Q$504,"Lunas"))</f>
        <v/>
      </c>
      <c r="E72" s="0" t="str">
        <f aca="false">IF(D72&gt;0,D72,"")</f>
        <v/>
      </c>
    </row>
    <row r="73" customFormat="false" ht="15" hidden="false" customHeight="false" outlineLevel="0" collapsed="false">
      <c r="C73" s="0" t="str">
        <f aca="false">IF('MASTER MENU'!A23="","",'MASTER MENU'!B23)</f>
        <v/>
      </c>
      <c r="D73" s="0" t="str">
        <f aca="false">IF(C73="","",SUMIFS('DETAIL TRANSAKSI'!$E$5:$E$504,'DETAIL TRANSAKSI'!$B$5:$B$504,'MASTER MENU'!A23,'DETAIL TRANSAKSI'!$P$5:$P$504,"&gt;="&amp;DATE(YEAR($B$3),MONTH($B$3),1),'DETAIL TRANSAKSI'!$P$5:$P$504,"&lt;"&amp;EDATE(DATE(YEAR($B$3),MONTH($B$3),1),1),'DETAIL TRANSAKSI'!$Q$5:$Q$504,"Lunas"))</f>
        <v/>
      </c>
      <c r="E73" s="0" t="str">
        <f aca="false">IF(D73&gt;0,D73,"")</f>
        <v/>
      </c>
    </row>
    <row r="74" customFormat="false" ht="15" hidden="false" customHeight="false" outlineLevel="0" collapsed="false">
      <c r="C74" s="0" t="str">
        <f aca="false">IF('MASTER MENU'!A24="","",'MASTER MENU'!B24)</f>
        <v/>
      </c>
      <c r="D74" s="0" t="str">
        <f aca="false">IF(C74="","",SUMIFS('DETAIL TRANSAKSI'!$E$5:$E$504,'DETAIL TRANSAKSI'!$B$5:$B$504,'MASTER MENU'!A24,'DETAIL TRANSAKSI'!$P$5:$P$504,"&gt;="&amp;DATE(YEAR($B$3),MONTH($B$3),1),'DETAIL TRANSAKSI'!$P$5:$P$504,"&lt;"&amp;EDATE(DATE(YEAR($B$3),MONTH($B$3),1),1),'DETAIL TRANSAKSI'!$Q$5:$Q$504,"Lunas"))</f>
        <v/>
      </c>
      <c r="E74" s="0" t="str">
        <f aca="false">IF(D74&gt;0,D74,"")</f>
        <v/>
      </c>
    </row>
    <row r="75" customFormat="false" ht="15" hidden="false" customHeight="false" outlineLevel="0" collapsed="false">
      <c r="C75" s="0" t="str">
        <f aca="false">IF('MASTER MENU'!A25="","",'MASTER MENU'!B25)</f>
        <v/>
      </c>
      <c r="D75" s="0" t="str">
        <f aca="false">IF(C75="","",SUMIFS('DETAIL TRANSAKSI'!$E$5:$E$504,'DETAIL TRANSAKSI'!$B$5:$B$504,'MASTER MENU'!A25,'DETAIL TRANSAKSI'!$P$5:$P$504,"&gt;="&amp;DATE(YEAR($B$3),MONTH($B$3),1),'DETAIL TRANSAKSI'!$P$5:$P$504,"&lt;"&amp;EDATE(DATE(YEAR($B$3),MONTH($B$3),1),1),'DETAIL TRANSAKSI'!$Q$5:$Q$504,"Lunas"))</f>
        <v/>
      </c>
      <c r="E75" s="0" t="str">
        <f aca="false">IF(D75&gt;0,D75,"")</f>
        <v/>
      </c>
    </row>
    <row r="76" customFormat="false" ht="15" hidden="false" customHeight="false" outlineLevel="0" collapsed="false">
      <c r="C76" s="0" t="str">
        <f aca="false">IF('MASTER MENU'!A26="","",'MASTER MENU'!B26)</f>
        <v/>
      </c>
      <c r="D76" s="0" t="str">
        <f aca="false">IF(C76="","",SUMIFS('DETAIL TRANSAKSI'!$E$5:$E$504,'DETAIL TRANSAKSI'!$B$5:$B$504,'MASTER MENU'!A26,'DETAIL TRANSAKSI'!$P$5:$P$504,"&gt;="&amp;DATE(YEAR($B$3),MONTH($B$3),1),'DETAIL TRANSAKSI'!$P$5:$P$504,"&lt;"&amp;EDATE(DATE(YEAR($B$3),MONTH($B$3),1),1),'DETAIL TRANSAKSI'!$Q$5:$Q$504,"Lunas"))</f>
        <v/>
      </c>
      <c r="E76" s="0" t="str">
        <f aca="false">IF(D76&gt;0,D76,"")</f>
        <v/>
      </c>
    </row>
    <row r="77" customFormat="false" ht="15" hidden="false" customHeight="false" outlineLevel="0" collapsed="false">
      <c r="C77" s="0" t="str">
        <f aca="false">IF('MASTER MENU'!A27="","",'MASTER MENU'!B27)</f>
        <v/>
      </c>
      <c r="D77" s="0" t="str">
        <f aca="false">IF(C77="","",SUMIFS('DETAIL TRANSAKSI'!$E$5:$E$504,'DETAIL TRANSAKSI'!$B$5:$B$504,'MASTER MENU'!A27,'DETAIL TRANSAKSI'!$P$5:$P$504,"&gt;="&amp;DATE(YEAR($B$3),MONTH($B$3),1),'DETAIL TRANSAKSI'!$P$5:$P$504,"&lt;"&amp;EDATE(DATE(YEAR($B$3),MONTH($B$3),1),1),'DETAIL TRANSAKSI'!$Q$5:$Q$504,"Lunas"))</f>
        <v/>
      </c>
      <c r="E77" s="0" t="str">
        <f aca="false">IF(D77&gt;0,D77,"")</f>
        <v/>
      </c>
    </row>
    <row r="78" customFormat="false" ht="15" hidden="false" customHeight="false" outlineLevel="0" collapsed="false">
      <c r="C78" s="0" t="str">
        <f aca="false">IF('MASTER MENU'!A28="","",'MASTER MENU'!B28)</f>
        <v/>
      </c>
      <c r="D78" s="0" t="str">
        <f aca="false">IF(C78="","",SUMIFS('DETAIL TRANSAKSI'!$E$5:$E$504,'DETAIL TRANSAKSI'!$B$5:$B$504,'MASTER MENU'!A28,'DETAIL TRANSAKSI'!$P$5:$P$504,"&gt;="&amp;DATE(YEAR($B$3),MONTH($B$3),1),'DETAIL TRANSAKSI'!$P$5:$P$504,"&lt;"&amp;EDATE(DATE(YEAR($B$3),MONTH($B$3),1),1),'DETAIL TRANSAKSI'!$Q$5:$Q$504,"Lunas"))</f>
        <v/>
      </c>
      <c r="E78" s="0" t="str">
        <f aca="false">IF(D78&gt;0,D78,"")</f>
        <v/>
      </c>
    </row>
    <row r="79" customFormat="false" ht="15" hidden="false" customHeight="false" outlineLevel="0" collapsed="false">
      <c r="C79" s="0" t="str">
        <f aca="false">IF('MASTER MENU'!A29="","",'MASTER MENU'!B29)</f>
        <v/>
      </c>
      <c r="D79" s="0" t="str">
        <f aca="false">IF(C79="","",SUMIFS('DETAIL TRANSAKSI'!$E$5:$E$504,'DETAIL TRANSAKSI'!$B$5:$B$504,'MASTER MENU'!A29,'DETAIL TRANSAKSI'!$P$5:$P$504,"&gt;="&amp;DATE(YEAR($B$3),MONTH($B$3),1),'DETAIL TRANSAKSI'!$P$5:$P$504,"&lt;"&amp;EDATE(DATE(YEAR($B$3),MONTH($B$3),1),1),'DETAIL TRANSAKSI'!$Q$5:$Q$504,"Lunas"))</f>
        <v/>
      </c>
      <c r="E79" s="0" t="str">
        <f aca="false">IF(D79&gt;0,D79,"")</f>
        <v/>
      </c>
    </row>
    <row r="80" customFormat="false" ht="15" hidden="false" customHeight="false" outlineLevel="0" collapsed="false">
      <c r="C80" s="0" t="str">
        <f aca="false">IF('MASTER MENU'!A30="","",'MASTER MENU'!B30)</f>
        <v/>
      </c>
      <c r="D80" s="0" t="str">
        <f aca="false">IF(C80="","",SUMIFS('DETAIL TRANSAKSI'!$E$5:$E$504,'DETAIL TRANSAKSI'!$B$5:$B$504,'MASTER MENU'!A30,'DETAIL TRANSAKSI'!$P$5:$P$504,"&gt;="&amp;DATE(YEAR($B$3),MONTH($B$3),1),'DETAIL TRANSAKSI'!$P$5:$P$504,"&lt;"&amp;EDATE(DATE(YEAR($B$3),MONTH($B$3),1),1),'DETAIL TRANSAKSI'!$Q$5:$Q$504,"Lunas"))</f>
        <v/>
      </c>
      <c r="E80" s="0" t="str">
        <f aca="false">IF(D80&gt;0,D80,"")</f>
        <v/>
      </c>
    </row>
    <row r="81" customFormat="false" ht="15" hidden="false" customHeight="false" outlineLevel="0" collapsed="false">
      <c r="C81" s="0" t="str">
        <f aca="false">IF('MASTER MENU'!A31="","",'MASTER MENU'!B31)</f>
        <v/>
      </c>
      <c r="D81" s="0" t="str">
        <f aca="false">IF(C81="","",SUMIFS('DETAIL TRANSAKSI'!$E$5:$E$504,'DETAIL TRANSAKSI'!$B$5:$B$504,'MASTER MENU'!A31,'DETAIL TRANSAKSI'!$P$5:$P$504,"&gt;="&amp;DATE(YEAR($B$3),MONTH($B$3),1),'DETAIL TRANSAKSI'!$P$5:$P$504,"&lt;"&amp;EDATE(DATE(YEAR($B$3),MONTH($B$3),1),1),'DETAIL TRANSAKSI'!$Q$5:$Q$504,"Lunas"))</f>
        <v/>
      </c>
      <c r="E81" s="0" t="str">
        <f aca="false">IF(D81&gt;0,D81,"")</f>
        <v/>
      </c>
    </row>
    <row r="82" customFormat="false" ht="15" hidden="false" customHeight="false" outlineLevel="0" collapsed="false">
      <c r="C82" s="0" t="str">
        <f aca="false">IF('MASTER MENU'!A32="","",'MASTER MENU'!B32)</f>
        <v/>
      </c>
      <c r="D82" s="0" t="str">
        <f aca="false">IF(C82="","",SUMIFS('DETAIL TRANSAKSI'!$E$5:$E$504,'DETAIL TRANSAKSI'!$B$5:$B$504,'MASTER MENU'!A32,'DETAIL TRANSAKSI'!$P$5:$P$504,"&gt;="&amp;DATE(YEAR($B$3),MONTH($B$3),1),'DETAIL TRANSAKSI'!$P$5:$P$504,"&lt;"&amp;EDATE(DATE(YEAR($B$3),MONTH($B$3),1),1),'DETAIL TRANSAKSI'!$Q$5:$Q$504,"Lunas"))</f>
        <v/>
      </c>
      <c r="E82" s="0" t="str">
        <f aca="false">IF(D82&gt;0,D82,"")</f>
        <v/>
      </c>
    </row>
    <row r="83" customFormat="false" ht="15" hidden="false" customHeight="false" outlineLevel="0" collapsed="false">
      <c r="C83" s="0" t="str">
        <f aca="false">IF('MASTER MENU'!A33="","",'MASTER MENU'!B33)</f>
        <v/>
      </c>
      <c r="D83" s="0" t="str">
        <f aca="false">IF(C83="","",SUMIFS('DETAIL TRANSAKSI'!$E$5:$E$504,'DETAIL TRANSAKSI'!$B$5:$B$504,'MASTER MENU'!A33,'DETAIL TRANSAKSI'!$P$5:$P$504,"&gt;="&amp;DATE(YEAR($B$3),MONTH($B$3),1),'DETAIL TRANSAKSI'!$P$5:$P$504,"&lt;"&amp;EDATE(DATE(YEAR($B$3),MONTH($B$3),1),1),'DETAIL TRANSAKSI'!$Q$5:$Q$504,"Lunas"))</f>
        <v/>
      </c>
      <c r="E83" s="0" t="str">
        <f aca="false">IF(D83&gt;0,D83,"")</f>
        <v/>
      </c>
    </row>
    <row r="84" customFormat="false" ht="15" hidden="false" customHeight="false" outlineLevel="0" collapsed="false">
      <c r="C84" s="0" t="str">
        <f aca="false">IF('MASTER MENU'!A34="","",'MASTER MENU'!B34)</f>
        <v/>
      </c>
      <c r="D84" s="0" t="str">
        <f aca="false">IF(C84="","",SUMIFS('DETAIL TRANSAKSI'!$E$5:$E$504,'DETAIL TRANSAKSI'!$B$5:$B$504,'MASTER MENU'!A34,'DETAIL TRANSAKSI'!$P$5:$P$504,"&gt;="&amp;DATE(YEAR($B$3),MONTH($B$3),1),'DETAIL TRANSAKSI'!$P$5:$P$504,"&lt;"&amp;EDATE(DATE(YEAR($B$3),MONTH($B$3),1),1),'DETAIL TRANSAKSI'!$Q$5:$Q$504,"Lunas"))</f>
        <v/>
      </c>
      <c r="E84" s="0" t="str">
        <f aca="false">IF(D84&gt;0,D84,"")</f>
        <v/>
      </c>
    </row>
    <row r="85" customFormat="false" ht="15" hidden="false" customHeight="false" outlineLevel="0" collapsed="false">
      <c r="C85" s="0" t="str">
        <f aca="false">IF('MASTER MENU'!A35="","",'MASTER MENU'!B35)</f>
        <v/>
      </c>
      <c r="D85" s="0" t="str">
        <f aca="false">IF(C85="","",SUMIFS('DETAIL TRANSAKSI'!$E$5:$E$504,'DETAIL TRANSAKSI'!$B$5:$B$504,'MASTER MENU'!A35,'DETAIL TRANSAKSI'!$P$5:$P$504,"&gt;="&amp;DATE(YEAR($B$3),MONTH($B$3),1),'DETAIL TRANSAKSI'!$P$5:$P$504,"&lt;"&amp;EDATE(DATE(YEAR($B$3),MONTH($B$3),1),1),'DETAIL TRANSAKSI'!$Q$5:$Q$504,"Lunas"))</f>
        <v/>
      </c>
      <c r="E85" s="0" t="str">
        <f aca="false">IF(D85&gt;0,D85,"")</f>
        <v/>
      </c>
    </row>
    <row r="86" customFormat="false" ht="15" hidden="false" customHeight="false" outlineLevel="0" collapsed="false">
      <c r="C86" s="0" t="str">
        <f aca="false">IF('MASTER MENU'!A36="","",'MASTER MENU'!B36)</f>
        <v/>
      </c>
      <c r="D86" s="0" t="str">
        <f aca="false">IF(C86="","",SUMIFS('DETAIL TRANSAKSI'!$E$5:$E$504,'DETAIL TRANSAKSI'!$B$5:$B$504,'MASTER MENU'!A36,'DETAIL TRANSAKSI'!$P$5:$P$504,"&gt;="&amp;DATE(YEAR($B$3),MONTH($B$3),1),'DETAIL TRANSAKSI'!$P$5:$P$504,"&lt;"&amp;EDATE(DATE(YEAR($B$3),MONTH($B$3),1),1),'DETAIL TRANSAKSI'!$Q$5:$Q$504,"Lunas"))</f>
        <v/>
      </c>
      <c r="E86" s="0" t="str">
        <f aca="false">IF(D86&gt;0,D86,"")</f>
        <v/>
      </c>
    </row>
    <row r="87" customFormat="false" ht="15" hidden="false" customHeight="false" outlineLevel="0" collapsed="false">
      <c r="C87" s="0" t="str">
        <f aca="false">IF('MASTER MENU'!A37="","",'MASTER MENU'!B37)</f>
        <v/>
      </c>
      <c r="D87" s="0" t="str">
        <f aca="false">IF(C87="","",SUMIFS('DETAIL TRANSAKSI'!$E$5:$E$504,'DETAIL TRANSAKSI'!$B$5:$B$504,'MASTER MENU'!A37,'DETAIL TRANSAKSI'!$P$5:$P$504,"&gt;="&amp;DATE(YEAR($B$3),MONTH($B$3),1),'DETAIL TRANSAKSI'!$P$5:$P$504,"&lt;"&amp;EDATE(DATE(YEAR($B$3),MONTH($B$3),1),1),'DETAIL TRANSAKSI'!$Q$5:$Q$504,"Lunas"))</f>
        <v/>
      </c>
      <c r="E87" s="0" t="str">
        <f aca="false">IF(D87&gt;0,D87,"")</f>
        <v/>
      </c>
    </row>
    <row r="88" customFormat="false" ht="15" hidden="false" customHeight="false" outlineLevel="0" collapsed="false">
      <c r="C88" s="0" t="str">
        <f aca="false">IF('MASTER MENU'!A38="","",'MASTER MENU'!B38)</f>
        <v/>
      </c>
      <c r="D88" s="0" t="str">
        <f aca="false">IF(C88="","",SUMIFS('DETAIL TRANSAKSI'!$E$5:$E$504,'DETAIL TRANSAKSI'!$B$5:$B$504,'MASTER MENU'!A38,'DETAIL TRANSAKSI'!$P$5:$P$504,"&gt;="&amp;DATE(YEAR($B$3),MONTH($B$3),1),'DETAIL TRANSAKSI'!$P$5:$P$504,"&lt;"&amp;EDATE(DATE(YEAR($B$3),MONTH($B$3),1),1),'DETAIL TRANSAKSI'!$Q$5:$Q$504,"Lunas"))</f>
        <v/>
      </c>
      <c r="E88" s="0" t="str">
        <f aca="false">IF(D88&gt;0,D88,"")</f>
        <v/>
      </c>
    </row>
    <row r="89" customFormat="false" ht="15" hidden="false" customHeight="false" outlineLevel="0" collapsed="false">
      <c r="C89" s="0" t="str">
        <f aca="false">IF('MASTER MENU'!A39="","",'MASTER MENU'!B39)</f>
        <v/>
      </c>
      <c r="D89" s="0" t="str">
        <f aca="false">IF(C89="","",SUMIFS('DETAIL TRANSAKSI'!$E$5:$E$504,'DETAIL TRANSAKSI'!$B$5:$B$504,'MASTER MENU'!A39,'DETAIL TRANSAKSI'!$P$5:$P$504,"&gt;="&amp;DATE(YEAR($B$3),MONTH($B$3),1),'DETAIL TRANSAKSI'!$P$5:$P$504,"&lt;"&amp;EDATE(DATE(YEAR($B$3),MONTH($B$3),1),1),'DETAIL TRANSAKSI'!$Q$5:$Q$504,"Lunas"))</f>
        <v/>
      </c>
      <c r="E89" s="0" t="str">
        <f aca="false">IF(D89&gt;0,D89,"")</f>
        <v/>
      </c>
    </row>
    <row r="90" customFormat="false" ht="15" hidden="false" customHeight="false" outlineLevel="0" collapsed="false">
      <c r="C90" s="0" t="str">
        <f aca="false">IF('MASTER MENU'!A40="","",'MASTER MENU'!B40)</f>
        <v/>
      </c>
      <c r="D90" s="0" t="str">
        <f aca="false">IF(C90="","",SUMIFS('DETAIL TRANSAKSI'!$E$5:$E$504,'DETAIL TRANSAKSI'!$B$5:$B$504,'MASTER MENU'!A40,'DETAIL TRANSAKSI'!$P$5:$P$504,"&gt;="&amp;DATE(YEAR($B$3),MONTH($B$3),1),'DETAIL TRANSAKSI'!$P$5:$P$504,"&lt;"&amp;EDATE(DATE(YEAR($B$3),MONTH($B$3),1),1),'DETAIL TRANSAKSI'!$Q$5:$Q$504,"Lunas"))</f>
        <v/>
      </c>
      <c r="E90" s="0" t="str">
        <f aca="false">IF(D90&gt;0,D90,"")</f>
        <v/>
      </c>
    </row>
    <row r="91" customFormat="false" ht="15" hidden="false" customHeight="false" outlineLevel="0" collapsed="false">
      <c r="C91" s="0" t="str">
        <f aca="false">IF('MASTER MENU'!A41="","",'MASTER MENU'!B41)</f>
        <v/>
      </c>
      <c r="D91" s="0" t="str">
        <f aca="false">IF(C91="","",SUMIFS('DETAIL TRANSAKSI'!$E$5:$E$504,'DETAIL TRANSAKSI'!$B$5:$B$504,'MASTER MENU'!A41,'DETAIL TRANSAKSI'!$P$5:$P$504,"&gt;="&amp;DATE(YEAR($B$3),MONTH($B$3),1),'DETAIL TRANSAKSI'!$P$5:$P$504,"&lt;"&amp;EDATE(DATE(YEAR($B$3),MONTH($B$3),1),1),'DETAIL TRANSAKSI'!$Q$5:$Q$504,"Lunas"))</f>
        <v/>
      </c>
      <c r="E91" s="0" t="str">
        <f aca="false">IF(D91&gt;0,D91,"")</f>
        <v/>
      </c>
    </row>
    <row r="92" customFormat="false" ht="15" hidden="false" customHeight="false" outlineLevel="0" collapsed="false">
      <c r="C92" s="0" t="str">
        <f aca="false">IF('MASTER MENU'!A42="","",'MASTER MENU'!B42)</f>
        <v/>
      </c>
      <c r="D92" s="0" t="str">
        <f aca="false">IF(C92="","",SUMIFS('DETAIL TRANSAKSI'!$E$5:$E$504,'DETAIL TRANSAKSI'!$B$5:$B$504,'MASTER MENU'!A42,'DETAIL TRANSAKSI'!$P$5:$P$504,"&gt;="&amp;DATE(YEAR($B$3),MONTH($B$3),1),'DETAIL TRANSAKSI'!$P$5:$P$504,"&lt;"&amp;EDATE(DATE(YEAR($B$3),MONTH($B$3),1),1),'DETAIL TRANSAKSI'!$Q$5:$Q$504,"Lunas"))</f>
        <v/>
      </c>
      <c r="E92" s="0" t="str">
        <f aca="false">IF(D92&gt;0,D92,"")</f>
        <v/>
      </c>
    </row>
    <row r="93" customFormat="false" ht="15" hidden="false" customHeight="false" outlineLevel="0" collapsed="false">
      <c r="C93" s="0" t="str">
        <f aca="false">IF('MASTER MENU'!A43="","",'MASTER MENU'!B43)</f>
        <v/>
      </c>
      <c r="D93" s="0" t="str">
        <f aca="false">IF(C93="","",SUMIFS('DETAIL TRANSAKSI'!$E$5:$E$504,'DETAIL TRANSAKSI'!$B$5:$B$504,'MASTER MENU'!A43,'DETAIL TRANSAKSI'!$P$5:$P$504,"&gt;="&amp;DATE(YEAR($B$3),MONTH($B$3),1),'DETAIL TRANSAKSI'!$P$5:$P$504,"&lt;"&amp;EDATE(DATE(YEAR($B$3),MONTH($B$3),1),1),'DETAIL TRANSAKSI'!$Q$5:$Q$504,"Lunas"))</f>
        <v/>
      </c>
      <c r="E93" s="0" t="str">
        <f aca="false">IF(D93&gt;0,D93,"")</f>
        <v/>
      </c>
    </row>
    <row r="94" customFormat="false" ht="15" hidden="false" customHeight="false" outlineLevel="0" collapsed="false">
      <c r="C94" s="0" t="str">
        <f aca="false">IF('MASTER MENU'!A44="","",'MASTER MENU'!B44)</f>
        <v/>
      </c>
      <c r="D94" s="0" t="str">
        <f aca="false">IF(C94="","",SUMIFS('DETAIL TRANSAKSI'!$E$5:$E$504,'DETAIL TRANSAKSI'!$B$5:$B$504,'MASTER MENU'!A44,'DETAIL TRANSAKSI'!$P$5:$P$504,"&gt;="&amp;DATE(YEAR($B$3),MONTH($B$3),1),'DETAIL TRANSAKSI'!$P$5:$P$504,"&lt;"&amp;EDATE(DATE(YEAR($B$3),MONTH($B$3),1),1),'DETAIL TRANSAKSI'!$Q$5:$Q$504,"Lunas"))</f>
        <v/>
      </c>
      <c r="E94" s="0" t="str">
        <f aca="false">IF(D94&gt;0,D94,"")</f>
        <v/>
      </c>
    </row>
    <row r="95" customFormat="false" ht="15" hidden="false" customHeight="false" outlineLevel="0" collapsed="false">
      <c r="C95" s="0" t="str">
        <f aca="false">IF('MASTER MENU'!A45="","",'MASTER MENU'!B45)</f>
        <v/>
      </c>
      <c r="D95" s="0" t="str">
        <f aca="false">IF(C95="","",SUMIFS('DETAIL TRANSAKSI'!$E$5:$E$504,'DETAIL TRANSAKSI'!$B$5:$B$504,'MASTER MENU'!A45,'DETAIL TRANSAKSI'!$P$5:$P$504,"&gt;="&amp;DATE(YEAR($B$3),MONTH($B$3),1),'DETAIL TRANSAKSI'!$P$5:$P$504,"&lt;"&amp;EDATE(DATE(YEAR($B$3),MONTH($B$3),1),1),'DETAIL TRANSAKSI'!$Q$5:$Q$504,"Lunas"))</f>
        <v/>
      </c>
      <c r="E95" s="0" t="str">
        <f aca="false">IF(D95&gt;0,D95,"")</f>
        <v/>
      </c>
    </row>
    <row r="96" customFormat="false" ht="15" hidden="false" customHeight="false" outlineLevel="0" collapsed="false">
      <c r="C96" s="0" t="str">
        <f aca="false">IF('MASTER MENU'!A46="","",'MASTER MENU'!B46)</f>
        <v/>
      </c>
      <c r="D96" s="0" t="str">
        <f aca="false">IF(C96="","",SUMIFS('DETAIL TRANSAKSI'!$E$5:$E$504,'DETAIL TRANSAKSI'!$B$5:$B$504,'MASTER MENU'!A46,'DETAIL TRANSAKSI'!$P$5:$P$504,"&gt;="&amp;DATE(YEAR($B$3),MONTH($B$3),1),'DETAIL TRANSAKSI'!$P$5:$P$504,"&lt;"&amp;EDATE(DATE(YEAR($B$3),MONTH($B$3),1),1),'DETAIL TRANSAKSI'!$Q$5:$Q$504,"Lunas"))</f>
        <v/>
      </c>
      <c r="E96" s="0" t="str">
        <f aca="false">IF(D96&gt;0,D96,"")</f>
        <v/>
      </c>
    </row>
    <row r="97" customFormat="false" ht="15" hidden="false" customHeight="false" outlineLevel="0" collapsed="false">
      <c r="C97" s="0" t="str">
        <f aca="false">IF('MASTER MENU'!A47="","",'MASTER MENU'!B47)</f>
        <v/>
      </c>
      <c r="D97" s="0" t="str">
        <f aca="false">IF(C97="","",SUMIFS('DETAIL TRANSAKSI'!$E$5:$E$504,'DETAIL TRANSAKSI'!$B$5:$B$504,'MASTER MENU'!A47,'DETAIL TRANSAKSI'!$P$5:$P$504,"&gt;="&amp;DATE(YEAR($B$3),MONTH($B$3),1),'DETAIL TRANSAKSI'!$P$5:$P$504,"&lt;"&amp;EDATE(DATE(YEAR($B$3),MONTH($B$3),1),1),'DETAIL TRANSAKSI'!$Q$5:$Q$504,"Lunas"))</f>
        <v/>
      </c>
      <c r="E97" s="0" t="str">
        <f aca="false">IF(D97&gt;0,D97,"")</f>
        <v/>
      </c>
    </row>
    <row r="98" customFormat="false" ht="15" hidden="false" customHeight="false" outlineLevel="0" collapsed="false">
      <c r="C98" s="0" t="str">
        <f aca="false">IF('MASTER MENU'!A48="","",'MASTER MENU'!B48)</f>
        <v/>
      </c>
      <c r="D98" s="0" t="str">
        <f aca="false">IF(C98="","",SUMIFS('DETAIL TRANSAKSI'!$E$5:$E$504,'DETAIL TRANSAKSI'!$B$5:$B$504,'MASTER MENU'!A48,'DETAIL TRANSAKSI'!$P$5:$P$504,"&gt;="&amp;DATE(YEAR($B$3),MONTH($B$3),1),'DETAIL TRANSAKSI'!$P$5:$P$504,"&lt;"&amp;EDATE(DATE(YEAR($B$3),MONTH($B$3),1),1),'DETAIL TRANSAKSI'!$Q$5:$Q$504,"Lunas"))</f>
        <v/>
      </c>
      <c r="E98" s="0" t="str">
        <f aca="false">IF(D98&gt;0,D98,"")</f>
        <v/>
      </c>
    </row>
    <row r="99" customFormat="false" ht="15" hidden="false" customHeight="false" outlineLevel="0" collapsed="false">
      <c r="C99" s="0" t="str">
        <f aca="false">IF('MASTER MENU'!A49="","",'MASTER MENU'!B49)</f>
        <v/>
      </c>
      <c r="D99" s="0" t="str">
        <f aca="false">IF(C99="","",SUMIFS('DETAIL TRANSAKSI'!$E$5:$E$504,'DETAIL TRANSAKSI'!$B$5:$B$504,'MASTER MENU'!A49,'DETAIL TRANSAKSI'!$P$5:$P$504,"&gt;="&amp;DATE(YEAR($B$3),MONTH($B$3),1),'DETAIL TRANSAKSI'!$P$5:$P$504,"&lt;"&amp;EDATE(DATE(YEAR($B$3),MONTH($B$3),1),1),'DETAIL TRANSAKSI'!$Q$5:$Q$504,"Lunas"))</f>
        <v/>
      </c>
      <c r="E99" s="0" t="str">
        <f aca="false">IF(D99&gt;0,D99,"")</f>
        <v/>
      </c>
    </row>
    <row r="100" customFormat="false" ht="15" hidden="false" customHeight="false" outlineLevel="0" collapsed="false">
      <c r="C100" s="0" t="str">
        <f aca="false">IF('MASTER MENU'!A50="","",'MASTER MENU'!B50)</f>
        <v/>
      </c>
      <c r="D100" s="0" t="str">
        <f aca="false">IF(C100="","",SUMIFS('DETAIL TRANSAKSI'!$E$5:$E$504,'DETAIL TRANSAKSI'!$B$5:$B$504,'MASTER MENU'!A50,'DETAIL TRANSAKSI'!$P$5:$P$504,"&gt;="&amp;DATE(YEAR($B$3),MONTH($B$3),1),'DETAIL TRANSAKSI'!$P$5:$P$504,"&lt;"&amp;EDATE(DATE(YEAR($B$3),MONTH($B$3),1),1),'DETAIL TRANSAKSI'!$Q$5:$Q$504,"Lunas"))</f>
        <v/>
      </c>
      <c r="E100" s="0" t="str">
        <f aca="false">IF(D100&gt;0,D100,"")</f>
        <v/>
      </c>
    </row>
    <row r="101" customFormat="false" ht="15" hidden="false" customHeight="false" outlineLevel="0" collapsed="false">
      <c r="C101" s="0" t="str">
        <f aca="false">IF('MASTER MENU'!A51="","",'MASTER MENU'!B51)</f>
        <v/>
      </c>
      <c r="D101" s="0" t="str">
        <f aca="false">IF(C101="","",SUMIFS('DETAIL TRANSAKSI'!$E$5:$E$504,'DETAIL TRANSAKSI'!$B$5:$B$504,'MASTER MENU'!A51,'DETAIL TRANSAKSI'!$P$5:$P$504,"&gt;="&amp;DATE(YEAR($B$3),MONTH($B$3),1),'DETAIL TRANSAKSI'!$P$5:$P$504,"&lt;"&amp;EDATE(DATE(YEAR($B$3),MONTH($B$3),1),1),'DETAIL TRANSAKSI'!$Q$5:$Q$504,"Lunas"))</f>
        <v/>
      </c>
      <c r="E101" s="0" t="str">
        <f aca="false">IF(D101&gt;0,D101,"")</f>
        <v/>
      </c>
    </row>
    <row r="102" customFormat="false" ht="15" hidden="false" customHeight="false" outlineLevel="0" collapsed="false">
      <c r="C102" s="0" t="str">
        <f aca="false">IF('MASTER MENU'!A52="","",'MASTER MENU'!B52)</f>
        <v/>
      </c>
      <c r="D102" s="0" t="str">
        <f aca="false">IF(C102="","",SUMIFS('DETAIL TRANSAKSI'!$E$5:$E$504,'DETAIL TRANSAKSI'!$B$5:$B$504,'MASTER MENU'!A52,'DETAIL TRANSAKSI'!$P$5:$P$504,"&gt;="&amp;DATE(YEAR($B$3),MONTH($B$3),1),'DETAIL TRANSAKSI'!$P$5:$P$504,"&lt;"&amp;EDATE(DATE(YEAR($B$3),MONTH($B$3),1),1),'DETAIL TRANSAKSI'!$Q$5:$Q$504,"Lunas"))</f>
        <v/>
      </c>
      <c r="E102" s="0" t="str">
        <f aca="false">IF(D102&gt;0,D102,"")</f>
        <v/>
      </c>
    </row>
    <row r="103" customFormat="false" ht="15" hidden="false" customHeight="false" outlineLevel="0" collapsed="false">
      <c r="C103" s="0" t="str">
        <f aca="false">IF('MASTER MENU'!A53="","",'MASTER MENU'!B53)</f>
        <v/>
      </c>
      <c r="D103" s="0" t="str">
        <f aca="false">IF(C103="","",SUMIFS('DETAIL TRANSAKSI'!$E$5:$E$504,'DETAIL TRANSAKSI'!$B$5:$B$504,'MASTER MENU'!A53,'DETAIL TRANSAKSI'!$P$5:$P$504,"&gt;="&amp;DATE(YEAR($B$3),MONTH($B$3),1),'DETAIL TRANSAKSI'!$P$5:$P$504,"&lt;"&amp;EDATE(DATE(YEAR($B$3),MONTH($B$3),1),1),'DETAIL TRANSAKSI'!$Q$5:$Q$504,"Lunas"))</f>
        <v/>
      </c>
      <c r="E103" s="0" t="str">
        <f aca="false">IF(D103&gt;0,D103,"")</f>
        <v/>
      </c>
    </row>
    <row r="104" customFormat="false" ht="15" hidden="false" customHeight="false" outlineLevel="0" collapsed="false">
      <c r="C104" s="0" t="str">
        <f aca="false">IF('MASTER MENU'!A54="","",'MASTER MENU'!B54)</f>
        <v/>
      </c>
      <c r="D104" s="0" t="str">
        <f aca="false">IF(C104="","",SUMIFS('DETAIL TRANSAKSI'!$E$5:$E$504,'DETAIL TRANSAKSI'!$B$5:$B$504,'MASTER MENU'!A54,'DETAIL TRANSAKSI'!$P$5:$P$504,"&gt;="&amp;DATE(YEAR($B$3),MONTH($B$3),1),'DETAIL TRANSAKSI'!$P$5:$P$504,"&lt;"&amp;EDATE(DATE(YEAR($B$3),MONTH($B$3),1),1),'DETAIL TRANSAKSI'!$Q$5:$Q$504,"Lunas"))</f>
        <v/>
      </c>
      <c r="E104" s="0" t="str">
        <f aca="false">IF(D104&gt;0,D104,"")</f>
        <v/>
      </c>
    </row>
    <row r="105" customFormat="false" ht="15" hidden="false" customHeight="false" outlineLevel="0" collapsed="false">
      <c r="C105" s="0" t="str">
        <f aca="false">IF('MASTER MENU'!A55="","",'MASTER MENU'!B55)</f>
        <v/>
      </c>
      <c r="D105" s="0" t="str">
        <f aca="false">IF(C105="","",SUMIFS('DETAIL TRANSAKSI'!$E$5:$E$504,'DETAIL TRANSAKSI'!$B$5:$B$504,'MASTER MENU'!A55,'DETAIL TRANSAKSI'!$P$5:$P$504,"&gt;="&amp;DATE(YEAR($B$3),MONTH($B$3),1),'DETAIL TRANSAKSI'!$P$5:$P$504,"&lt;"&amp;EDATE(DATE(YEAR($B$3),MONTH($B$3),1),1),'DETAIL TRANSAKSI'!$Q$5:$Q$504,"Lunas"))</f>
        <v/>
      </c>
      <c r="E105" s="0" t="str">
        <f aca="false">IF(D105&gt;0,D105,"")</f>
        <v/>
      </c>
    </row>
    <row r="106" customFormat="false" ht="15" hidden="false" customHeight="false" outlineLevel="0" collapsed="false">
      <c r="C106" s="0" t="str">
        <f aca="false">IF('MASTER MENU'!A56="","",'MASTER MENU'!B56)</f>
        <v/>
      </c>
      <c r="D106" s="0" t="str">
        <f aca="false">IF(C106="","",SUMIFS('DETAIL TRANSAKSI'!$E$5:$E$504,'DETAIL TRANSAKSI'!$B$5:$B$504,'MASTER MENU'!A56,'DETAIL TRANSAKSI'!$P$5:$P$504,"&gt;="&amp;DATE(YEAR($B$3),MONTH($B$3),1),'DETAIL TRANSAKSI'!$P$5:$P$504,"&lt;"&amp;EDATE(DATE(YEAR($B$3),MONTH($B$3),1),1),'DETAIL TRANSAKSI'!$Q$5:$Q$504,"Lunas"))</f>
        <v/>
      </c>
      <c r="E106" s="0" t="str">
        <f aca="false">IF(D106&gt;0,D106,"")</f>
        <v/>
      </c>
    </row>
    <row r="107" customFormat="false" ht="15" hidden="false" customHeight="false" outlineLevel="0" collapsed="false">
      <c r="C107" s="0" t="str">
        <f aca="false">IF('MASTER MENU'!A57="","",'MASTER MENU'!B57)</f>
        <v/>
      </c>
      <c r="D107" s="0" t="str">
        <f aca="false">IF(C107="","",SUMIFS('DETAIL TRANSAKSI'!$E$5:$E$504,'DETAIL TRANSAKSI'!$B$5:$B$504,'MASTER MENU'!A57,'DETAIL TRANSAKSI'!$P$5:$P$504,"&gt;="&amp;DATE(YEAR($B$3),MONTH($B$3),1),'DETAIL TRANSAKSI'!$P$5:$P$504,"&lt;"&amp;EDATE(DATE(YEAR($B$3),MONTH($B$3),1),1),'DETAIL TRANSAKSI'!$Q$5:$Q$504,"Lunas"))</f>
        <v/>
      </c>
      <c r="E107" s="0" t="str">
        <f aca="false">IF(D107&gt;0,D107,"")</f>
        <v/>
      </c>
    </row>
    <row r="108" customFormat="false" ht="15" hidden="false" customHeight="false" outlineLevel="0" collapsed="false">
      <c r="C108" s="0" t="str">
        <f aca="false">IF('MASTER MENU'!A58="","",'MASTER MENU'!B58)</f>
        <v/>
      </c>
      <c r="D108" s="0" t="str">
        <f aca="false">IF(C108="","",SUMIFS('DETAIL TRANSAKSI'!$E$5:$E$504,'DETAIL TRANSAKSI'!$B$5:$B$504,'MASTER MENU'!A58,'DETAIL TRANSAKSI'!$P$5:$P$504,"&gt;="&amp;DATE(YEAR($B$3),MONTH($B$3),1),'DETAIL TRANSAKSI'!$P$5:$P$504,"&lt;"&amp;EDATE(DATE(YEAR($B$3),MONTH($B$3),1),1),'DETAIL TRANSAKSI'!$Q$5:$Q$504,"Lunas"))</f>
        <v/>
      </c>
      <c r="E108" s="0" t="str">
        <f aca="false">IF(D108&gt;0,D108,"")</f>
        <v/>
      </c>
    </row>
    <row r="109" customFormat="false" ht="15" hidden="false" customHeight="false" outlineLevel="0" collapsed="false">
      <c r="C109" s="0" t="str">
        <f aca="false">IF('MASTER MENU'!A59="","",'MASTER MENU'!B59)</f>
        <v/>
      </c>
      <c r="D109" s="0" t="str">
        <f aca="false">IF(C109="","",SUMIFS('DETAIL TRANSAKSI'!$E$5:$E$504,'DETAIL TRANSAKSI'!$B$5:$B$504,'MASTER MENU'!A59,'DETAIL TRANSAKSI'!$P$5:$P$504,"&gt;="&amp;DATE(YEAR($B$3),MONTH($B$3),1),'DETAIL TRANSAKSI'!$P$5:$P$504,"&lt;"&amp;EDATE(DATE(YEAR($B$3),MONTH($B$3),1),1),'DETAIL TRANSAKSI'!$Q$5:$Q$504,"Lunas"))</f>
        <v/>
      </c>
      <c r="E109" s="0" t="str">
        <f aca="false">IF(D109&gt;0,D109,"")</f>
        <v/>
      </c>
    </row>
    <row r="110" customFormat="false" ht="15" hidden="false" customHeight="false" outlineLevel="0" collapsed="false">
      <c r="C110" s="0" t="str">
        <f aca="false">IF('MASTER MENU'!A60="","",'MASTER MENU'!B60)</f>
        <v/>
      </c>
      <c r="D110" s="0" t="str">
        <f aca="false">IF(C110="","",SUMIFS('DETAIL TRANSAKSI'!$E$5:$E$504,'DETAIL TRANSAKSI'!$B$5:$B$504,'MASTER MENU'!A60,'DETAIL TRANSAKSI'!$P$5:$P$504,"&gt;="&amp;DATE(YEAR($B$3),MONTH($B$3),1),'DETAIL TRANSAKSI'!$P$5:$P$504,"&lt;"&amp;EDATE(DATE(YEAR($B$3),MONTH($B$3),1),1),'DETAIL TRANSAKSI'!$Q$5:$Q$504,"Lunas"))</f>
        <v/>
      </c>
      <c r="E110" s="0" t="str">
        <f aca="false">IF(D110&gt;0,D110,"")</f>
        <v/>
      </c>
    </row>
    <row r="111" customFormat="false" ht="15" hidden="false" customHeight="false" outlineLevel="0" collapsed="false">
      <c r="C111" s="0" t="str">
        <f aca="false">IF('MASTER MENU'!A61="","",'MASTER MENU'!B61)</f>
        <v/>
      </c>
      <c r="D111" s="0" t="str">
        <f aca="false">IF(C111="","",SUMIFS('DETAIL TRANSAKSI'!$E$5:$E$504,'DETAIL TRANSAKSI'!$B$5:$B$504,'MASTER MENU'!A61,'DETAIL TRANSAKSI'!$P$5:$P$504,"&gt;="&amp;DATE(YEAR($B$3),MONTH($B$3),1),'DETAIL TRANSAKSI'!$P$5:$P$504,"&lt;"&amp;EDATE(DATE(YEAR($B$3),MONTH($B$3),1),1),'DETAIL TRANSAKSI'!$Q$5:$Q$504,"Lunas"))</f>
        <v/>
      </c>
      <c r="E111" s="0" t="str">
        <f aca="false">IF(D111&gt;0,D111,"")</f>
        <v/>
      </c>
    </row>
    <row r="112" customFormat="false" ht="15" hidden="false" customHeight="false" outlineLevel="0" collapsed="false">
      <c r="C112" s="0" t="str">
        <f aca="false">IF('MASTER MENU'!A62="","",'MASTER MENU'!B62)</f>
        <v/>
      </c>
      <c r="D112" s="0" t="str">
        <f aca="false">IF(C112="","",SUMIFS('DETAIL TRANSAKSI'!$E$5:$E$504,'DETAIL TRANSAKSI'!$B$5:$B$504,'MASTER MENU'!A62,'DETAIL TRANSAKSI'!$P$5:$P$504,"&gt;="&amp;DATE(YEAR($B$3),MONTH($B$3),1),'DETAIL TRANSAKSI'!$P$5:$P$504,"&lt;"&amp;EDATE(DATE(YEAR($B$3),MONTH($B$3),1),1),'DETAIL TRANSAKSI'!$Q$5:$Q$504,"Lunas"))</f>
        <v/>
      </c>
      <c r="E112" s="0" t="str">
        <f aca="false">IF(D112&gt;0,D112,"")</f>
        <v/>
      </c>
    </row>
    <row r="113" customFormat="false" ht="15" hidden="false" customHeight="false" outlineLevel="0" collapsed="false">
      <c r="C113" s="0" t="str">
        <f aca="false">IF('MASTER MENU'!A63="","",'MASTER MENU'!B63)</f>
        <v/>
      </c>
      <c r="D113" s="0" t="str">
        <f aca="false">IF(C113="","",SUMIFS('DETAIL TRANSAKSI'!$E$5:$E$504,'DETAIL TRANSAKSI'!$B$5:$B$504,'MASTER MENU'!A63,'DETAIL TRANSAKSI'!$P$5:$P$504,"&gt;="&amp;DATE(YEAR($B$3),MONTH($B$3),1),'DETAIL TRANSAKSI'!$P$5:$P$504,"&lt;"&amp;EDATE(DATE(YEAR($B$3),MONTH($B$3),1),1),'DETAIL TRANSAKSI'!$Q$5:$Q$504,"Lunas"))</f>
        <v/>
      </c>
      <c r="E113" s="0" t="str">
        <f aca="false">IF(D113&gt;0,D113,"")</f>
        <v/>
      </c>
    </row>
    <row r="114" customFormat="false" ht="15" hidden="false" customHeight="false" outlineLevel="0" collapsed="false">
      <c r="C114" s="0" t="str">
        <f aca="false">IF('MASTER MENU'!A64="","",'MASTER MENU'!B64)</f>
        <v/>
      </c>
      <c r="D114" s="0" t="str">
        <f aca="false">IF(C114="","",SUMIFS('DETAIL TRANSAKSI'!$E$5:$E$504,'DETAIL TRANSAKSI'!$B$5:$B$504,'MASTER MENU'!A64,'DETAIL TRANSAKSI'!$P$5:$P$504,"&gt;="&amp;DATE(YEAR($B$3),MONTH($B$3),1),'DETAIL TRANSAKSI'!$P$5:$P$504,"&lt;"&amp;EDATE(DATE(YEAR($B$3),MONTH($B$3),1),1),'DETAIL TRANSAKSI'!$Q$5:$Q$504,"Lunas"))</f>
        <v/>
      </c>
      <c r="E114" s="0" t="str">
        <f aca="false">IF(D114&gt;0,D114,"")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4"/>
    <col collapsed="false" customWidth="true" hidden="false" outlineLevel="0" max="3" min="3" style="0" width="19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24"/>
    <col collapsed="false" customWidth="true" hidden="false" outlineLevel="0" max="8" min="7" style="0" width="19"/>
  </cols>
  <sheetData>
    <row r="1" customFormat="false" ht="34" hidden="false" customHeight="true" outlineLevel="0" collapsed="false">
      <c r="A1" s="28" t="s">
        <v>377</v>
      </c>
      <c r="B1" s="28"/>
      <c r="C1" s="28"/>
      <c r="D1" s="28"/>
      <c r="E1" s="28"/>
      <c r="F1" s="28"/>
      <c r="G1" s="45"/>
      <c r="H1" s="45"/>
    </row>
    <row r="2" customFormat="false" ht="15" hidden="false" customHeight="false" outlineLevel="0" collapsed="false">
      <c r="A2" s="29" t="s">
        <v>378</v>
      </c>
      <c r="B2" s="29"/>
      <c r="C2" s="29"/>
      <c r="D2" s="29"/>
      <c r="E2" s="29"/>
      <c r="F2" s="29"/>
      <c r="G2" s="46"/>
      <c r="H2" s="46"/>
    </row>
    <row r="3" customFormat="false" ht="15" hidden="false" customHeight="false" outlineLevel="0" collapsed="false">
      <c r="A3" s="0" t="s">
        <v>379</v>
      </c>
      <c r="B3" s="30" t="n">
        <v>46296</v>
      </c>
      <c r="C3" s="0" t="s">
        <v>380</v>
      </c>
      <c r="D3" s="30" t="n">
        <v>46325</v>
      </c>
      <c r="G3" s="3"/>
      <c r="H3" s="3"/>
    </row>
    <row r="4" customFormat="false" ht="15" hidden="false" customHeight="false" outlineLevel="0" collapsed="false">
      <c r="A4" s="25"/>
      <c r="B4" s="25"/>
      <c r="C4" s="25"/>
      <c r="D4" s="25"/>
      <c r="E4" s="25"/>
      <c r="F4" s="25"/>
      <c r="G4" s="47"/>
      <c r="H4" s="47"/>
    </row>
    <row r="5" customFormat="false" ht="30" hidden="false" customHeight="true" outlineLevel="0" collapsed="false">
      <c r="A5" s="25" t="s">
        <v>342</v>
      </c>
      <c r="B5" s="39" t="n">
        <f aca="false">SUMIFS('TRANSAKSI PENJUALAN'!$H$5:$H$504,'TRANSAKSI PENJUALAN'!$B$5:$B$504,"&gt;="&amp;$B$3,'TRANSAKSI PENJUALAN'!$B$5:$B$504,"&lt;="&amp;$D$3,'TRANSAKSI PENJUALAN'!$M$5:$M$504,"Lunas")</f>
        <v>279000</v>
      </c>
      <c r="C5" s="25"/>
      <c r="D5" s="25"/>
      <c r="E5" s="25"/>
      <c r="F5" s="25"/>
      <c r="G5" s="25"/>
      <c r="H5" s="25"/>
    </row>
    <row r="6" customFormat="false" ht="30" hidden="false" customHeight="true" outlineLevel="0" collapsed="false">
      <c r="A6" s="48" t="s">
        <v>253</v>
      </c>
      <c r="B6" s="49" t="n">
        <f aca="false">SUMIFS('TRANSAKSI PENJUALAN'!$K$5:$K$504,'TRANSAKSI PENJUALAN'!$B$5:$B$504,"&gt;="&amp;$B$3,'TRANSAKSI PENJUALAN'!$B$5:$B$504,"&lt;="&amp;$D$3,'TRANSAKSI PENJUALAN'!$M$5:$M$504,"Lunas")</f>
        <v>272000</v>
      </c>
      <c r="C6" s="25"/>
      <c r="D6" s="25"/>
      <c r="E6" s="25"/>
      <c r="F6" s="25"/>
      <c r="G6" s="25"/>
      <c r="H6" s="25"/>
    </row>
    <row r="7" customFormat="false" ht="30" hidden="false" customHeight="true" outlineLevel="0" collapsed="false">
      <c r="A7" s="25" t="s">
        <v>365</v>
      </c>
      <c r="B7" s="39" t="n">
        <f aca="false">SUMIFS('DETAIL TRANSAKSI'!$L$5:$L$504,'DETAIL TRANSAKSI'!$P$5:$P$504,"&gt;="&amp;$B$3,'DETAIL TRANSAKSI'!$P$5:$P$504,"&lt;="&amp;$D$3,'DETAIL TRANSAKSI'!$Q$5:$Q$504,"Lunas")</f>
        <v>53490</v>
      </c>
      <c r="C7" s="25"/>
      <c r="D7" s="25"/>
      <c r="E7" s="25"/>
      <c r="F7" s="25"/>
      <c r="G7" s="25"/>
      <c r="H7" s="25"/>
    </row>
    <row r="8" customFormat="false" ht="30" hidden="false" customHeight="true" outlineLevel="0" collapsed="false">
      <c r="A8" s="48" t="s">
        <v>168</v>
      </c>
      <c r="B8" s="49" t="n">
        <f aca="false">B6-B7</f>
        <v>218510</v>
      </c>
      <c r="C8" s="25"/>
      <c r="D8" s="25"/>
      <c r="E8" s="25"/>
      <c r="F8" s="25"/>
      <c r="G8" s="25"/>
      <c r="H8" s="25"/>
    </row>
    <row r="9" customFormat="false" ht="30" hidden="false" customHeight="true" outlineLevel="0" collapsed="false">
      <c r="A9" s="25" t="s">
        <v>323</v>
      </c>
      <c r="B9" s="39" t="n">
        <f aca="false">SUMIFS(PENGELUARAN!$E$5:$E$504,PENGELUARAN!$B$5:$B$504,"&gt;="&amp;$B$3,PENGELUARAN!$B$5:$B$504,"&lt;="&amp;$D$3,PENGELUARAN!$I$5:$I$504,"Ya")</f>
        <v>8000</v>
      </c>
      <c r="C9" s="25"/>
      <c r="D9" s="25"/>
      <c r="E9" s="25"/>
      <c r="F9" s="25"/>
      <c r="G9" s="25"/>
      <c r="H9" s="25"/>
    </row>
    <row r="10" customFormat="false" ht="30" hidden="false" customHeight="true" outlineLevel="0" collapsed="false">
      <c r="A10" s="50" t="s">
        <v>348</v>
      </c>
      <c r="B10" s="51" t="n">
        <f aca="false">B8-B9-SUMIFS('PERGERAKAN STOK'!$M$5:$M$504,'PERGERAKAN STOK'!$B$5:$B$504,"&gt;="&amp;$B$3,'PERGERAKAN STOK'!$B$5:$B$504,"&lt;"&amp;($D$3+1))</f>
        <v>210030</v>
      </c>
      <c r="C10" s="25"/>
      <c r="D10" s="25"/>
      <c r="E10" s="25"/>
      <c r="F10" s="25"/>
      <c r="G10" s="25"/>
      <c r="H10" s="25"/>
    </row>
    <row r="11" customFormat="false" ht="30" hidden="false" customHeight="true" outlineLevel="0" collapsed="false">
      <c r="A11" s="25" t="s">
        <v>381</v>
      </c>
      <c r="B11" s="25" t="n">
        <f aca="false">COUNTIFS('TRANSAKSI PENJUALAN'!$B$5:$B$504,"&gt;="&amp;$B$3,'TRANSAKSI PENJUALAN'!$B$5:$B$504,"&lt;="&amp;$D$3,'TRANSAKSI PENJUALAN'!$M$5:$M$504,"Lunas")</f>
        <v>10</v>
      </c>
      <c r="C11" s="25"/>
      <c r="D11" s="25"/>
      <c r="E11" s="25"/>
      <c r="F11" s="25"/>
      <c r="G11" s="25"/>
      <c r="H11" s="25"/>
    </row>
    <row r="12" customFormat="false" ht="30" hidden="false" customHeight="true" outlineLevel="0" collapsed="false">
      <c r="A12" s="25" t="s">
        <v>382</v>
      </c>
      <c r="B12" s="25" t="n">
        <f aca="false">'LAPORAN BULANAN'!B15</f>
        <v>0</v>
      </c>
      <c r="C12" s="25"/>
      <c r="D12" s="25"/>
      <c r="E12" s="25"/>
      <c r="F12" s="25"/>
      <c r="G12" s="25"/>
      <c r="H12" s="25"/>
    </row>
    <row r="13" customFormat="false" ht="30" hidden="false" customHeight="true" outlineLevel="0" collapsed="false">
      <c r="A13" s="25" t="s">
        <v>349</v>
      </c>
      <c r="B13" s="39" t="n">
        <f aca="false">SUMIFS('SHIFT KASIR'!$L$5:$L$504,'SHIFT KASIR'!$B$5:$B$504,"&gt;="&amp;$B$3,'SHIFT KASIR'!$B$5:$B$504,"&lt;="&amp;$D$3)</f>
        <v>0</v>
      </c>
      <c r="C13" s="25"/>
      <c r="D13" s="25"/>
      <c r="E13" s="25"/>
      <c r="F13" s="25"/>
      <c r="G13" s="25"/>
      <c r="H13" s="25"/>
    </row>
    <row r="14" customFormat="false" ht="30" hidden="false" customHeight="true" outlineLevel="0" collapsed="false">
      <c r="A14" s="25" t="s">
        <v>383</v>
      </c>
      <c r="B14" s="25" t="n">
        <f aca="false">COUNTIFS('SHIFT KASIR'!$M$5:$M$504,"Kurang",'SHIFT KASIR'!$B$5:$B$504,"&gt;="&amp;$B$3,'SHIFT KASIR'!$B$5:$B$504,"&lt;="&amp;$D$3)</f>
        <v>0</v>
      </c>
      <c r="C14" s="25"/>
      <c r="D14" s="25"/>
      <c r="E14" s="25"/>
      <c r="F14" s="25"/>
      <c r="G14" s="25"/>
      <c r="H14" s="25"/>
    </row>
    <row r="15" customFormat="false" ht="15" hidden="false" customHeight="false" outlineLevel="0" collapsed="false">
      <c r="A15" s="25"/>
      <c r="B15" s="25"/>
      <c r="C15" s="25"/>
      <c r="D15" s="25"/>
      <c r="E15" s="25"/>
      <c r="F15" s="25"/>
      <c r="G15" s="25"/>
      <c r="H15" s="25"/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25"/>
      <c r="G16" s="25"/>
      <c r="H16" s="25"/>
    </row>
    <row r="17" customFormat="false" ht="30" hidden="false" customHeight="true" outlineLevel="0" collapsed="false">
      <c r="A17" s="38" t="s">
        <v>370</v>
      </c>
      <c r="B17" s="38" t="s">
        <v>253</v>
      </c>
      <c r="C17" s="38" t="s">
        <v>374</v>
      </c>
      <c r="D17" s="25"/>
      <c r="E17" s="38" t="s">
        <v>384</v>
      </c>
      <c r="F17" s="38" t="s">
        <v>372</v>
      </c>
      <c r="G17" s="25" t="s">
        <v>370</v>
      </c>
      <c r="H17" s="25" t="s">
        <v>374</v>
      </c>
    </row>
    <row r="18" customFormat="false" ht="15" hidden="false" customHeight="false" outlineLevel="0" collapsed="false">
      <c r="A18" s="42" t="n">
        <f aca="false">$B$3</f>
        <v>46296</v>
      </c>
      <c r="B18" s="39" t="n">
        <f aca="false">IF(A18="","",SUMIFS('TRANSAKSI PENJUALAN'!$K$5:$K$504,'TRANSAKSI PENJUALAN'!$B$5:$B$504,A18,'TRANSAKSI PENJUALAN'!$M$5:$M$504,"Lunas"))</f>
        <v>0</v>
      </c>
      <c r="C18" s="39" t="n">
        <f aca="false">IF(A18="","",B18-SUMIFS('DETAIL TRANSAKSI'!$L$5:$L$504,'DETAIL TRANSAKSI'!$P$5:$P$504,A18,'DETAIL TRANSAKSI'!$Q$5:$Q$504,"Lunas")-SUMIFS(PENGELUARAN!$E$5:$E$504,PENGELUARAN!$B$5:$B$504,A18,PENGELUARAN!$I$5:$I$504,"Ya")-SUMIFS('PERGERAKAN STOK'!$M$5:$M$504,'PERGERAKAN STOK'!$B$5:$B$504,"&gt;="&amp;A18,'PERGERAKAN STOK'!$B$5:$B$504,"&lt;"&amp;(A18+1)))</f>
        <v>0</v>
      </c>
      <c r="D18" s="25"/>
      <c r="E18" s="25" t="s">
        <v>262</v>
      </c>
      <c r="F18" s="39" t="n">
        <f aca="false">SUMIFS('TRANSAKSI PENJUALAN'!$K$5:$K$504,'TRANSAKSI PENJUALAN'!$L$5:$L$504,E18,'TRANSAKSI PENJUALAN'!$B$5:$B$504,"&gt;="&amp;$B$3,'TRANSAKSI PENJUALAN'!$B$5:$B$504,"&lt;="&amp;$D$3,'TRANSAKSI PENJUALAN'!$M$5:$M$504,"Lunas")</f>
        <v>122000</v>
      </c>
      <c r="G18" s="25" t="n">
        <f aca="false">A18</f>
        <v>46296</v>
      </c>
      <c r="H18" s="25" t="n">
        <f aca="false">C18</f>
        <v>0</v>
      </c>
    </row>
    <row r="19" customFormat="false" ht="15" hidden="false" customHeight="false" outlineLevel="0" collapsed="false">
      <c r="A19" s="42" t="n">
        <f aca="false">IF(A18&lt;$D$3,A18+1,"")</f>
        <v>46297</v>
      </c>
      <c r="B19" s="39" t="n">
        <f aca="false">IF(A19="","",SUMIFS('TRANSAKSI PENJUALAN'!$K$5:$K$504,'TRANSAKSI PENJUALAN'!$B$5:$B$504,A19,'TRANSAKSI PENJUALAN'!$M$5:$M$504,"Lunas"))</f>
        <v>0</v>
      </c>
      <c r="C19" s="39" t="n">
        <f aca="false">IF(A19="","",B19-SUMIFS('DETAIL TRANSAKSI'!$L$5:$L$504,'DETAIL TRANSAKSI'!$P$5:$P$504,A19,'DETAIL TRANSAKSI'!$Q$5:$Q$504,"Lunas")-SUMIFS(PENGELUARAN!$E$5:$E$504,PENGELUARAN!$B$5:$B$504,A19,PENGELUARAN!$I$5:$I$504,"Ya")-SUMIFS('PERGERAKAN STOK'!$M$5:$M$504,'PERGERAKAN STOK'!$B$5:$B$504,"&gt;="&amp;A19,'PERGERAKAN STOK'!$B$5:$B$504,"&lt;"&amp;(A19+1)))</f>
        <v>0</v>
      </c>
      <c r="D19" s="25"/>
      <c r="E19" s="25" t="s">
        <v>268</v>
      </c>
      <c r="F19" s="39" t="n">
        <f aca="false">SUMIFS('TRANSAKSI PENJUALAN'!$K$5:$K$504,'TRANSAKSI PENJUALAN'!$L$5:$L$504,E19,'TRANSAKSI PENJUALAN'!$B$5:$B$504,"&gt;="&amp;$B$3,'TRANSAKSI PENJUALAN'!$B$5:$B$504,"&lt;="&amp;$D$3,'TRANSAKSI PENJUALAN'!$M$5:$M$504,"Lunas")</f>
        <v>73000</v>
      </c>
      <c r="G19" s="25" t="n">
        <f aca="false">A19</f>
        <v>46297</v>
      </c>
      <c r="H19" s="25" t="n">
        <f aca="false">C19</f>
        <v>0</v>
      </c>
    </row>
    <row r="20" customFormat="false" ht="15" hidden="false" customHeight="false" outlineLevel="0" collapsed="false">
      <c r="A20" s="42" t="n">
        <f aca="false">IF(A19&lt;$D$3,A19+1,"")</f>
        <v>46298</v>
      </c>
      <c r="B20" s="39" t="n">
        <f aca="false">IF(A20="","",SUMIFS('TRANSAKSI PENJUALAN'!$K$5:$K$504,'TRANSAKSI PENJUALAN'!$B$5:$B$504,A20,'TRANSAKSI PENJUALAN'!$M$5:$M$504,"Lunas"))</f>
        <v>0</v>
      </c>
      <c r="C20" s="39" t="n">
        <f aca="false">IF(A20="","",B20-SUMIFS('DETAIL TRANSAKSI'!$L$5:$L$504,'DETAIL TRANSAKSI'!$P$5:$P$504,A20,'DETAIL TRANSAKSI'!$Q$5:$Q$504,"Lunas")-SUMIFS(PENGELUARAN!$E$5:$E$504,PENGELUARAN!$B$5:$B$504,A20,PENGELUARAN!$I$5:$I$504,"Ya")-SUMIFS('PERGERAKAN STOK'!$M$5:$M$504,'PERGERAKAN STOK'!$B$5:$B$504,"&gt;="&amp;A20,'PERGERAKAN STOK'!$B$5:$B$504,"&lt;"&amp;(A20+1)))</f>
        <v>0</v>
      </c>
      <c r="D20" s="25"/>
      <c r="E20" s="25" t="s">
        <v>270</v>
      </c>
      <c r="F20" s="39" t="n">
        <f aca="false">SUMIFS('TRANSAKSI PENJUALAN'!$K$5:$K$504,'TRANSAKSI PENJUALAN'!$L$5:$L$504,E20,'TRANSAKSI PENJUALAN'!$B$5:$B$504,"&gt;="&amp;$B$3,'TRANSAKSI PENJUALAN'!$B$5:$B$504,"&lt;="&amp;$D$3,'TRANSAKSI PENJUALAN'!$M$5:$M$504,"Lunas")</f>
        <v>77000</v>
      </c>
      <c r="G20" s="25" t="n">
        <f aca="false">A20</f>
        <v>46298</v>
      </c>
      <c r="H20" s="25" t="n">
        <f aca="false">C20</f>
        <v>0</v>
      </c>
    </row>
    <row r="21" customFormat="false" ht="15" hidden="false" customHeight="false" outlineLevel="0" collapsed="false">
      <c r="A21" s="42" t="n">
        <f aca="false">IF(A20&lt;$D$3,A20+1,"")</f>
        <v>46299</v>
      </c>
      <c r="B21" s="39" t="n">
        <f aca="false">IF(A21="","",SUMIFS('TRANSAKSI PENJUALAN'!$K$5:$K$504,'TRANSAKSI PENJUALAN'!$B$5:$B$504,A21,'TRANSAKSI PENJUALAN'!$M$5:$M$504,"Lunas"))</f>
        <v>0</v>
      </c>
      <c r="C21" s="39" t="n">
        <f aca="false">IF(A21="","",B21-SUMIFS('DETAIL TRANSAKSI'!$L$5:$L$504,'DETAIL TRANSAKSI'!$P$5:$P$504,A21,'DETAIL TRANSAKSI'!$Q$5:$Q$504,"Lunas")-SUMIFS(PENGELUARAN!$E$5:$E$504,PENGELUARAN!$B$5:$B$504,A21,PENGELUARAN!$I$5:$I$504,"Ya")-SUMIFS('PERGERAKAN STOK'!$M$5:$M$504,'PERGERAKAN STOK'!$B$5:$B$504,"&gt;="&amp;A21,'PERGERAKAN STOK'!$B$5:$B$504,"&lt;"&amp;(A21+1)))</f>
        <v>0</v>
      </c>
      <c r="D21" s="25"/>
      <c r="E21" s="25" t="s">
        <v>358</v>
      </c>
      <c r="F21" s="39" t="n">
        <f aca="false">SUMIFS('TRANSAKSI PENJUALAN'!$K$5:$K$504,'TRANSAKSI PENJUALAN'!$L$5:$L$504,E21,'TRANSAKSI PENJUALAN'!$B$5:$B$504,"&gt;="&amp;$B$3,'TRANSAKSI PENJUALAN'!$B$5:$B$504,"&lt;="&amp;$D$3,'TRANSAKSI PENJUALAN'!$M$5:$M$504,"Lunas")</f>
        <v>0</v>
      </c>
      <c r="G21" s="25" t="n">
        <f aca="false">A21</f>
        <v>46299</v>
      </c>
      <c r="H21" s="25" t="n">
        <f aca="false">C21</f>
        <v>0</v>
      </c>
    </row>
    <row r="22" customFormat="false" ht="15" hidden="false" customHeight="false" outlineLevel="0" collapsed="false">
      <c r="A22" s="42" t="n">
        <f aca="false">IF(A21&lt;$D$3,A21+1,"")</f>
        <v>46300</v>
      </c>
      <c r="B22" s="39" t="n">
        <f aca="false">IF(A22="","",SUMIFS('TRANSAKSI PENJUALAN'!$K$5:$K$504,'TRANSAKSI PENJUALAN'!$B$5:$B$504,A22,'TRANSAKSI PENJUALAN'!$M$5:$M$504,"Lunas"))</f>
        <v>0</v>
      </c>
      <c r="C22" s="39" t="n">
        <f aca="false">IF(A22="","",B22-SUMIFS('DETAIL TRANSAKSI'!$L$5:$L$504,'DETAIL TRANSAKSI'!$P$5:$P$504,A22,'DETAIL TRANSAKSI'!$Q$5:$Q$504,"Lunas")-SUMIFS(PENGELUARAN!$E$5:$E$504,PENGELUARAN!$B$5:$B$504,A22,PENGELUARAN!$I$5:$I$504,"Ya")-SUMIFS('PERGERAKAN STOK'!$M$5:$M$504,'PERGERAKAN STOK'!$B$5:$B$504,"&gt;="&amp;A22,'PERGERAKAN STOK'!$B$5:$B$504,"&lt;"&amp;(A22+1)))</f>
        <v>0</v>
      </c>
      <c r="D22" s="25"/>
      <c r="E22" s="25" t="s">
        <v>316</v>
      </c>
      <c r="F22" s="39" t="n">
        <f aca="false">SUMIFS('TRANSAKSI PENJUALAN'!$K$5:$K$504,'TRANSAKSI PENJUALAN'!$L$5:$L$504,E22,'TRANSAKSI PENJUALAN'!$B$5:$B$504,"&gt;="&amp;$B$3,'TRANSAKSI PENJUALAN'!$B$5:$B$504,"&lt;="&amp;$D$3,'TRANSAKSI PENJUALAN'!$M$5:$M$504,"Lunas")</f>
        <v>0</v>
      </c>
      <c r="G22" s="25" t="n">
        <f aca="false">A22</f>
        <v>46300</v>
      </c>
      <c r="H22" s="25" t="n">
        <f aca="false">C22</f>
        <v>0</v>
      </c>
    </row>
    <row r="23" customFormat="false" ht="15" hidden="false" customHeight="false" outlineLevel="0" collapsed="false">
      <c r="A23" s="42" t="n">
        <f aca="false">IF(A22&lt;$D$3,A22+1,"")</f>
        <v>46301</v>
      </c>
      <c r="B23" s="39" t="n">
        <f aca="false">IF(A23="","",SUMIFS('TRANSAKSI PENJUALAN'!$K$5:$K$504,'TRANSAKSI PENJUALAN'!$B$5:$B$504,A23,'TRANSAKSI PENJUALAN'!$M$5:$M$504,"Lunas"))</f>
        <v>0</v>
      </c>
      <c r="C23" s="39" t="n">
        <f aca="false">IF(A23="","",B23-SUMIFS('DETAIL TRANSAKSI'!$L$5:$L$504,'DETAIL TRANSAKSI'!$P$5:$P$504,A23,'DETAIL TRANSAKSI'!$Q$5:$Q$504,"Lunas")-SUMIFS(PENGELUARAN!$E$5:$E$504,PENGELUARAN!$B$5:$B$504,A23,PENGELUARAN!$I$5:$I$504,"Ya")-SUMIFS('PERGERAKAN STOK'!$M$5:$M$504,'PERGERAKAN STOK'!$B$5:$B$504,"&gt;="&amp;A23,'PERGERAKAN STOK'!$B$5:$B$504,"&lt;"&amp;(A23+1)))</f>
        <v>0</v>
      </c>
      <c r="D23" s="25"/>
      <c r="E23" s="25" t="s">
        <v>359</v>
      </c>
      <c r="F23" s="39" t="n">
        <f aca="false">SUMIFS('TRANSAKSI PENJUALAN'!$K$5:$K$504,'TRANSAKSI PENJUALAN'!$L$5:$L$504,E23,'TRANSAKSI PENJUALAN'!$B$5:$B$504,"&gt;="&amp;$B$3,'TRANSAKSI PENJUALAN'!$B$5:$B$504,"&lt;="&amp;$D$3,'TRANSAKSI PENJUALAN'!$M$5:$M$504,"Lunas")</f>
        <v>0</v>
      </c>
      <c r="G23" s="25" t="n">
        <f aca="false">A23</f>
        <v>46301</v>
      </c>
      <c r="H23" s="25" t="n">
        <f aca="false">C23</f>
        <v>0</v>
      </c>
    </row>
    <row r="24" customFormat="false" ht="15" hidden="false" customHeight="false" outlineLevel="0" collapsed="false">
      <c r="A24" s="42" t="n">
        <f aca="false">IF(A23&lt;$D$3,A23+1,"")</f>
        <v>46302</v>
      </c>
      <c r="B24" s="39" t="n">
        <f aca="false">IF(A24="","",SUMIFS('TRANSAKSI PENJUALAN'!$K$5:$K$504,'TRANSAKSI PENJUALAN'!$B$5:$B$504,A24,'TRANSAKSI PENJUALAN'!$M$5:$M$504,"Lunas"))</f>
        <v>0</v>
      </c>
      <c r="C24" s="39" t="n">
        <f aca="false">IF(A24="","",B24-SUMIFS('DETAIL TRANSAKSI'!$L$5:$L$504,'DETAIL TRANSAKSI'!$P$5:$P$504,A24,'DETAIL TRANSAKSI'!$Q$5:$Q$504,"Lunas")-SUMIFS(PENGELUARAN!$E$5:$E$504,PENGELUARAN!$B$5:$B$504,A24,PENGELUARAN!$I$5:$I$504,"Ya")-SUMIFS('PERGERAKAN STOK'!$M$5:$M$504,'PERGERAKAN STOK'!$B$5:$B$504,"&gt;="&amp;A24,'PERGERAKAN STOK'!$B$5:$B$504,"&lt;"&amp;(A24+1)))</f>
        <v>0</v>
      </c>
      <c r="D24" s="25"/>
      <c r="E24" s="25"/>
      <c r="F24" s="25"/>
      <c r="G24" s="25" t="n">
        <f aca="false">A24</f>
        <v>46302</v>
      </c>
      <c r="H24" s="25" t="n">
        <f aca="false">C24</f>
        <v>0</v>
      </c>
    </row>
    <row r="25" customFormat="false" ht="15" hidden="false" customHeight="false" outlineLevel="0" collapsed="false">
      <c r="A25" s="42" t="n">
        <f aca="false">IF(A24&lt;$D$3,A24+1,"")</f>
        <v>46303</v>
      </c>
      <c r="B25" s="39" t="n">
        <f aca="false">IF(A25="","",SUMIFS('TRANSAKSI PENJUALAN'!$K$5:$K$504,'TRANSAKSI PENJUALAN'!$B$5:$B$504,A25,'TRANSAKSI PENJUALAN'!$M$5:$M$504,"Lunas"))</f>
        <v>0</v>
      </c>
      <c r="C25" s="39" t="n">
        <f aca="false">IF(A25="","",B25-SUMIFS('DETAIL TRANSAKSI'!$L$5:$L$504,'DETAIL TRANSAKSI'!$P$5:$P$504,A25,'DETAIL TRANSAKSI'!$Q$5:$Q$504,"Lunas")-SUMIFS(PENGELUARAN!$E$5:$E$504,PENGELUARAN!$B$5:$B$504,A25,PENGELUARAN!$I$5:$I$504,"Ya")-SUMIFS('PERGERAKAN STOK'!$M$5:$M$504,'PERGERAKAN STOK'!$B$5:$B$504,"&gt;="&amp;A25,'PERGERAKAN STOK'!$B$5:$B$504,"&lt;"&amp;(A25+1)))</f>
        <v>0</v>
      </c>
      <c r="D25" s="25"/>
      <c r="E25" s="25" t="s">
        <v>350</v>
      </c>
      <c r="F25" s="25" t="str">
        <f aca="false">IF(MAX(F28:F87)=0,"Belum ada",INDEX(E28:E87,MATCH(MAX(F28:F87),F28:F87,0)))</f>
        <v>Kopi Susu Gula Aren</v>
      </c>
      <c r="G25" s="25" t="n">
        <f aca="false">A25</f>
        <v>46303</v>
      </c>
      <c r="H25" s="25" t="n">
        <f aca="false">C25</f>
        <v>0</v>
      </c>
    </row>
    <row r="26" customFormat="false" ht="15" hidden="false" customHeight="false" outlineLevel="0" collapsed="false">
      <c r="A26" s="42" t="n">
        <f aca="false">IF(A25&lt;$D$3,A25+1,"")</f>
        <v>46304</v>
      </c>
      <c r="B26" s="39" t="n">
        <f aca="false">IF(A26="","",SUMIFS('TRANSAKSI PENJUALAN'!$K$5:$K$504,'TRANSAKSI PENJUALAN'!$B$5:$B$504,A26,'TRANSAKSI PENJUALAN'!$M$5:$M$504,"Lunas"))</f>
        <v>0</v>
      </c>
      <c r="C26" s="39" t="n">
        <f aca="false">IF(A26="","",B26-SUMIFS('DETAIL TRANSAKSI'!$L$5:$L$504,'DETAIL TRANSAKSI'!$P$5:$P$504,A26,'DETAIL TRANSAKSI'!$Q$5:$Q$504,"Lunas")-SUMIFS(PENGELUARAN!$E$5:$E$504,PENGELUARAN!$B$5:$B$504,A26,PENGELUARAN!$I$5:$I$504,"Ya")-SUMIFS('PERGERAKAN STOK'!$M$5:$M$504,'PERGERAKAN STOK'!$B$5:$B$504,"&gt;="&amp;A26,'PERGERAKAN STOK'!$B$5:$B$504,"&lt;"&amp;(A26+1)))</f>
        <v>0</v>
      </c>
      <c r="D26" s="25"/>
      <c r="E26" s="25"/>
      <c r="F26" s="25"/>
      <c r="G26" s="25" t="n">
        <f aca="false">A26</f>
        <v>46304</v>
      </c>
      <c r="H26" s="25" t="n">
        <f aca="false">C26</f>
        <v>0</v>
      </c>
    </row>
    <row r="27" customFormat="false" ht="30" hidden="false" customHeight="true" outlineLevel="0" collapsed="false">
      <c r="A27" s="42" t="n">
        <f aca="false">IF(A26&lt;$D$3,A26+1,"")</f>
        <v>46305</v>
      </c>
      <c r="B27" s="39" t="n">
        <f aca="false">IF(A27="","",SUMIFS('TRANSAKSI PENJUALAN'!$K$5:$K$504,'TRANSAKSI PENJUALAN'!$B$5:$B$504,A27,'TRANSAKSI PENJUALAN'!$M$5:$M$504,"Lunas"))</f>
        <v>0</v>
      </c>
      <c r="C27" s="39" t="n">
        <f aca="false">IF(A27="","",B27-SUMIFS('DETAIL TRANSAKSI'!$L$5:$L$504,'DETAIL TRANSAKSI'!$P$5:$P$504,A27,'DETAIL TRANSAKSI'!$Q$5:$Q$504,"Lunas")-SUMIFS(PENGELUARAN!$E$5:$E$504,PENGELUARAN!$B$5:$B$504,A27,PENGELUARAN!$I$5:$I$504,"Ya")-SUMIFS('PERGERAKAN STOK'!$M$5:$M$504,'PERGERAKAN STOK'!$B$5:$B$504,"&gt;="&amp;A27,'PERGERAKAN STOK'!$B$5:$B$504,"&lt;"&amp;(A27+1)))</f>
        <v>0</v>
      </c>
      <c r="D27" s="25"/>
      <c r="E27" s="38" t="s">
        <v>375</v>
      </c>
      <c r="F27" s="38" t="s">
        <v>385</v>
      </c>
      <c r="G27" s="25" t="n">
        <f aca="false">A27</f>
        <v>46305</v>
      </c>
      <c r="H27" s="25" t="n">
        <f aca="false">C27</f>
        <v>0</v>
      </c>
    </row>
    <row r="28" customFormat="false" ht="15" hidden="false" customHeight="false" outlineLevel="0" collapsed="false">
      <c r="A28" s="42" t="n">
        <f aca="false">IF(A27&lt;$D$3,A27+1,"")</f>
        <v>46306</v>
      </c>
      <c r="B28" s="39" t="n">
        <f aca="false">IF(A28="","",SUMIFS('TRANSAKSI PENJUALAN'!$K$5:$K$504,'TRANSAKSI PENJUALAN'!$B$5:$B$504,A28,'TRANSAKSI PENJUALAN'!$M$5:$M$504,"Lunas"))</f>
        <v>0</v>
      </c>
      <c r="C28" s="39" t="n">
        <f aca="false">IF(A28="","",B28-SUMIFS('DETAIL TRANSAKSI'!$L$5:$L$504,'DETAIL TRANSAKSI'!$P$5:$P$504,A28,'DETAIL TRANSAKSI'!$Q$5:$Q$504,"Lunas")-SUMIFS(PENGELUARAN!$E$5:$E$504,PENGELUARAN!$B$5:$B$504,A28,PENGELUARAN!$I$5:$I$504,"Ya")-SUMIFS('PERGERAKAN STOK'!$M$5:$M$504,'PERGERAKAN STOK'!$B$5:$B$504,"&gt;="&amp;A28,'PERGERAKAN STOK'!$B$5:$B$504,"&lt;"&amp;(A28+1)))</f>
        <v>0</v>
      </c>
      <c r="D28" s="25"/>
      <c r="E28" s="25" t="str">
        <f aca="false">IF('MASTER MENU'!A5="","",'MASTER MENU'!B5)</f>
        <v>Kopi Susu Gula Aren</v>
      </c>
      <c r="F28" s="25" t="n">
        <f aca="false">IF(E28="","",SUMIFS('DETAIL TRANSAKSI'!$E$5:$E$504,'DETAIL TRANSAKSI'!$B$5:$B$504,'MASTER MENU'!A5,'DETAIL TRANSAKSI'!$P$5:$P$504,"&gt;="&amp;$B$3,'DETAIL TRANSAKSI'!$P$5:$P$504,"&lt;="&amp;$D$3,'DETAIL TRANSAKSI'!$Q$5:$Q$504,"Lunas"))</f>
        <v>1</v>
      </c>
      <c r="G28" s="25" t="n">
        <f aca="false">A28</f>
        <v>46306</v>
      </c>
      <c r="H28" s="25" t="n">
        <f aca="false">C28</f>
        <v>0</v>
      </c>
    </row>
    <row r="29" customFormat="false" ht="15" hidden="false" customHeight="false" outlineLevel="0" collapsed="false">
      <c r="A29" s="42" t="n">
        <f aca="false">IF(A28&lt;$D$3,A28+1,"")</f>
        <v>46307</v>
      </c>
      <c r="B29" s="39" t="n">
        <f aca="false">IF(A29="","",SUMIFS('TRANSAKSI PENJUALAN'!$K$5:$K$504,'TRANSAKSI PENJUALAN'!$B$5:$B$504,A29,'TRANSAKSI PENJUALAN'!$M$5:$M$504,"Lunas"))</f>
        <v>0</v>
      </c>
      <c r="C29" s="39" t="n">
        <f aca="false">IF(A29="","",B29-SUMIFS('DETAIL TRANSAKSI'!$L$5:$L$504,'DETAIL TRANSAKSI'!$P$5:$P$504,A29,'DETAIL TRANSAKSI'!$Q$5:$Q$504,"Lunas")-SUMIFS(PENGELUARAN!$E$5:$E$504,PENGELUARAN!$B$5:$B$504,A29,PENGELUARAN!$I$5:$I$504,"Ya")-SUMIFS('PERGERAKAN STOK'!$M$5:$M$504,'PERGERAKAN STOK'!$B$5:$B$504,"&gt;="&amp;A29,'PERGERAKAN STOK'!$B$5:$B$504,"&lt;"&amp;(A29+1)))</f>
        <v>0</v>
      </c>
      <c r="D29" s="25"/>
      <c r="E29" s="25" t="str">
        <f aca="false">IF('MASTER MENU'!A6="","",'MASTER MENU'!B6)</f>
        <v>Americano</v>
      </c>
      <c r="F29" s="25" t="n">
        <f aca="false">IF(E29="","",SUMIFS('DETAIL TRANSAKSI'!$E$5:$E$504,'DETAIL TRANSAKSI'!$B$5:$B$504,'MASTER MENU'!A6,'DETAIL TRANSAKSI'!$P$5:$P$504,"&gt;="&amp;$B$3,'DETAIL TRANSAKSI'!$P$5:$P$504,"&lt;="&amp;$D$3,'DETAIL TRANSAKSI'!$Q$5:$Q$504,"Lunas"))</f>
        <v>1</v>
      </c>
      <c r="G29" s="25" t="n">
        <f aca="false">A29</f>
        <v>46307</v>
      </c>
      <c r="H29" s="25" t="n">
        <f aca="false">C29</f>
        <v>0</v>
      </c>
    </row>
    <row r="30" customFormat="false" ht="15" hidden="false" customHeight="false" outlineLevel="0" collapsed="false">
      <c r="A30" s="42" t="n">
        <f aca="false">IF(A29&lt;$D$3,A29+1,"")</f>
        <v>46308</v>
      </c>
      <c r="B30" s="39" t="n">
        <f aca="false">IF(A30="","",SUMIFS('TRANSAKSI PENJUALAN'!$K$5:$K$504,'TRANSAKSI PENJUALAN'!$B$5:$B$504,A30,'TRANSAKSI PENJUALAN'!$M$5:$M$504,"Lunas"))</f>
        <v>0</v>
      </c>
      <c r="C30" s="39" t="n">
        <f aca="false">IF(A30="","",B30-SUMIFS('DETAIL TRANSAKSI'!$L$5:$L$504,'DETAIL TRANSAKSI'!$P$5:$P$504,A30,'DETAIL TRANSAKSI'!$Q$5:$Q$504,"Lunas")-SUMIFS(PENGELUARAN!$E$5:$E$504,PENGELUARAN!$B$5:$B$504,A30,PENGELUARAN!$I$5:$I$504,"Ya")-SUMIFS('PERGERAKAN STOK'!$M$5:$M$504,'PERGERAKAN STOK'!$B$5:$B$504,"&gt;="&amp;A30,'PERGERAKAN STOK'!$B$5:$B$504,"&lt;"&amp;(A30+1)))</f>
        <v>0</v>
      </c>
      <c r="D30" s="25"/>
      <c r="E30" s="25" t="str">
        <f aca="false">IF('MASTER MENU'!A7="","",'MASTER MENU'!B7)</f>
        <v>Latte</v>
      </c>
      <c r="F30" s="25" t="n">
        <f aca="false">IF(E30="","",SUMIFS('DETAIL TRANSAKSI'!$E$5:$E$504,'DETAIL TRANSAKSI'!$B$5:$B$504,'MASTER MENU'!A7,'DETAIL TRANSAKSI'!$P$5:$P$504,"&gt;="&amp;$B$3,'DETAIL TRANSAKSI'!$P$5:$P$504,"&lt;="&amp;$D$3,'DETAIL TRANSAKSI'!$Q$5:$Q$504,"Lunas"))</f>
        <v>1</v>
      </c>
      <c r="G30" s="25" t="n">
        <f aca="false">A30</f>
        <v>46308</v>
      </c>
      <c r="H30" s="25" t="n">
        <f aca="false">C30</f>
        <v>0</v>
      </c>
    </row>
    <row r="31" customFormat="false" ht="15" hidden="false" customHeight="false" outlineLevel="0" collapsed="false">
      <c r="A31" s="42" t="n">
        <f aca="false">IF(A30&lt;$D$3,A30+1,"")</f>
        <v>46309</v>
      </c>
      <c r="B31" s="39" t="n">
        <f aca="false">IF(A31="","",SUMIFS('TRANSAKSI PENJUALAN'!$K$5:$K$504,'TRANSAKSI PENJUALAN'!$B$5:$B$504,A31,'TRANSAKSI PENJUALAN'!$M$5:$M$504,"Lunas"))</f>
        <v>0</v>
      </c>
      <c r="C31" s="39" t="n">
        <f aca="false">IF(A31="","",B31-SUMIFS('DETAIL TRANSAKSI'!$L$5:$L$504,'DETAIL TRANSAKSI'!$P$5:$P$504,A31,'DETAIL TRANSAKSI'!$Q$5:$Q$504,"Lunas")-SUMIFS(PENGELUARAN!$E$5:$E$504,PENGELUARAN!$B$5:$B$504,A31,PENGELUARAN!$I$5:$I$504,"Ya")-SUMIFS('PERGERAKAN STOK'!$M$5:$M$504,'PERGERAKAN STOK'!$B$5:$B$504,"&gt;="&amp;A31,'PERGERAKAN STOK'!$B$5:$B$504,"&lt;"&amp;(A31+1)))</f>
        <v>0</v>
      </c>
      <c r="D31" s="25"/>
      <c r="E31" s="25" t="str">
        <f aca="false">IF('MASTER MENU'!A8="","",'MASTER MENU'!B8)</f>
        <v>Matcha Latte</v>
      </c>
      <c r="F31" s="25" t="n">
        <f aca="false">IF(E31="","",SUMIFS('DETAIL TRANSAKSI'!$E$5:$E$504,'DETAIL TRANSAKSI'!$B$5:$B$504,'MASTER MENU'!A8,'DETAIL TRANSAKSI'!$P$5:$P$504,"&gt;="&amp;$B$3,'DETAIL TRANSAKSI'!$P$5:$P$504,"&lt;="&amp;$D$3,'DETAIL TRANSAKSI'!$Q$5:$Q$504,"Lunas"))</f>
        <v>1</v>
      </c>
      <c r="G31" s="25" t="n">
        <f aca="false">A31</f>
        <v>46309</v>
      </c>
      <c r="H31" s="25" t="n">
        <f aca="false">C31</f>
        <v>0</v>
      </c>
    </row>
    <row r="32" customFormat="false" ht="15" hidden="false" customHeight="false" outlineLevel="0" collapsed="false">
      <c r="A32" s="42" t="n">
        <f aca="false">IF(A31&lt;$D$3,A31+1,"")</f>
        <v>46310</v>
      </c>
      <c r="B32" s="39" t="n">
        <f aca="false">IF(A32="","",SUMIFS('TRANSAKSI PENJUALAN'!$K$5:$K$504,'TRANSAKSI PENJUALAN'!$B$5:$B$504,A32,'TRANSAKSI PENJUALAN'!$M$5:$M$504,"Lunas"))</f>
        <v>0</v>
      </c>
      <c r="C32" s="39" t="n">
        <f aca="false">IF(A32="","",B32-SUMIFS('DETAIL TRANSAKSI'!$L$5:$L$504,'DETAIL TRANSAKSI'!$P$5:$P$504,A32,'DETAIL TRANSAKSI'!$Q$5:$Q$504,"Lunas")-SUMIFS(PENGELUARAN!$E$5:$E$504,PENGELUARAN!$B$5:$B$504,A32,PENGELUARAN!$I$5:$I$504,"Ya")-SUMIFS('PERGERAKAN STOK'!$M$5:$M$504,'PERGERAKAN STOK'!$B$5:$B$504,"&gt;="&amp;A32,'PERGERAKAN STOK'!$B$5:$B$504,"&lt;"&amp;(A32+1)))</f>
        <v>0</v>
      </c>
      <c r="D32" s="25"/>
      <c r="E32" s="25" t="str">
        <f aca="false">IF('MASTER MENU'!A9="","",'MASTER MENU'!B9)</f>
        <v>Teh Lemon</v>
      </c>
      <c r="F32" s="25" t="n">
        <f aca="false">IF(E32="","",SUMIFS('DETAIL TRANSAKSI'!$E$5:$E$504,'DETAIL TRANSAKSI'!$B$5:$B$504,'MASTER MENU'!A9,'DETAIL TRANSAKSI'!$P$5:$P$504,"&gt;="&amp;$B$3,'DETAIL TRANSAKSI'!$P$5:$P$504,"&lt;="&amp;$D$3,'DETAIL TRANSAKSI'!$Q$5:$Q$504,"Lunas"))</f>
        <v>1</v>
      </c>
      <c r="G32" s="25" t="n">
        <f aca="false">A32</f>
        <v>46310</v>
      </c>
      <c r="H32" s="25" t="n">
        <f aca="false">C32</f>
        <v>0</v>
      </c>
    </row>
    <row r="33" customFormat="false" ht="15" hidden="false" customHeight="false" outlineLevel="0" collapsed="false">
      <c r="A33" s="42" t="n">
        <f aca="false">IF(A32&lt;$D$3,A32+1,"")</f>
        <v>46311</v>
      </c>
      <c r="B33" s="39" t="n">
        <f aca="false">IF(A33="","",SUMIFS('TRANSAKSI PENJUALAN'!$K$5:$K$504,'TRANSAKSI PENJUALAN'!$B$5:$B$504,A33,'TRANSAKSI PENJUALAN'!$M$5:$M$504,"Lunas"))</f>
        <v>0</v>
      </c>
      <c r="C33" s="39" t="n">
        <f aca="false">IF(A33="","",B33-SUMIFS('DETAIL TRANSAKSI'!$L$5:$L$504,'DETAIL TRANSAKSI'!$P$5:$P$504,A33,'DETAIL TRANSAKSI'!$Q$5:$Q$504,"Lunas")-SUMIFS(PENGELUARAN!$E$5:$E$504,PENGELUARAN!$B$5:$B$504,A33,PENGELUARAN!$I$5:$I$504,"Ya")-SUMIFS('PERGERAKAN STOK'!$M$5:$M$504,'PERGERAKAN STOK'!$B$5:$B$504,"&gt;="&amp;A33,'PERGERAKAN STOK'!$B$5:$B$504,"&lt;"&amp;(A33+1)))</f>
        <v>0</v>
      </c>
      <c r="D33" s="25"/>
      <c r="E33" s="25" t="str">
        <f aca="false">IF('MASTER MENU'!A10="","",'MASTER MENU'!B10)</f>
        <v>Croissant Butter</v>
      </c>
      <c r="F33" s="25" t="n">
        <f aca="false">IF(E33="","",SUMIFS('DETAIL TRANSAKSI'!$E$5:$E$504,'DETAIL TRANSAKSI'!$B$5:$B$504,'MASTER MENU'!A10,'DETAIL TRANSAKSI'!$P$5:$P$504,"&gt;="&amp;$B$3,'DETAIL TRANSAKSI'!$P$5:$P$504,"&lt;="&amp;$D$3,'DETAIL TRANSAKSI'!$Q$5:$Q$504,"Lunas"))</f>
        <v>1</v>
      </c>
      <c r="G33" s="25" t="n">
        <f aca="false">A33</f>
        <v>46311</v>
      </c>
      <c r="H33" s="25" t="n">
        <f aca="false">C33</f>
        <v>0</v>
      </c>
    </row>
    <row r="34" customFormat="false" ht="15" hidden="false" customHeight="false" outlineLevel="0" collapsed="false">
      <c r="A34" s="42" t="n">
        <f aca="false">IF(A33&lt;$D$3,A33+1,"")</f>
        <v>46312</v>
      </c>
      <c r="B34" s="39" t="n">
        <f aca="false">IF(A34="","",SUMIFS('TRANSAKSI PENJUALAN'!$K$5:$K$504,'TRANSAKSI PENJUALAN'!$B$5:$B$504,A34,'TRANSAKSI PENJUALAN'!$M$5:$M$504,"Lunas"))</f>
        <v>0</v>
      </c>
      <c r="C34" s="39" t="n">
        <f aca="false">IF(A34="","",B34-SUMIFS('DETAIL TRANSAKSI'!$L$5:$L$504,'DETAIL TRANSAKSI'!$P$5:$P$504,A34,'DETAIL TRANSAKSI'!$Q$5:$Q$504,"Lunas")-SUMIFS(PENGELUARAN!$E$5:$E$504,PENGELUARAN!$B$5:$B$504,A34,PENGELUARAN!$I$5:$I$504,"Ya")-SUMIFS('PERGERAKAN STOK'!$M$5:$M$504,'PERGERAKAN STOK'!$B$5:$B$504,"&gt;="&amp;A34,'PERGERAKAN STOK'!$B$5:$B$504,"&lt;"&amp;(A34+1)))</f>
        <v>0</v>
      </c>
      <c r="D34" s="25"/>
      <c r="E34" s="25" t="str">
        <f aca="false">IF('MASTER MENU'!A11="","",'MASTER MENU'!B11)</f>
        <v>Nasi Goreng</v>
      </c>
      <c r="F34" s="25" t="n">
        <f aca="false">IF(E34="","",SUMIFS('DETAIL TRANSAKSI'!$E$5:$E$504,'DETAIL TRANSAKSI'!$B$5:$B$504,'MASTER MENU'!A11,'DETAIL TRANSAKSI'!$P$5:$P$504,"&gt;="&amp;$B$3,'DETAIL TRANSAKSI'!$P$5:$P$504,"&lt;="&amp;$D$3,'DETAIL TRANSAKSI'!$Q$5:$Q$504,"Lunas"))</f>
        <v>1</v>
      </c>
      <c r="G34" s="25" t="n">
        <f aca="false">A34</f>
        <v>46312</v>
      </c>
      <c r="H34" s="25" t="n">
        <f aca="false">C34</f>
        <v>0</v>
      </c>
    </row>
    <row r="35" customFormat="false" ht="15" hidden="false" customHeight="false" outlineLevel="0" collapsed="false">
      <c r="A35" s="42" t="n">
        <f aca="false">IF(A34&lt;$D$3,A34+1,"")</f>
        <v>46313</v>
      </c>
      <c r="B35" s="39" t="n">
        <f aca="false">IF(A35="","",SUMIFS('TRANSAKSI PENJUALAN'!$K$5:$K$504,'TRANSAKSI PENJUALAN'!$B$5:$B$504,A35,'TRANSAKSI PENJUALAN'!$M$5:$M$504,"Lunas"))</f>
        <v>0</v>
      </c>
      <c r="C35" s="39" t="n">
        <f aca="false">IF(A35="","",B35-SUMIFS('DETAIL TRANSAKSI'!$L$5:$L$504,'DETAIL TRANSAKSI'!$P$5:$P$504,A35,'DETAIL TRANSAKSI'!$Q$5:$Q$504,"Lunas")-SUMIFS(PENGELUARAN!$E$5:$E$504,PENGELUARAN!$B$5:$B$504,A35,PENGELUARAN!$I$5:$I$504,"Ya")-SUMIFS('PERGERAKAN STOK'!$M$5:$M$504,'PERGERAKAN STOK'!$B$5:$B$504,"&gt;="&amp;A35,'PERGERAKAN STOK'!$B$5:$B$504,"&lt;"&amp;(A35+1)))</f>
        <v>0</v>
      </c>
      <c r="D35" s="25"/>
      <c r="E35" s="25" t="str">
        <f aca="false">IF('MASTER MENU'!A12="","",'MASTER MENU'!B12)</f>
        <v>Kentang Goreng</v>
      </c>
      <c r="F35" s="25" t="n">
        <f aca="false">IF(E35="","",SUMIFS('DETAIL TRANSAKSI'!$E$5:$E$504,'DETAIL TRANSAKSI'!$B$5:$B$504,'MASTER MENU'!A12,'DETAIL TRANSAKSI'!$P$5:$P$504,"&gt;="&amp;$B$3,'DETAIL TRANSAKSI'!$P$5:$P$504,"&lt;="&amp;$D$3,'DETAIL TRANSAKSI'!$Q$5:$Q$504,"Lunas"))</f>
        <v>1</v>
      </c>
      <c r="G35" s="25" t="n">
        <f aca="false">A35</f>
        <v>46313</v>
      </c>
      <c r="H35" s="25" t="n">
        <f aca="false">C35</f>
        <v>0</v>
      </c>
    </row>
    <row r="36" customFormat="false" ht="15" hidden="false" customHeight="false" outlineLevel="0" collapsed="false">
      <c r="A36" s="42" t="n">
        <f aca="false">IF(A35&lt;$D$3,A35+1,"")</f>
        <v>46314</v>
      </c>
      <c r="B36" s="39" t="n">
        <f aca="false">IF(A36="","",SUMIFS('TRANSAKSI PENJUALAN'!$K$5:$K$504,'TRANSAKSI PENJUALAN'!$B$5:$B$504,A36,'TRANSAKSI PENJUALAN'!$M$5:$M$504,"Lunas"))</f>
        <v>0</v>
      </c>
      <c r="C36" s="39" t="n">
        <f aca="false">IF(A36="","",B36-SUMIFS('DETAIL TRANSAKSI'!$L$5:$L$504,'DETAIL TRANSAKSI'!$P$5:$P$504,A36,'DETAIL TRANSAKSI'!$Q$5:$Q$504,"Lunas")-SUMIFS(PENGELUARAN!$E$5:$E$504,PENGELUARAN!$B$5:$B$504,A36,PENGELUARAN!$I$5:$I$504,"Ya")-SUMIFS('PERGERAKAN STOK'!$M$5:$M$504,'PERGERAKAN STOK'!$B$5:$B$504,"&gt;="&amp;A36,'PERGERAKAN STOK'!$B$5:$B$504,"&lt;"&amp;(A36+1)))</f>
        <v>0</v>
      </c>
      <c r="D36" s="25"/>
      <c r="E36" s="25" t="str">
        <f aca="false">IF('MASTER MENU'!A13="","",'MASTER MENU'!B13)</f>
        <v>Espresso</v>
      </c>
      <c r="F36" s="25" t="n">
        <f aca="false">IF(E36="","",SUMIFS('DETAIL TRANSAKSI'!$E$5:$E$504,'DETAIL TRANSAKSI'!$B$5:$B$504,'MASTER MENU'!A13,'DETAIL TRANSAKSI'!$P$5:$P$504,"&gt;="&amp;$B$3,'DETAIL TRANSAKSI'!$P$5:$P$504,"&lt;="&amp;$D$3,'DETAIL TRANSAKSI'!$Q$5:$Q$504,"Lunas"))</f>
        <v>1</v>
      </c>
      <c r="G36" s="25" t="n">
        <f aca="false">A36</f>
        <v>46314</v>
      </c>
      <c r="H36" s="25" t="n">
        <f aca="false">C36</f>
        <v>0</v>
      </c>
    </row>
    <row r="37" customFormat="false" ht="15" hidden="false" customHeight="false" outlineLevel="0" collapsed="false">
      <c r="A37" s="42" t="n">
        <f aca="false">IF(A36&lt;$D$3,A36+1,"")</f>
        <v>46315</v>
      </c>
      <c r="B37" s="39" t="n">
        <f aca="false">IF(A37="","",SUMIFS('TRANSAKSI PENJUALAN'!$K$5:$K$504,'TRANSAKSI PENJUALAN'!$B$5:$B$504,A37,'TRANSAKSI PENJUALAN'!$M$5:$M$504,"Lunas"))</f>
        <v>0</v>
      </c>
      <c r="C37" s="39" t="n">
        <f aca="false">IF(A37="","",B37-SUMIFS('DETAIL TRANSAKSI'!$L$5:$L$504,'DETAIL TRANSAKSI'!$P$5:$P$504,A37,'DETAIL TRANSAKSI'!$Q$5:$Q$504,"Lunas")-SUMIFS(PENGELUARAN!$E$5:$E$504,PENGELUARAN!$B$5:$B$504,A37,PENGELUARAN!$I$5:$I$504,"Ya")-SUMIFS('PERGERAKAN STOK'!$M$5:$M$504,'PERGERAKAN STOK'!$B$5:$B$504,"&gt;="&amp;A37,'PERGERAKAN STOK'!$B$5:$B$504,"&lt;"&amp;(A37+1)))</f>
        <v>0</v>
      </c>
      <c r="D37" s="25"/>
      <c r="E37" s="25" t="str">
        <f aca="false">IF('MASTER MENU'!A14="","",'MASTER MENU'!B14)</f>
        <v>Roti Bakar</v>
      </c>
      <c r="F37" s="25" t="n">
        <f aca="false">IF(E37="","",SUMIFS('DETAIL TRANSAKSI'!$E$5:$E$504,'DETAIL TRANSAKSI'!$B$5:$B$504,'MASTER MENU'!A14,'DETAIL TRANSAKSI'!$P$5:$P$504,"&gt;="&amp;$B$3,'DETAIL TRANSAKSI'!$P$5:$P$504,"&lt;="&amp;$D$3,'DETAIL TRANSAKSI'!$Q$5:$Q$504,"Lunas"))</f>
        <v>1</v>
      </c>
      <c r="G37" s="25" t="n">
        <f aca="false">A37</f>
        <v>46315</v>
      </c>
      <c r="H37" s="25" t="n">
        <f aca="false">C37</f>
        <v>0</v>
      </c>
    </row>
    <row r="38" customFormat="false" ht="15" hidden="false" customHeight="false" outlineLevel="0" collapsed="false">
      <c r="A38" s="42" t="n">
        <f aca="false">IF(A37&lt;$D$3,A37+1,"")</f>
        <v>46316</v>
      </c>
      <c r="B38" s="39" t="n">
        <f aca="false">IF(A38="","",SUMIFS('TRANSAKSI PENJUALAN'!$K$5:$K$504,'TRANSAKSI PENJUALAN'!$B$5:$B$504,A38,'TRANSAKSI PENJUALAN'!$M$5:$M$504,"Lunas"))</f>
        <v>0</v>
      </c>
      <c r="C38" s="39" t="n">
        <f aca="false">IF(A38="","",B38-SUMIFS('DETAIL TRANSAKSI'!$L$5:$L$504,'DETAIL TRANSAKSI'!$P$5:$P$504,A38,'DETAIL TRANSAKSI'!$Q$5:$Q$504,"Lunas")-SUMIFS(PENGELUARAN!$E$5:$E$504,PENGELUARAN!$B$5:$B$504,A38,PENGELUARAN!$I$5:$I$504,"Ya")-SUMIFS('PERGERAKAN STOK'!$M$5:$M$504,'PERGERAKAN STOK'!$B$5:$B$504,"&gt;="&amp;A38,'PERGERAKAN STOK'!$B$5:$B$504,"&lt;"&amp;(A38+1)))</f>
        <v>0</v>
      </c>
      <c r="D38" s="25"/>
      <c r="E38" s="25" t="str">
        <f aca="false">IF('MASTER MENU'!A15="","",'MASTER MENU'!B15)</f>
        <v/>
      </c>
      <c r="F38" s="25" t="str">
        <f aca="false">IF(E38="","",SUMIFS('DETAIL TRANSAKSI'!$E$5:$E$504,'DETAIL TRANSAKSI'!$B$5:$B$504,'MASTER MENU'!A15,'DETAIL TRANSAKSI'!$P$5:$P$504,"&gt;="&amp;$B$3,'DETAIL TRANSAKSI'!$P$5:$P$504,"&lt;="&amp;$D$3,'DETAIL TRANSAKSI'!$Q$5:$Q$504,"Lunas"))</f>
        <v/>
      </c>
      <c r="G38" s="25" t="n">
        <f aca="false">A38</f>
        <v>46316</v>
      </c>
      <c r="H38" s="25" t="n">
        <f aca="false">C38</f>
        <v>0</v>
      </c>
    </row>
    <row r="39" customFormat="false" ht="15" hidden="false" customHeight="false" outlineLevel="0" collapsed="false">
      <c r="A39" s="42" t="n">
        <f aca="false">IF(A38&lt;$D$3,A38+1,"")</f>
        <v>46317</v>
      </c>
      <c r="B39" s="39" t="n">
        <f aca="false">IF(A39="","",SUMIFS('TRANSAKSI PENJUALAN'!$K$5:$K$504,'TRANSAKSI PENJUALAN'!$B$5:$B$504,A39,'TRANSAKSI PENJUALAN'!$M$5:$M$504,"Lunas"))</f>
        <v>0</v>
      </c>
      <c r="C39" s="39" t="n">
        <f aca="false">IF(A39="","",B39-SUMIFS('DETAIL TRANSAKSI'!$L$5:$L$504,'DETAIL TRANSAKSI'!$P$5:$P$504,A39,'DETAIL TRANSAKSI'!$Q$5:$Q$504,"Lunas")-SUMIFS(PENGELUARAN!$E$5:$E$504,PENGELUARAN!$B$5:$B$504,A39,PENGELUARAN!$I$5:$I$504,"Ya")-SUMIFS('PERGERAKAN STOK'!$M$5:$M$504,'PERGERAKAN STOK'!$B$5:$B$504,"&gt;="&amp;A39,'PERGERAKAN STOK'!$B$5:$B$504,"&lt;"&amp;(A39+1)))</f>
        <v>0</v>
      </c>
      <c r="D39" s="25"/>
      <c r="E39" s="25" t="str">
        <f aca="false">IF('MASTER MENU'!A16="","",'MASTER MENU'!B16)</f>
        <v/>
      </c>
      <c r="F39" s="25" t="str">
        <f aca="false">IF(E39="","",SUMIFS('DETAIL TRANSAKSI'!$E$5:$E$504,'DETAIL TRANSAKSI'!$B$5:$B$504,'MASTER MENU'!A16,'DETAIL TRANSAKSI'!$P$5:$P$504,"&gt;="&amp;$B$3,'DETAIL TRANSAKSI'!$P$5:$P$504,"&lt;="&amp;$D$3,'DETAIL TRANSAKSI'!$Q$5:$Q$504,"Lunas"))</f>
        <v/>
      </c>
      <c r="G39" s="25" t="n">
        <f aca="false">A39</f>
        <v>46317</v>
      </c>
      <c r="H39" s="25" t="n">
        <f aca="false">C39</f>
        <v>0</v>
      </c>
    </row>
    <row r="40" customFormat="false" ht="15" hidden="false" customHeight="false" outlineLevel="0" collapsed="false">
      <c r="A40" s="42" t="n">
        <f aca="false">IF(A39&lt;$D$3,A39+1,"")</f>
        <v>46318</v>
      </c>
      <c r="B40" s="39" t="n">
        <f aca="false">IF(A40="","",SUMIFS('TRANSAKSI PENJUALAN'!$K$5:$K$504,'TRANSAKSI PENJUALAN'!$B$5:$B$504,A40,'TRANSAKSI PENJUALAN'!$M$5:$M$504,"Lunas"))</f>
        <v>0</v>
      </c>
      <c r="C40" s="39" t="n">
        <f aca="false">IF(A40="","",B40-SUMIFS('DETAIL TRANSAKSI'!$L$5:$L$504,'DETAIL TRANSAKSI'!$P$5:$P$504,A40,'DETAIL TRANSAKSI'!$Q$5:$Q$504,"Lunas")-SUMIFS(PENGELUARAN!$E$5:$E$504,PENGELUARAN!$B$5:$B$504,A40,PENGELUARAN!$I$5:$I$504,"Ya")-SUMIFS('PERGERAKAN STOK'!$M$5:$M$504,'PERGERAKAN STOK'!$B$5:$B$504,"&gt;="&amp;A40,'PERGERAKAN STOK'!$B$5:$B$504,"&lt;"&amp;(A40+1)))</f>
        <v>0</v>
      </c>
      <c r="D40" s="25"/>
      <c r="E40" s="25" t="str">
        <f aca="false">IF('MASTER MENU'!A17="","",'MASTER MENU'!B17)</f>
        <v/>
      </c>
      <c r="F40" s="25" t="str">
        <f aca="false">IF(E40="","",SUMIFS('DETAIL TRANSAKSI'!$E$5:$E$504,'DETAIL TRANSAKSI'!$B$5:$B$504,'MASTER MENU'!A17,'DETAIL TRANSAKSI'!$P$5:$P$504,"&gt;="&amp;$B$3,'DETAIL TRANSAKSI'!$P$5:$P$504,"&lt;="&amp;$D$3,'DETAIL TRANSAKSI'!$Q$5:$Q$504,"Lunas"))</f>
        <v/>
      </c>
      <c r="G40" s="25" t="n">
        <f aca="false">A40</f>
        <v>46318</v>
      </c>
      <c r="H40" s="25" t="n">
        <f aca="false">C40</f>
        <v>0</v>
      </c>
    </row>
    <row r="41" customFormat="false" ht="15" hidden="false" customHeight="false" outlineLevel="0" collapsed="false">
      <c r="A41" s="42" t="n">
        <f aca="false">IF(A40&lt;$D$3,A40+1,"")</f>
        <v>46319</v>
      </c>
      <c r="B41" s="39" t="n">
        <f aca="false">IF(A41="","",SUMIFS('TRANSAKSI PENJUALAN'!$K$5:$K$504,'TRANSAKSI PENJUALAN'!$B$5:$B$504,A41,'TRANSAKSI PENJUALAN'!$M$5:$M$504,"Lunas"))</f>
        <v>0</v>
      </c>
      <c r="C41" s="39" t="n">
        <f aca="false">IF(A41="","",B41-SUMIFS('DETAIL TRANSAKSI'!$L$5:$L$504,'DETAIL TRANSAKSI'!$P$5:$P$504,A41,'DETAIL TRANSAKSI'!$Q$5:$Q$504,"Lunas")-SUMIFS(PENGELUARAN!$E$5:$E$504,PENGELUARAN!$B$5:$B$504,A41,PENGELUARAN!$I$5:$I$504,"Ya")-SUMIFS('PERGERAKAN STOK'!$M$5:$M$504,'PERGERAKAN STOK'!$B$5:$B$504,"&gt;="&amp;A41,'PERGERAKAN STOK'!$B$5:$B$504,"&lt;"&amp;(A41+1)))</f>
        <v>0</v>
      </c>
      <c r="D41" s="25"/>
      <c r="E41" s="25" t="str">
        <f aca="false">IF('MASTER MENU'!A18="","",'MASTER MENU'!B18)</f>
        <v/>
      </c>
      <c r="F41" s="25" t="str">
        <f aca="false">IF(E41="","",SUMIFS('DETAIL TRANSAKSI'!$E$5:$E$504,'DETAIL TRANSAKSI'!$B$5:$B$504,'MASTER MENU'!A18,'DETAIL TRANSAKSI'!$P$5:$P$504,"&gt;="&amp;$B$3,'DETAIL TRANSAKSI'!$P$5:$P$504,"&lt;="&amp;$D$3,'DETAIL TRANSAKSI'!$Q$5:$Q$504,"Lunas"))</f>
        <v/>
      </c>
      <c r="G41" s="25" t="n">
        <f aca="false">A41</f>
        <v>46319</v>
      </c>
      <c r="H41" s="25" t="n">
        <f aca="false">C41</f>
        <v>0</v>
      </c>
    </row>
    <row r="42" customFormat="false" ht="15" hidden="false" customHeight="false" outlineLevel="0" collapsed="false">
      <c r="A42" s="42" t="n">
        <f aca="false">IF(A41&lt;$D$3,A41+1,"")</f>
        <v>46320</v>
      </c>
      <c r="B42" s="39" t="n">
        <f aca="false">IF(A42="","",SUMIFS('TRANSAKSI PENJUALAN'!$K$5:$K$504,'TRANSAKSI PENJUALAN'!$B$5:$B$504,A42,'TRANSAKSI PENJUALAN'!$M$5:$M$504,"Lunas"))</f>
        <v>0</v>
      </c>
      <c r="C42" s="39" t="n">
        <f aca="false">IF(A42="","",B42-SUMIFS('DETAIL TRANSAKSI'!$L$5:$L$504,'DETAIL TRANSAKSI'!$P$5:$P$504,A42,'DETAIL TRANSAKSI'!$Q$5:$Q$504,"Lunas")-SUMIFS(PENGELUARAN!$E$5:$E$504,PENGELUARAN!$B$5:$B$504,A42,PENGELUARAN!$I$5:$I$504,"Ya")-SUMIFS('PERGERAKAN STOK'!$M$5:$M$504,'PERGERAKAN STOK'!$B$5:$B$504,"&gt;="&amp;A42,'PERGERAKAN STOK'!$B$5:$B$504,"&lt;"&amp;(A42+1)))</f>
        <v>0</v>
      </c>
      <c r="D42" s="25"/>
      <c r="E42" s="25" t="str">
        <f aca="false">IF('MASTER MENU'!A19="","",'MASTER MENU'!B19)</f>
        <v/>
      </c>
      <c r="F42" s="25" t="str">
        <f aca="false">IF(E42="","",SUMIFS('DETAIL TRANSAKSI'!$E$5:$E$504,'DETAIL TRANSAKSI'!$B$5:$B$504,'MASTER MENU'!A19,'DETAIL TRANSAKSI'!$P$5:$P$504,"&gt;="&amp;$B$3,'DETAIL TRANSAKSI'!$P$5:$P$504,"&lt;="&amp;$D$3,'DETAIL TRANSAKSI'!$Q$5:$Q$504,"Lunas"))</f>
        <v/>
      </c>
      <c r="G42" s="25" t="n">
        <f aca="false">A42</f>
        <v>46320</v>
      </c>
      <c r="H42" s="25" t="n">
        <f aca="false">C42</f>
        <v>0</v>
      </c>
    </row>
    <row r="43" customFormat="false" ht="15" hidden="false" customHeight="false" outlineLevel="0" collapsed="false">
      <c r="A43" s="42" t="n">
        <f aca="false">IF(A42&lt;$D$3,A42+1,"")</f>
        <v>46321</v>
      </c>
      <c r="B43" s="39" t="n">
        <f aca="false">IF(A43="","",SUMIFS('TRANSAKSI PENJUALAN'!$K$5:$K$504,'TRANSAKSI PENJUALAN'!$B$5:$B$504,A43,'TRANSAKSI PENJUALAN'!$M$5:$M$504,"Lunas"))</f>
        <v>0</v>
      </c>
      <c r="C43" s="39" t="n">
        <f aca="false">IF(A43="","",B43-SUMIFS('DETAIL TRANSAKSI'!$L$5:$L$504,'DETAIL TRANSAKSI'!$P$5:$P$504,A43,'DETAIL TRANSAKSI'!$Q$5:$Q$504,"Lunas")-SUMIFS(PENGELUARAN!$E$5:$E$504,PENGELUARAN!$B$5:$B$504,A43,PENGELUARAN!$I$5:$I$504,"Ya")-SUMIFS('PERGERAKAN STOK'!$M$5:$M$504,'PERGERAKAN STOK'!$B$5:$B$504,"&gt;="&amp;A43,'PERGERAKAN STOK'!$B$5:$B$504,"&lt;"&amp;(A43+1)))</f>
        <v>0</v>
      </c>
      <c r="D43" s="25"/>
      <c r="E43" s="25" t="str">
        <f aca="false">IF('MASTER MENU'!A20="","",'MASTER MENU'!B20)</f>
        <v/>
      </c>
      <c r="F43" s="25" t="str">
        <f aca="false">IF(E43="","",SUMIFS('DETAIL TRANSAKSI'!$E$5:$E$504,'DETAIL TRANSAKSI'!$B$5:$B$504,'MASTER MENU'!A20,'DETAIL TRANSAKSI'!$P$5:$P$504,"&gt;="&amp;$B$3,'DETAIL TRANSAKSI'!$P$5:$P$504,"&lt;="&amp;$D$3,'DETAIL TRANSAKSI'!$Q$5:$Q$504,"Lunas"))</f>
        <v/>
      </c>
      <c r="G43" s="25" t="n">
        <f aca="false">A43</f>
        <v>46321</v>
      </c>
      <c r="H43" s="25" t="n">
        <f aca="false">C43</f>
        <v>0</v>
      </c>
    </row>
    <row r="44" customFormat="false" ht="15" hidden="false" customHeight="false" outlineLevel="0" collapsed="false">
      <c r="A44" s="42" t="n">
        <f aca="false">IF(A43&lt;$D$3,A43+1,"")</f>
        <v>46322</v>
      </c>
      <c r="B44" s="39" t="n">
        <f aca="false">IF(A44="","",SUMIFS('TRANSAKSI PENJUALAN'!$K$5:$K$504,'TRANSAKSI PENJUALAN'!$B$5:$B$504,A44,'TRANSAKSI PENJUALAN'!$M$5:$M$504,"Lunas"))</f>
        <v>0</v>
      </c>
      <c r="C44" s="39" t="n">
        <f aca="false">IF(A44="","",B44-SUMIFS('DETAIL TRANSAKSI'!$L$5:$L$504,'DETAIL TRANSAKSI'!$P$5:$P$504,A44,'DETAIL TRANSAKSI'!$Q$5:$Q$504,"Lunas")-SUMIFS(PENGELUARAN!$E$5:$E$504,PENGELUARAN!$B$5:$B$504,A44,PENGELUARAN!$I$5:$I$504,"Ya")-SUMIFS('PERGERAKAN STOK'!$M$5:$M$504,'PERGERAKAN STOK'!$B$5:$B$504,"&gt;="&amp;A44,'PERGERAKAN STOK'!$B$5:$B$504,"&lt;"&amp;(A44+1)))</f>
        <v>0</v>
      </c>
      <c r="D44" s="25"/>
      <c r="E44" s="25" t="str">
        <f aca="false">IF('MASTER MENU'!A21="","",'MASTER MENU'!B21)</f>
        <v/>
      </c>
      <c r="F44" s="25" t="str">
        <f aca="false">IF(E44="","",SUMIFS('DETAIL TRANSAKSI'!$E$5:$E$504,'DETAIL TRANSAKSI'!$B$5:$B$504,'MASTER MENU'!A21,'DETAIL TRANSAKSI'!$P$5:$P$504,"&gt;="&amp;$B$3,'DETAIL TRANSAKSI'!$P$5:$P$504,"&lt;="&amp;$D$3,'DETAIL TRANSAKSI'!$Q$5:$Q$504,"Lunas"))</f>
        <v/>
      </c>
      <c r="G44" s="25" t="n">
        <f aca="false">A44</f>
        <v>46322</v>
      </c>
      <c r="H44" s="25" t="n">
        <f aca="false">C44</f>
        <v>0</v>
      </c>
    </row>
    <row r="45" customFormat="false" ht="15" hidden="false" customHeight="false" outlineLevel="0" collapsed="false">
      <c r="A45" s="42" t="n">
        <f aca="false">IF(A44&lt;$D$3,A44+1,"")</f>
        <v>46323</v>
      </c>
      <c r="B45" s="39" t="n">
        <f aca="false">IF(A45="","",SUMIFS('TRANSAKSI PENJUALAN'!$K$5:$K$504,'TRANSAKSI PENJUALAN'!$B$5:$B$504,A45,'TRANSAKSI PENJUALAN'!$M$5:$M$504,"Lunas"))</f>
        <v>0</v>
      </c>
      <c r="C45" s="39" t="n">
        <f aca="false">IF(A45="","",B45-SUMIFS('DETAIL TRANSAKSI'!$L$5:$L$504,'DETAIL TRANSAKSI'!$P$5:$P$504,A45,'DETAIL TRANSAKSI'!$Q$5:$Q$504,"Lunas")-SUMIFS(PENGELUARAN!$E$5:$E$504,PENGELUARAN!$B$5:$B$504,A45,PENGELUARAN!$I$5:$I$504,"Ya")-SUMIFS('PERGERAKAN STOK'!$M$5:$M$504,'PERGERAKAN STOK'!$B$5:$B$504,"&gt;="&amp;A45,'PERGERAKAN STOK'!$B$5:$B$504,"&lt;"&amp;(A45+1)))</f>
        <v>0</v>
      </c>
      <c r="D45" s="25"/>
      <c r="E45" s="25" t="str">
        <f aca="false">IF('MASTER MENU'!A22="","",'MASTER MENU'!B22)</f>
        <v/>
      </c>
      <c r="F45" s="25" t="str">
        <f aca="false">IF(E45="","",SUMIFS('DETAIL TRANSAKSI'!$E$5:$E$504,'DETAIL TRANSAKSI'!$B$5:$B$504,'MASTER MENU'!A22,'DETAIL TRANSAKSI'!$P$5:$P$504,"&gt;="&amp;$B$3,'DETAIL TRANSAKSI'!$P$5:$P$504,"&lt;="&amp;$D$3,'DETAIL TRANSAKSI'!$Q$5:$Q$504,"Lunas"))</f>
        <v/>
      </c>
      <c r="G45" s="25" t="n">
        <f aca="false">A45</f>
        <v>46323</v>
      </c>
      <c r="H45" s="25" t="n">
        <f aca="false">C45</f>
        <v>0</v>
      </c>
    </row>
    <row r="46" customFormat="false" ht="15" hidden="false" customHeight="false" outlineLevel="0" collapsed="false">
      <c r="A46" s="42" t="n">
        <f aca="false">IF(A45&lt;$D$3,A45+1,"")</f>
        <v>46324</v>
      </c>
      <c r="B46" s="39" t="n">
        <f aca="false">IF(A46="","",SUMIFS('TRANSAKSI PENJUALAN'!$K$5:$K$504,'TRANSAKSI PENJUALAN'!$B$5:$B$504,A46,'TRANSAKSI PENJUALAN'!$M$5:$M$504,"Lunas"))</f>
        <v>0</v>
      </c>
      <c r="C46" s="39" t="n">
        <f aca="false">IF(A46="","",B46-SUMIFS('DETAIL TRANSAKSI'!$L$5:$L$504,'DETAIL TRANSAKSI'!$P$5:$P$504,A46,'DETAIL TRANSAKSI'!$Q$5:$Q$504,"Lunas")-SUMIFS(PENGELUARAN!$E$5:$E$504,PENGELUARAN!$B$5:$B$504,A46,PENGELUARAN!$I$5:$I$504,"Ya")-SUMIFS('PERGERAKAN STOK'!$M$5:$M$504,'PERGERAKAN STOK'!$B$5:$B$504,"&gt;="&amp;A46,'PERGERAKAN STOK'!$B$5:$B$504,"&lt;"&amp;(A46+1)))</f>
        <v>0</v>
      </c>
      <c r="D46" s="25"/>
      <c r="E46" s="25" t="str">
        <f aca="false">IF('MASTER MENU'!A23="","",'MASTER MENU'!B23)</f>
        <v/>
      </c>
      <c r="F46" s="25" t="str">
        <f aca="false">IF(E46="","",SUMIFS('DETAIL TRANSAKSI'!$E$5:$E$504,'DETAIL TRANSAKSI'!$B$5:$B$504,'MASTER MENU'!A23,'DETAIL TRANSAKSI'!$P$5:$P$504,"&gt;="&amp;$B$3,'DETAIL TRANSAKSI'!$P$5:$P$504,"&lt;="&amp;$D$3,'DETAIL TRANSAKSI'!$Q$5:$Q$504,"Lunas"))</f>
        <v/>
      </c>
      <c r="G46" s="25" t="n">
        <f aca="false">A46</f>
        <v>46324</v>
      </c>
      <c r="H46" s="25" t="n">
        <f aca="false">C46</f>
        <v>0</v>
      </c>
    </row>
    <row r="47" customFormat="false" ht="15" hidden="false" customHeight="false" outlineLevel="0" collapsed="false">
      <c r="A47" s="42" t="n">
        <f aca="false">IF(A46&lt;$D$3,A46+1,"")</f>
        <v>46325</v>
      </c>
      <c r="B47" s="39" t="n">
        <f aca="false">IF(A47="","",SUMIFS('TRANSAKSI PENJUALAN'!$K$5:$K$504,'TRANSAKSI PENJUALAN'!$B$5:$B$504,A47,'TRANSAKSI PENJUALAN'!$M$5:$M$504,"Lunas"))</f>
        <v>272000</v>
      </c>
      <c r="C47" s="39" t="n">
        <f aca="false">IF(A47="","",B47-SUMIFS('DETAIL TRANSAKSI'!$L$5:$L$504,'DETAIL TRANSAKSI'!$P$5:$P$504,A47,'DETAIL TRANSAKSI'!$Q$5:$Q$504,"Lunas")-SUMIFS(PENGELUARAN!$E$5:$E$504,PENGELUARAN!$B$5:$B$504,A47,PENGELUARAN!$I$5:$I$504,"Ya")-SUMIFS('PERGERAKAN STOK'!$M$5:$M$504,'PERGERAKAN STOK'!$B$5:$B$504,"&gt;="&amp;A47,'PERGERAKAN STOK'!$B$5:$B$504,"&lt;"&amp;(A47+1)))</f>
        <v>210030</v>
      </c>
      <c r="D47" s="25"/>
      <c r="E47" s="25" t="str">
        <f aca="false">IF('MASTER MENU'!A24="","",'MASTER MENU'!B24)</f>
        <v/>
      </c>
      <c r="F47" s="25" t="str">
        <f aca="false">IF(E47="","",SUMIFS('DETAIL TRANSAKSI'!$E$5:$E$504,'DETAIL TRANSAKSI'!$B$5:$B$504,'MASTER MENU'!A24,'DETAIL TRANSAKSI'!$P$5:$P$504,"&gt;="&amp;$B$3,'DETAIL TRANSAKSI'!$P$5:$P$504,"&lt;="&amp;$D$3,'DETAIL TRANSAKSI'!$Q$5:$Q$504,"Lunas"))</f>
        <v/>
      </c>
      <c r="G47" s="25" t="n">
        <f aca="false">A47</f>
        <v>46325</v>
      </c>
      <c r="H47" s="25" t="n">
        <f aca="false">C47</f>
        <v>210030</v>
      </c>
    </row>
    <row r="48" customFormat="false" ht="15" hidden="false" customHeight="false" outlineLevel="0" collapsed="false">
      <c r="A48" s="42" t="str">
        <f aca="false">IF(A47&lt;$D$3,A47+1,"")</f>
        <v/>
      </c>
      <c r="B48" s="39" t="str">
        <f aca="false">IF(A48="","",SUMIFS('TRANSAKSI PENJUALAN'!$K$5:$K$504,'TRANSAKSI PENJUALAN'!$B$5:$B$504,A48,'TRANSAKSI PENJUALAN'!$M$5:$M$504,"Lunas"))</f>
        <v/>
      </c>
      <c r="C48" s="39" t="str">
        <f aca="false">IF(A48="","",B48-SUMIFS('DETAIL TRANSAKSI'!$L$5:$L$504,'DETAIL TRANSAKSI'!$P$5:$P$504,A48,'DETAIL TRANSAKSI'!$Q$5:$Q$504,"Lunas")-SUMIFS(PENGELUARAN!$E$5:$E$504,PENGELUARAN!$B$5:$B$504,A48,PENGELUARAN!$I$5:$I$504,"Ya")-SUMIFS('PERGERAKAN STOK'!$M$5:$M$504,'PERGERAKAN STOK'!$B$5:$B$504,"&gt;="&amp;A48,'PERGERAKAN STOK'!$B$5:$B$504,"&lt;"&amp;(A48+1)))</f>
        <v/>
      </c>
      <c r="D48" s="25"/>
      <c r="E48" s="25" t="str">
        <f aca="false">IF('MASTER MENU'!A25="","",'MASTER MENU'!B25)</f>
        <v/>
      </c>
      <c r="F48" s="25" t="str">
        <f aca="false">IF(E48="","",SUMIFS('DETAIL TRANSAKSI'!$E$5:$E$504,'DETAIL TRANSAKSI'!$B$5:$B$504,'MASTER MENU'!A25,'DETAIL TRANSAKSI'!$P$5:$P$504,"&gt;="&amp;$B$3,'DETAIL TRANSAKSI'!$P$5:$P$504,"&lt;="&amp;$D$3,'DETAIL TRANSAKSI'!$Q$5:$Q$504,"Lunas"))</f>
        <v/>
      </c>
      <c r="G48" s="25" t="n">
        <f aca="false">A48</f>
        <v>0</v>
      </c>
      <c r="H48" s="25" t="n">
        <f aca="false">C48</f>
        <v>0</v>
      </c>
    </row>
    <row r="49" customFormat="false" ht="15" hidden="false" customHeight="false" outlineLevel="0" collapsed="false">
      <c r="A49" s="25"/>
      <c r="B49" s="25"/>
      <c r="C49" s="25"/>
      <c r="D49" s="25"/>
      <c r="E49" s="25" t="str">
        <f aca="false">IF('MASTER MENU'!A26="","",'MASTER MENU'!B26)</f>
        <v/>
      </c>
      <c r="F49" s="25" t="str">
        <f aca="false">IF(E49="","",SUMIFS('DETAIL TRANSAKSI'!$E$5:$E$504,'DETAIL TRANSAKSI'!$B$5:$B$504,'MASTER MENU'!A26,'DETAIL TRANSAKSI'!$P$5:$P$504,"&gt;="&amp;$B$3,'DETAIL TRANSAKSI'!$P$5:$P$504,"&lt;="&amp;$D$3,'DETAIL TRANSAKSI'!$Q$5:$Q$504,"Lunas"))</f>
        <v/>
      </c>
      <c r="G49" s="25"/>
      <c r="H49" s="25"/>
    </row>
    <row r="50" customFormat="false" ht="15" hidden="false" customHeight="false" outlineLevel="0" collapsed="false">
      <c r="A50" s="25"/>
      <c r="B50" s="25"/>
      <c r="C50" s="25"/>
      <c r="D50" s="25"/>
      <c r="E50" s="25" t="str">
        <f aca="false">IF('MASTER MENU'!A27="","",'MASTER MENU'!B27)</f>
        <v/>
      </c>
      <c r="F50" s="25" t="str">
        <f aca="false">IF(E50="","",SUMIFS('DETAIL TRANSAKSI'!$E$5:$E$504,'DETAIL TRANSAKSI'!$B$5:$B$504,'MASTER MENU'!A27,'DETAIL TRANSAKSI'!$P$5:$P$504,"&gt;="&amp;$B$3,'DETAIL TRANSAKSI'!$P$5:$P$504,"&lt;="&amp;$D$3,'DETAIL TRANSAKSI'!$Q$5:$Q$504,"Lunas"))</f>
        <v/>
      </c>
      <c r="G50" s="25"/>
      <c r="H50" s="25"/>
    </row>
    <row r="51" customFormat="false" ht="15" hidden="false" customHeight="false" outlineLevel="0" collapsed="false">
      <c r="E51" s="0" t="str">
        <f aca="false">IF('MASTER MENU'!A28="","",'MASTER MENU'!B28)</f>
        <v/>
      </c>
      <c r="F51" s="0" t="str">
        <f aca="false">IF(E51="","",SUMIFS('DETAIL TRANSAKSI'!$E$5:$E$504,'DETAIL TRANSAKSI'!$B$5:$B$504,'MASTER MENU'!A28,'DETAIL TRANSAKSI'!$P$5:$P$504,"&gt;="&amp;$B$3,'DETAIL TRANSAKSI'!$P$5:$P$504,"&lt;="&amp;$D$3,'DETAIL TRANSAKSI'!$Q$5:$Q$504,"Lunas"))</f>
        <v/>
      </c>
    </row>
    <row r="52" customFormat="false" ht="15" hidden="false" customHeight="false" outlineLevel="0" collapsed="false">
      <c r="E52" s="0" t="str">
        <f aca="false">IF('MASTER MENU'!A29="","",'MASTER MENU'!B29)</f>
        <v/>
      </c>
      <c r="F52" s="0" t="str">
        <f aca="false">IF(E52="","",SUMIFS('DETAIL TRANSAKSI'!$E$5:$E$504,'DETAIL TRANSAKSI'!$B$5:$B$504,'MASTER MENU'!A29,'DETAIL TRANSAKSI'!$P$5:$P$504,"&gt;="&amp;$B$3,'DETAIL TRANSAKSI'!$P$5:$P$504,"&lt;="&amp;$D$3,'DETAIL TRANSAKSI'!$Q$5:$Q$504,"Lunas"))</f>
        <v/>
      </c>
    </row>
    <row r="53" customFormat="false" ht="15" hidden="false" customHeight="false" outlineLevel="0" collapsed="false">
      <c r="E53" s="0" t="str">
        <f aca="false">IF('MASTER MENU'!A30="","",'MASTER MENU'!B30)</f>
        <v/>
      </c>
      <c r="F53" s="0" t="str">
        <f aca="false">IF(E53="","",SUMIFS('DETAIL TRANSAKSI'!$E$5:$E$504,'DETAIL TRANSAKSI'!$B$5:$B$504,'MASTER MENU'!A30,'DETAIL TRANSAKSI'!$P$5:$P$504,"&gt;="&amp;$B$3,'DETAIL TRANSAKSI'!$P$5:$P$504,"&lt;="&amp;$D$3,'DETAIL TRANSAKSI'!$Q$5:$Q$504,"Lunas"))</f>
        <v/>
      </c>
    </row>
    <row r="54" customFormat="false" ht="15" hidden="false" customHeight="false" outlineLevel="0" collapsed="false">
      <c r="E54" s="0" t="str">
        <f aca="false">IF('MASTER MENU'!A31="","",'MASTER MENU'!B31)</f>
        <v/>
      </c>
      <c r="F54" s="0" t="str">
        <f aca="false">IF(E54="","",SUMIFS('DETAIL TRANSAKSI'!$E$5:$E$504,'DETAIL TRANSAKSI'!$B$5:$B$504,'MASTER MENU'!A31,'DETAIL TRANSAKSI'!$P$5:$P$504,"&gt;="&amp;$B$3,'DETAIL TRANSAKSI'!$P$5:$P$504,"&lt;="&amp;$D$3,'DETAIL TRANSAKSI'!$Q$5:$Q$504,"Lunas"))</f>
        <v/>
      </c>
    </row>
    <row r="55" customFormat="false" ht="15" hidden="false" customHeight="false" outlineLevel="0" collapsed="false">
      <c r="E55" s="0" t="str">
        <f aca="false">IF('MASTER MENU'!A32="","",'MASTER MENU'!B32)</f>
        <v/>
      </c>
      <c r="F55" s="0" t="str">
        <f aca="false">IF(E55="","",SUMIFS('DETAIL TRANSAKSI'!$E$5:$E$504,'DETAIL TRANSAKSI'!$B$5:$B$504,'MASTER MENU'!A32,'DETAIL TRANSAKSI'!$P$5:$P$504,"&gt;="&amp;$B$3,'DETAIL TRANSAKSI'!$P$5:$P$504,"&lt;="&amp;$D$3,'DETAIL TRANSAKSI'!$Q$5:$Q$504,"Lunas"))</f>
        <v/>
      </c>
    </row>
    <row r="56" customFormat="false" ht="15" hidden="false" customHeight="false" outlineLevel="0" collapsed="false">
      <c r="E56" s="0" t="str">
        <f aca="false">IF('MASTER MENU'!A33="","",'MASTER MENU'!B33)</f>
        <v/>
      </c>
      <c r="F56" s="0" t="str">
        <f aca="false">IF(E56="","",SUMIFS('DETAIL TRANSAKSI'!$E$5:$E$504,'DETAIL TRANSAKSI'!$B$5:$B$504,'MASTER MENU'!A33,'DETAIL TRANSAKSI'!$P$5:$P$504,"&gt;="&amp;$B$3,'DETAIL TRANSAKSI'!$P$5:$P$504,"&lt;="&amp;$D$3,'DETAIL TRANSAKSI'!$Q$5:$Q$504,"Lunas"))</f>
        <v/>
      </c>
    </row>
    <row r="57" customFormat="false" ht="15" hidden="false" customHeight="false" outlineLevel="0" collapsed="false">
      <c r="E57" s="0" t="str">
        <f aca="false">IF('MASTER MENU'!A34="","",'MASTER MENU'!B34)</f>
        <v/>
      </c>
      <c r="F57" s="0" t="str">
        <f aca="false">IF(E57="","",SUMIFS('DETAIL TRANSAKSI'!$E$5:$E$504,'DETAIL TRANSAKSI'!$B$5:$B$504,'MASTER MENU'!A34,'DETAIL TRANSAKSI'!$P$5:$P$504,"&gt;="&amp;$B$3,'DETAIL TRANSAKSI'!$P$5:$P$504,"&lt;="&amp;$D$3,'DETAIL TRANSAKSI'!$Q$5:$Q$504,"Lunas"))</f>
        <v/>
      </c>
    </row>
    <row r="58" customFormat="false" ht="15" hidden="false" customHeight="false" outlineLevel="0" collapsed="false">
      <c r="E58" s="0" t="str">
        <f aca="false">IF('MASTER MENU'!A35="","",'MASTER MENU'!B35)</f>
        <v/>
      </c>
      <c r="F58" s="0" t="str">
        <f aca="false">IF(E58="","",SUMIFS('DETAIL TRANSAKSI'!$E$5:$E$504,'DETAIL TRANSAKSI'!$B$5:$B$504,'MASTER MENU'!A35,'DETAIL TRANSAKSI'!$P$5:$P$504,"&gt;="&amp;$B$3,'DETAIL TRANSAKSI'!$P$5:$P$504,"&lt;="&amp;$D$3,'DETAIL TRANSAKSI'!$Q$5:$Q$504,"Lunas"))</f>
        <v/>
      </c>
    </row>
    <row r="59" customFormat="false" ht="15" hidden="false" customHeight="false" outlineLevel="0" collapsed="false">
      <c r="E59" s="0" t="str">
        <f aca="false">IF('MASTER MENU'!A36="","",'MASTER MENU'!B36)</f>
        <v/>
      </c>
      <c r="F59" s="0" t="str">
        <f aca="false">IF(E59="","",SUMIFS('DETAIL TRANSAKSI'!$E$5:$E$504,'DETAIL TRANSAKSI'!$B$5:$B$504,'MASTER MENU'!A36,'DETAIL TRANSAKSI'!$P$5:$P$504,"&gt;="&amp;$B$3,'DETAIL TRANSAKSI'!$P$5:$P$504,"&lt;="&amp;$D$3,'DETAIL TRANSAKSI'!$Q$5:$Q$504,"Lunas"))</f>
        <v/>
      </c>
    </row>
    <row r="60" customFormat="false" ht="15" hidden="false" customHeight="false" outlineLevel="0" collapsed="false">
      <c r="E60" s="0" t="str">
        <f aca="false">IF('MASTER MENU'!A37="","",'MASTER MENU'!B37)</f>
        <v/>
      </c>
      <c r="F60" s="0" t="str">
        <f aca="false">IF(E60="","",SUMIFS('DETAIL TRANSAKSI'!$E$5:$E$504,'DETAIL TRANSAKSI'!$B$5:$B$504,'MASTER MENU'!A37,'DETAIL TRANSAKSI'!$P$5:$P$504,"&gt;="&amp;$B$3,'DETAIL TRANSAKSI'!$P$5:$P$504,"&lt;="&amp;$D$3,'DETAIL TRANSAKSI'!$Q$5:$Q$504,"Lunas"))</f>
        <v/>
      </c>
    </row>
    <row r="61" customFormat="false" ht="15" hidden="false" customHeight="false" outlineLevel="0" collapsed="false">
      <c r="E61" s="0" t="str">
        <f aca="false">IF('MASTER MENU'!A38="","",'MASTER MENU'!B38)</f>
        <v/>
      </c>
      <c r="F61" s="0" t="str">
        <f aca="false">IF(E61="","",SUMIFS('DETAIL TRANSAKSI'!$E$5:$E$504,'DETAIL TRANSAKSI'!$B$5:$B$504,'MASTER MENU'!A38,'DETAIL TRANSAKSI'!$P$5:$P$504,"&gt;="&amp;$B$3,'DETAIL TRANSAKSI'!$P$5:$P$504,"&lt;="&amp;$D$3,'DETAIL TRANSAKSI'!$Q$5:$Q$504,"Lunas"))</f>
        <v/>
      </c>
    </row>
    <row r="62" customFormat="false" ht="15" hidden="false" customHeight="false" outlineLevel="0" collapsed="false">
      <c r="E62" s="0" t="str">
        <f aca="false">IF('MASTER MENU'!A39="","",'MASTER MENU'!B39)</f>
        <v/>
      </c>
      <c r="F62" s="0" t="str">
        <f aca="false">IF(E62="","",SUMIFS('DETAIL TRANSAKSI'!$E$5:$E$504,'DETAIL TRANSAKSI'!$B$5:$B$504,'MASTER MENU'!A39,'DETAIL TRANSAKSI'!$P$5:$P$504,"&gt;="&amp;$B$3,'DETAIL TRANSAKSI'!$P$5:$P$504,"&lt;="&amp;$D$3,'DETAIL TRANSAKSI'!$Q$5:$Q$504,"Lunas"))</f>
        <v/>
      </c>
    </row>
    <row r="63" customFormat="false" ht="15" hidden="false" customHeight="false" outlineLevel="0" collapsed="false">
      <c r="E63" s="0" t="str">
        <f aca="false">IF('MASTER MENU'!A40="","",'MASTER MENU'!B40)</f>
        <v/>
      </c>
      <c r="F63" s="0" t="str">
        <f aca="false">IF(E63="","",SUMIFS('DETAIL TRANSAKSI'!$E$5:$E$504,'DETAIL TRANSAKSI'!$B$5:$B$504,'MASTER MENU'!A40,'DETAIL TRANSAKSI'!$P$5:$P$504,"&gt;="&amp;$B$3,'DETAIL TRANSAKSI'!$P$5:$P$504,"&lt;="&amp;$D$3,'DETAIL TRANSAKSI'!$Q$5:$Q$504,"Lunas"))</f>
        <v/>
      </c>
    </row>
    <row r="64" customFormat="false" ht="15" hidden="false" customHeight="false" outlineLevel="0" collapsed="false">
      <c r="E64" s="0" t="str">
        <f aca="false">IF('MASTER MENU'!A41="","",'MASTER MENU'!B41)</f>
        <v/>
      </c>
      <c r="F64" s="0" t="str">
        <f aca="false">IF(E64="","",SUMIFS('DETAIL TRANSAKSI'!$E$5:$E$504,'DETAIL TRANSAKSI'!$B$5:$B$504,'MASTER MENU'!A41,'DETAIL TRANSAKSI'!$P$5:$P$504,"&gt;="&amp;$B$3,'DETAIL TRANSAKSI'!$P$5:$P$504,"&lt;="&amp;$D$3,'DETAIL TRANSAKSI'!$Q$5:$Q$504,"Lunas"))</f>
        <v/>
      </c>
    </row>
    <row r="65" customFormat="false" ht="15" hidden="false" customHeight="false" outlineLevel="0" collapsed="false">
      <c r="E65" s="0" t="str">
        <f aca="false">IF('MASTER MENU'!A42="","",'MASTER MENU'!B42)</f>
        <v/>
      </c>
      <c r="F65" s="0" t="str">
        <f aca="false">IF(E65="","",SUMIFS('DETAIL TRANSAKSI'!$E$5:$E$504,'DETAIL TRANSAKSI'!$B$5:$B$504,'MASTER MENU'!A42,'DETAIL TRANSAKSI'!$P$5:$P$504,"&gt;="&amp;$B$3,'DETAIL TRANSAKSI'!$P$5:$P$504,"&lt;="&amp;$D$3,'DETAIL TRANSAKSI'!$Q$5:$Q$504,"Lunas"))</f>
        <v/>
      </c>
    </row>
    <row r="66" customFormat="false" ht="15" hidden="false" customHeight="false" outlineLevel="0" collapsed="false">
      <c r="E66" s="0" t="str">
        <f aca="false">IF('MASTER MENU'!A43="","",'MASTER MENU'!B43)</f>
        <v/>
      </c>
      <c r="F66" s="0" t="str">
        <f aca="false">IF(E66="","",SUMIFS('DETAIL TRANSAKSI'!$E$5:$E$504,'DETAIL TRANSAKSI'!$B$5:$B$504,'MASTER MENU'!A43,'DETAIL TRANSAKSI'!$P$5:$P$504,"&gt;="&amp;$B$3,'DETAIL TRANSAKSI'!$P$5:$P$504,"&lt;="&amp;$D$3,'DETAIL TRANSAKSI'!$Q$5:$Q$504,"Lunas"))</f>
        <v/>
      </c>
    </row>
    <row r="67" customFormat="false" ht="15" hidden="false" customHeight="false" outlineLevel="0" collapsed="false">
      <c r="E67" s="0" t="str">
        <f aca="false">IF('MASTER MENU'!A44="","",'MASTER MENU'!B44)</f>
        <v/>
      </c>
      <c r="F67" s="0" t="str">
        <f aca="false">IF(E67="","",SUMIFS('DETAIL TRANSAKSI'!$E$5:$E$504,'DETAIL TRANSAKSI'!$B$5:$B$504,'MASTER MENU'!A44,'DETAIL TRANSAKSI'!$P$5:$P$504,"&gt;="&amp;$B$3,'DETAIL TRANSAKSI'!$P$5:$P$504,"&lt;="&amp;$D$3,'DETAIL TRANSAKSI'!$Q$5:$Q$504,"Lunas"))</f>
        <v/>
      </c>
    </row>
    <row r="68" customFormat="false" ht="15" hidden="false" customHeight="false" outlineLevel="0" collapsed="false">
      <c r="E68" s="0" t="str">
        <f aca="false">IF('MASTER MENU'!A45="","",'MASTER MENU'!B45)</f>
        <v/>
      </c>
      <c r="F68" s="0" t="str">
        <f aca="false">IF(E68="","",SUMIFS('DETAIL TRANSAKSI'!$E$5:$E$504,'DETAIL TRANSAKSI'!$B$5:$B$504,'MASTER MENU'!A45,'DETAIL TRANSAKSI'!$P$5:$P$504,"&gt;="&amp;$B$3,'DETAIL TRANSAKSI'!$P$5:$P$504,"&lt;="&amp;$D$3,'DETAIL TRANSAKSI'!$Q$5:$Q$504,"Lunas"))</f>
        <v/>
      </c>
    </row>
    <row r="69" customFormat="false" ht="15" hidden="false" customHeight="false" outlineLevel="0" collapsed="false">
      <c r="E69" s="0" t="str">
        <f aca="false">IF('MASTER MENU'!A46="","",'MASTER MENU'!B46)</f>
        <v/>
      </c>
      <c r="F69" s="0" t="str">
        <f aca="false">IF(E69="","",SUMIFS('DETAIL TRANSAKSI'!$E$5:$E$504,'DETAIL TRANSAKSI'!$B$5:$B$504,'MASTER MENU'!A46,'DETAIL TRANSAKSI'!$P$5:$P$504,"&gt;="&amp;$B$3,'DETAIL TRANSAKSI'!$P$5:$P$504,"&lt;="&amp;$D$3,'DETAIL TRANSAKSI'!$Q$5:$Q$504,"Lunas"))</f>
        <v/>
      </c>
    </row>
    <row r="70" customFormat="false" ht="15" hidden="false" customHeight="false" outlineLevel="0" collapsed="false">
      <c r="E70" s="0" t="str">
        <f aca="false">IF('MASTER MENU'!A47="","",'MASTER MENU'!B47)</f>
        <v/>
      </c>
      <c r="F70" s="0" t="str">
        <f aca="false">IF(E70="","",SUMIFS('DETAIL TRANSAKSI'!$E$5:$E$504,'DETAIL TRANSAKSI'!$B$5:$B$504,'MASTER MENU'!A47,'DETAIL TRANSAKSI'!$P$5:$P$504,"&gt;="&amp;$B$3,'DETAIL TRANSAKSI'!$P$5:$P$504,"&lt;="&amp;$D$3,'DETAIL TRANSAKSI'!$Q$5:$Q$504,"Lunas"))</f>
        <v/>
      </c>
    </row>
    <row r="71" customFormat="false" ht="15" hidden="false" customHeight="false" outlineLevel="0" collapsed="false">
      <c r="E71" s="0" t="str">
        <f aca="false">IF('MASTER MENU'!A48="","",'MASTER MENU'!B48)</f>
        <v/>
      </c>
      <c r="F71" s="0" t="str">
        <f aca="false">IF(E71="","",SUMIFS('DETAIL TRANSAKSI'!$E$5:$E$504,'DETAIL TRANSAKSI'!$B$5:$B$504,'MASTER MENU'!A48,'DETAIL TRANSAKSI'!$P$5:$P$504,"&gt;="&amp;$B$3,'DETAIL TRANSAKSI'!$P$5:$P$504,"&lt;="&amp;$D$3,'DETAIL TRANSAKSI'!$Q$5:$Q$504,"Lunas"))</f>
        <v/>
      </c>
    </row>
    <row r="72" customFormat="false" ht="15" hidden="false" customHeight="false" outlineLevel="0" collapsed="false">
      <c r="E72" s="0" t="str">
        <f aca="false">IF('MASTER MENU'!A49="","",'MASTER MENU'!B49)</f>
        <v/>
      </c>
      <c r="F72" s="0" t="str">
        <f aca="false">IF(E72="","",SUMIFS('DETAIL TRANSAKSI'!$E$5:$E$504,'DETAIL TRANSAKSI'!$B$5:$B$504,'MASTER MENU'!A49,'DETAIL TRANSAKSI'!$P$5:$P$504,"&gt;="&amp;$B$3,'DETAIL TRANSAKSI'!$P$5:$P$504,"&lt;="&amp;$D$3,'DETAIL TRANSAKSI'!$Q$5:$Q$504,"Lunas"))</f>
        <v/>
      </c>
    </row>
    <row r="73" customFormat="false" ht="15" hidden="false" customHeight="false" outlineLevel="0" collapsed="false">
      <c r="E73" s="0" t="str">
        <f aca="false">IF('MASTER MENU'!A50="","",'MASTER MENU'!B50)</f>
        <v/>
      </c>
      <c r="F73" s="0" t="str">
        <f aca="false">IF(E73="","",SUMIFS('DETAIL TRANSAKSI'!$E$5:$E$504,'DETAIL TRANSAKSI'!$B$5:$B$504,'MASTER MENU'!A50,'DETAIL TRANSAKSI'!$P$5:$P$504,"&gt;="&amp;$B$3,'DETAIL TRANSAKSI'!$P$5:$P$504,"&lt;="&amp;$D$3,'DETAIL TRANSAKSI'!$Q$5:$Q$504,"Lunas"))</f>
        <v/>
      </c>
    </row>
    <row r="74" customFormat="false" ht="15" hidden="false" customHeight="false" outlineLevel="0" collapsed="false">
      <c r="E74" s="0" t="str">
        <f aca="false">IF('MASTER MENU'!A51="","",'MASTER MENU'!B51)</f>
        <v/>
      </c>
      <c r="F74" s="0" t="str">
        <f aca="false">IF(E74="","",SUMIFS('DETAIL TRANSAKSI'!$E$5:$E$504,'DETAIL TRANSAKSI'!$B$5:$B$504,'MASTER MENU'!A51,'DETAIL TRANSAKSI'!$P$5:$P$504,"&gt;="&amp;$B$3,'DETAIL TRANSAKSI'!$P$5:$P$504,"&lt;="&amp;$D$3,'DETAIL TRANSAKSI'!$Q$5:$Q$504,"Lunas"))</f>
        <v/>
      </c>
    </row>
    <row r="75" customFormat="false" ht="15" hidden="false" customHeight="false" outlineLevel="0" collapsed="false">
      <c r="E75" s="0" t="str">
        <f aca="false">IF('MASTER MENU'!A52="","",'MASTER MENU'!B52)</f>
        <v/>
      </c>
      <c r="F75" s="0" t="str">
        <f aca="false">IF(E75="","",SUMIFS('DETAIL TRANSAKSI'!$E$5:$E$504,'DETAIL TRANSAKSI'!$B$5:$B$504,'MASTER MENU'!A52,'DETAIL TRANSAKSI'!$P$5:$P$504,"&gt;="&amp;$B$3,'DETAIL TRANSAKSI'!$P$5:$P$504,"&lt;="&amp;$D$3,'DETAIL TRANSAKSI'!$Q$5:$Q$504,"Lunas"))</f>
        <v/>
      </c>
    </row>
    <row r="76" customFormat="false" ht="15" hidden="false" customHeight="false" outlineLevel="0" collapsed="false">
      <c r="E76" s="0" t="str">
        <f aca="false">IF('MASTER MENU'!A53="","",'MASTER MENU'!B53)</f>
        <v/>
      </c>
      <c r="F76" s="0" t="str">
        <f aca="false">IF(E76="","",SUMIFS('DETAIL TRANSAKSI'!$E$5:$E$504,'DETAIL TRANSAKSI'!$B$5:$B$504,'MASTER MENU'!A53,'DETAIL TRANSAKSI'!$P$5:$P$504,"&gt;="&amp;$B$3,'DETAIL TRANSAKSI'!$P$5:$P$504,"&lt;="&amp;$D$3,'DETAIL TRANSAKSI'!$Q$5:$Q$504,"Lunas"))</f>
        <v/>
      </c>
    </row>
    <row r="77" customFormat="false" ht="15" hidden="false" customHeight="false" outlineLevel="0" collapsed="false">
      <c r="E77" s="0" t="str">
        <f aca="false">IF('MASTER MENU'!A54="","",'MASTER MENU'!B54)</f>
        <v/>
      </c>
      <c r="F77" s="0" t="str">
        <f aca="false">IF(E77="","",SUMIFS('DETAIL TRANSAKSI'!$E$5:$E$504,'DETAIL TRANSAKSI'!$B$5:$B$504,'MASTER MENU'!A54,'DETAIL TRANSAKSI'!$P$5:$P$504,"&gt;="&amp;$B$3,'DETAIL TRANSAKSI'!$P$5:$P$504,"&lt;="&amp;$D$3,'DETAIL TRANSAKSI'!$Q$5:$Q$504,"Lunas"))</f>
        <v/>
      </c>
    </row>
    <row r="78" customFormat="false" ht="15" hidden="false" customHeight="false" outlineLevel="0" collapsed="false">
      <c r="E78" s="0" t="str">
        <f aca="false">IF('MASTER MENU'!A55="","",'MASTER MENU'!B55)</f>
        <v/>
      </c>
      <c r="F78" s="0" t="str">
        <f aca="false">IF(E78="","",SUMIFS('DETAIL TRANSAKSI'!$E$5:$E$504,'DETAIL TRANSAKSI'!$B$5:$B$504,'MASTER MENU'!A55,'DETAIL TRANSAKSI'!$P$5:$P$504,"&gt;="&amp;$B$3,'DETAIL TRANSAKSI'!$P$5:$P$504,"&lt;="&amp;$D$3,'DETAIL TRANSAKSI'!$Q$5:$Q$504,"Lunas"))</f>
        <v/>
      </c>
    </row>
    <row r="79" customFormat="false" ht="15" hidden="false" customHeight="false" outlineLevel="0" collapsed="false">
      <c r="E79" s="0" t="str">
        <f aca="false">IF('MASTER MENU'!A56="","",'MASTER MENU'!B56)</f>
        <v/>
      </c>
      <c r="F79" s="0" t="str">
        <f aca="false">IF(E79="","",SUMIFS('DETAIL TRANSAKSI'!$E$5:$E$504,'DETAIL TRANSAKSI'!$B$5:$B$504,'MASTER MENU'!A56,'DETAIL TRANSAKSI'!$P$5:$P$504,"&gt;="&amp;$B$3,'DETAIL TRANSAKSI'!$P$5:$P$504,"&lt;="&amp;$D$3,'DETAIL TRANSAKSI'!$Q$5:$Q$504,"Lunas"))</f>
        <v/>
      </c>
    </row>
    <row r="80" customFormat="false" ht="15" hidden="false" customHeight="false" outlineLevel="0" collapsed="false">
      <c r="E80" s="0" t="str">
        <f aca="false">IF('MASTER MENU'!A57="","",'MASTER MENU'!B57)</f>
        <v/>
      </c>
      <c r="F80" s="0" t="str">
        <f aca="false">IF(E80="","",SUMIFS('DETAIL TRANSAKSI'!$E$5:$E$504,'DETAIL TRANSAKSI'!$B$5:$B$504,'MASTER MENU'!A57,'DETAIL TRANSAKSI'!$P$5:$P$504,"&gt;="&amp;$B$3,'DETAIL TRANSAKSI'!$P$5:$P$504,"&lt;="&amp;$D$3,'DETAIL TRANSAKSI'!$Q$5:$Q$504,"Lunas"))</f>
        <v/>
      </c>
    </row>
    <row r="81" customFormat="false" ht="15" hidden="false" customHeight="false" outlineLevel="0" collapsed="false">
      <c r="E81" s="0" t="str">
        <f aca="false">IF('MASTER MENU'!A58="","",'MASTER MENU'!B58)</f>
        <v/>
      </c>
      <c r="F81" s="0" t="str">
        <f aca="false">IF(E81="","",SUMIFS('DETAIL TRANSAKSI'!$E$5:$E$504,'DETAIL TRANSAKSI'!$B$5:$B$504,'MASTER MENU'!A58,'DETAIL TRANSAKSI'!$P$5:$P$504,"&gt;="&amp;$B$3,'DETAIL TRANSAKSI'!$P$5:$P$504,"&lt;="&amp;$D$3,'DETAIL TRANSAKSI'!$Q$5:$Q$504,"Lunas"))</f>
        <v/>
      </c>
    </row>
    <row r="82" customFormat="false" ht="15" hidden="false" customHeight="false" outlineLevel="0" collapsed="false">
      <c r="E82" s="0" t="str">
        <f aca="false">IF('MASTER MENU'!A59="","",'MASTER MENU'!B59)</f>
        <v/>
      </c>
      <c r="F82" s="0" t="str">
        <f aca="false">IF(E82="","",SUMIFS('DETAIL TRANSAKSI'!$E$5:$E$504,'DETAIL TRANSAKSI'!$B$5:$B$504,'MASTER MENU'!A59,'DETAIL TRANSAKSI'!$P$5:$P$504,"&gt;="&amp;$B$3,'DETAIL TRANSAKSI'!$P$5:$P$504,"&lt;="&amp;$D$3,'DETAIL TRANSAKSI'!$Q$5:$Q$504,"Lunas"))</f>
        <v/>
      </c>
    </row>
    <row r="83" customFormat="false" ht="15" hidden="false" customHeight="false" outlineLevel="0" collapsed="false">
      <c r="E83" s="0" t="str">
        <f aca="false">IF('MASTER MENU'!A60="","",'MASTER MENU'!B60)</f>
        <v/>
      </c>
      <c r="F83" s="0" t="str">
        <f aca="false">IF(E83="","",SUMIFS('DETAIL TRANSAKSI'!$E$5:$E$504,'DETAIL TRANSAKSI'!$B$5:$B$504,'MASTER MENU'!A60,'DETAIL TRANSAKSI'!$P$5:$P$504,"&gt;="&amp;$B$3,'DETAIL TRANSAKSI'!$P$5:$P$504,"&lt;="&amp;$D$3,'DETAIL TRANSAKSI'!$Q$5:$Q$504,"Lunas"))</f>
        <v/>
      </c>
    </row>
    <row r="84" customFormat="false" ht="15" hidden="false" customHeight="false" outlineLevel="0" collapsed="false">
      <c r="E84" s="0" t="str">
        <f aca="false">IF('MASTER MENU'!A61="","",'MASTER MENU'!B61)</f>
        <v/>
      </c>
      <c r="F84" s="0" t="str">
        <f aca="false">IF(E84="","",SUMIFS('DETAIL TRANSAKSI'!$E$5:$E$504,'DETAIL TRANSAKSI'!$B$5:$B$504,'MASTER MENU'!A61,'DETAIL TRANSAKSI'!$P$5:$P$504,"&gt;="&amp;$B$3,'DETAIL TRANSAKSI'!$P$5:$P$504,"&lt;="&amp;$D$3,'DETAIL TRANSAKSI'!$Q$5:$Q$504,"Lunas"))</f>
        <v/>
      </c>
    </row>
    <row r="85" customFormat="false" ht="15" hidden="false" customHeight="false" outlineLevel="0" collapsed="false">
      <c r="E85" s="0" t="str">
        <f aca="false">IF('MASTER MENU'!A62="","",'MASTER MENU'!B62)</f>
        <v/>
      </c>
      <c r="F85" s="0" t="str">
        <f aca="false">IF(E85="","",SUMIFS('DETAIL TRANSAKSI'!$E$5:$E$504,'DETAIL TRANSAKSI'!$B$5:$B$504,'MASTER MENU'!A62,'DETAIL TRANSAKSI'!$P$5:$P$504,"&gt;="&amp;$B$3,'DETAIL TRANSAKSI'!$P$5:$P$504,"&lt;="&amp;$D$3,'DETAIL TRANSAKSI'!$Q$5:$Q$504,"Lunas"))</f>
        <v/>
      </c>
    </row>
    <row r="86" customFormat="false" ht="15" hidden="false" customHeight="false" outlineLevel="0" collapsed="false">
      <c r="E86" s="0" t="str">
        <f aca="false">IF('MASTER MENU'!A63="","",'MASTER MENU'!B63)</f>
        <v/>
      </c>
      <c r="F86" s="0" t="str">
        <f aca="false">IF(E86="","",SUMIFS('DETAIL TRANSAKSI'!$E$5:$E$504,'DETAIL TRANSAKSI'!$B$5:$B$504,'MASTER MENU'!A63,'DETAIL TRANSAKSI'!$P$5:$P$504,"&gt;="&amp;$B$3,'DETAIL TRANSAKSI'!$P$5:$P$504,"&lt;="&amp;$D$3,'DETAIL TRANSAKSI'!$Q$5:$Q$504,"Lunas"))</f>
        <v/>
      </c>
    </row>
    <row r="87" customFormat="false" ht="15" hidden="false" customHeight="false" outlineLevel="0" collapsed="false">
      <c r="E87" s="0" t="str">
        <f aca="false">IF('MASTER MENU'!A64="","",'MASTER MENU'!B64)</f>
        <v/>
      </c>
      <c r="F87" s="0" t="str">
        <f aca="false">IF(E87="","",SUMIFS('DETAIL TRANSAKSI'!$E$5:$E$504,'DETAIL TRANSAKSI'!$B$5:$B$504,'MASTER MENU'!A64,'DETAIL TRANSAKSI'!$P$5:$P$504,"&gt;="&amp;$B$3,'DETAIL TRANSAKSI'!$P$5:$P$504,"&lt;="&amp;$D$3,'DETAIL TRANSAKSI'!$Q$5:$Q$504,"Lunas"))</f>
        <v/>
      </c>
    </row>
    <row r="91" customFormat="false" ht="30" hidden="false" customHeight="true" outlineLevel="0" collapsed="false">
      <c r="E91" s="38" t="s">
        <v>386</v>
      </c>
      <c r="F91" s="38" t="s">
        <v>77</v>
      </c>
    </row>
    <row r="92" customFormat="false" ht="15" hidden="false" customHeight="false" outlineLevel="0" collapsed="false">
      <c r="E92" s="0" t="str">
        <f aca="false">IF('RINGKASAN STOK'!A5="","",'RINGKASAN STOK'!B5)</f>
        <v>Biji kopi</v>
      </c>
      <c r="F92" s="0" t="str">
        <f aca="false">IF(E92="","",'RINGKASAN STOK'!J5)</f>
        <v>Aman</v>
      </c>
    </row>
    <row r="93" customFormat="false" ht="15" hidden="false" customHeight="false" outlineLevel="0" collapsed="false">
      <c r="E93" s="0" t="str">
        <f aca="false">IF('RINGKASAN STOK'!A6="","",'RINGKASAN STOK'!B6)</f>
        <v>Susu UHT</v>
      </c>
      <c r="F93" s="0" t="str">
        <f aca="false">IF(E93="","",'RINGKASAN STOK'!J6)</f>
        <v>Aman</v>
      </c>
    </row>
    <row r="94" customFormat="false" ht="15" hidden="false" customHeight="false" outlineLevel="0" collapsed="false">
      <c r="E94" s="0" t="str">
        <f aca="false">IF('RINGKASAN STOK'!A7="","",'RINGKASAN STOK'!B7)</f>
        <v>Gula aren</v>
      </c>
      <c r="F94" s="0" t="str">
        <f aca="false">IF(E94="","",'RINGKASAN STOK'!J7)</f>
        <v>Aman</v>
      </c>
    </row>
    <row r="95" customFormat="false" ht="15" hidden="false" customHeight="false" outlineLevel="0" collapsed="false">
      <c r="E95" s="0" t="str">
        <f aca="false">IF('RINGKASAN STOK'!A8="","",'RINGKASAN STOK'!B8)</f>
        <v>Air mineral</v>
      </c>
      <c r="F95" s="0" t="str">
        <f aca="false">IF(E95="","",'RINGKASAN STOK'!J8)</f>
        <v>Aman</v>
      </c>
    </row>
    <row r="96" customFormat="false" ht="15" hidden="false" customHeight="false" outlineLevel="0" collapsed="false">
      <c r="E96" s="0" t="str">
        <f aca="false">IF('RINGKASAN STOK'!A9="","",'RINGKASAN STOK'!B9)</f>
        <v>Bubuk matcha</v>
      </c>
      <c r="F96" s="0" t="str">
        <f aca="false">IF(E96="","",'RINGKASAN STOK'!J9)</f>
        <v>Aman</v>
      </c>
    </row>
    <row r="97" customFormat="false" ht="15" hidden="false" customHeight="false" outlineLevel="0" collapsed="false">
      <c r="E97" s="0" t="str">
        <f aca="false">IF('RINGKASAN STOK'!A10="","",'RINGKASAN STOK'!B10)</f>
        <v>Teh celup</v>
      </c>
      <c r="F97" s="0" t="str">
        <f aca="false">IF(E97="","",'RINGKASAN STOK'!J10)</f>
        <v>Aman</v>
      </c>
    </row>
    <row r="98" customFormat="false" ht="15" hidden="false" customHeight="false" outlineLevel="0" collapsed="false">
      <c r="E98" s="0" t="str">
        <f aca="false">IF('RINGKASAN STOK'!A11="","",'RINGKASAN STOK'!B11)</f>
        <v>Lemon</v>
      </c>
      <c r="F98" s="0" t="str">
        <f aca="false">IF(E98="","",'RINGKASAN STOK'!J11)</f>
        <v>Aman</v>
      </c>
    </row>
    <row r="99" customFormat="false" ht="15" hidden="false" customHeight="false" outlineLevel="0" collapsed="false">
      <c r="E99" s="0" t="str">
        <f aca="false">IF('RINGKASAN STOK'!A12="","",'RINGKASAN STOK'!B12)</f>
        <v>Croissant beku</v>
      </c>
      <c r="F99" s="0" t="str">
        <f aca="false">IF(E99="","",'RINGKASAN STOK'!J12)</f>
        <v>Aman</v>
      </c>
    </row>
    <row r="100" customFormat="false" ht="15" hidden="false" customHeight="false" outlineLevel="0" collapsed="false">
      <c r="E100" s="0" t="str">
        <f aca="false">IF('RINGKASAN STOK'!A13="","",'RINGKASAN STOK'!B13)</f>
        <v>Beras</v>
      </c>
      <c r="F100" s="0" t="str">
        <f aca="false">IF(E100="","",'RINGKASAN STOK'!J13)</f>
        <v>Aman</v>
      </c>
    </row>
    <row r="101" customFormat="false" ht="15" hidden="false" customHeight="false" outlineLevel="0" collapsed="false">
      <c r="E101" s="0" t="str">
        <f aca="false">IF('RINGKASAN STOK'!A14="","",'RINGKASAN STOK'!B14)</f>
        <v>Telur</v>
      </c>
      <c r="F101" s="0" t="str">
        <f aca="false">IF(E101="","",'RINGKASAN STOK'!J14)</f>
        <v>Aman</v>
      </c>
    </row>
    <row r="102" customFormat="false" ht="15" hidden="false" customHeight="false" outlineLevel="0" collapsed="false">
      <c r="E102" s="0" t="str">
        <f aca="false">IF('RINGKASAN STOK'!A15="","",'RINGKASAN STOK'!B15)</f>
        <v>Kentang beku</v>
      </c>
      <c r="F102" s="0" t="str">
        <f aca="false">IF(E102="","",'RINGKASAN STOK'!J15)</f>
        <v>Aman</v>
      </c>
    </row>
    <row r="103" customFormat="false" ht="15" hidden="false" customHeight="false" outlineLevel="0" collapsed="false">
      <c r="E103" s="0" t="str">
        <f aca="false">IF('RINGKASAN STOK'!A16="","",'RINGKASAN STOK'!B16)</f>
        <v>Roti</v>
      </c>
      <c r="F103" s="0" t="str">
        <f aca="false">IF(E103="","",'RINGKASAN STOK'!J16)</f>
        <v>Aman</v>
      </c>
    </row>
    <row r="104" customFormat="false" ht="15" hidden="false" customHeight="false" outlineLevel="0" collapsed="false">
      <c r="E104" s="0" t="str">
        <f aca="false">IF('RINGKASAN STOK'!A17="","",'RINGKASAN STOK'!B17)</f>
        <v/>
      </c>
      <c r="F104" s="0" t="str">
        <f aca="false">IF(E104="","",'RINGKASAN STOK'!J17)</f>
        <v/>
      </c>
    </row>
    <row r="105" customFormat="false" ht="15" hidden="false" customHeight="false" outlineLevel="0" collapsed="false">
      <c r="E105" s="0" t="str">
        <f aca="false">IF('RINGKASAN STOK'!A18="","",'RINGKASAN STOK'!B18)</f>
        <v/>
      </c>
      <c r="F105" s="0" t="str">
        <f aca="false">IF(E105="","",'RINGKASAN STOK'!J18)</f>
        <v/>
      </c>
    </row>
    <row r="106" customFormat="false" ht="15" hidden="false" customHeight="false" outlineLevel="0" collapsed="false">
      <c r="E106" s="0" t="str">
        <f aca="false">IF('RINGKASAN STOK'!A19="","",'RINGKASAN STOK'!B19)</f>
        <v/>
      </c>
      <c r="F106" s="0" t="str">
        <f aca="false">IF(E106="","",'RINGKASAN STOK'!J19)</f>
        <v/>
      </c>
    </row>
    <row r="107" customFormat="false" ht="15" hidden="false" customHeight="false" outlineLevel="0" collapsed="false">
      <c r="E107" s="0" t="str">
        <f aca="false">IF('RINGKASAN STOK'!A20="","",'RINGKASAN STOK'!B20)</f>
        <v/>
      </c>
      <c r="F107" s="0" t="str">
        <f aca="false">IF(E107="","",'RINGKASAN STOK'!J20)</f>
        <v/>
      </c>
    </row>
    <row r="108" customFormat="false" ht="15" hidden="false" customHeight="false" outlineLevel="0" collapsed="false">
      <c r="E108" s="0" t="str">
        <f aca="false">IF('RINGKASAN STOK'!A21="","",'RINGKASAN STOK'!B21)</f>
        <v/>
      </c>
      <c r="F108" s="0" t="str">
        <f aca="false">IF(E108="","",'RINGKASAN STOK'!J21)</f>
        <v/>
      </c>
    </row>
    <row r="109" customFormat="false" ht="15" hidden="false" customHeight="false" outlineLevel="0" collapsed="false">
      <c r="E109" s="0" t="str">
        <f aca="false">IF('RINGKASAN STOK'!A22="","",'RINGKASAN STOK'!B22)</f>
        <v/>
      </c>
      <c r="F109" s="0" t="str">
        <f aca="false">IF(E109="","",'RINGKASAN STOK'!J22)</f>
        <v/>
      </c>
    </row>
    <row r="110" customFormat="false" ht="15" hidden="false" customHeight="false" outlineLevel="0" collapsed="false">
      <c r="E110" s="0" t="str">
        <f aca="false">IF('RINGKASAN STOK'!A23="","",'RINGKASAN STOK'!B23)</f>
        <v/>
      </c>
      <c r="F110" s="0" t="str">
        <f aca="false">IF(E110="","",'RINGKASAN STOK'!J23)</f>
        <v/>
      </c>
    </row>
    <row r="111" customFormat="false" ht="15" hidden="false" customHeight="false" outlineLevel="0" collapsed="false">
      <c r="E111" s="0" t="str">
        <f aca="false">IF('RINGKASAN STOK'!A24="","",'RINGKASAN STOK'!B24)</f>
        <v/>
      </c>
      <c r="F111" s="0" t="str">
        <f aca="false">IF(E111="","",'RINGKASAN STOK'!J24)</f>
        <v/>
      </c>
    </row>
    <row r="112" customFormat="false" ht="15" hidden="false" customHeight="false" outlineLevel="0" collapsed="false">
      <c r="E112" s="0" t="str">
        <f aca="false">IF('RINGKASAN STOK'!A25="","",'RINGKASAN STOK'!B25)</f>
        <v/>
      </c>
      <c r="F112" s="0" t="str">
        <f aca="false">IF(E112="","",'RINGKASAN STOK'!J25)</f>
        <v/>
      </c>
    </row>
    <row r="113" customFormat="false" ht="15" hidden="false" customHeight="false" outlineLevel="0" collapsed="false">
      <c r="E113" s="0" t="str">
        <f aca="false">IF('RINGKASAN STOK'!A26="","",'RINGKASAN STOK'!B26)</f>
        <v/>
      </c>
      <c r="F113" s="0" t="str">
        <f aca="false">IF(E113="","",'RINGKASAN STOK'!J26)</f>
        <v/>
      </c>
    </row>
    <row r="114" customFormat="false" ht="15" hidden="false" customHeight="false" outlineLevel="0" collapsed="false">
      <c r="E114" s="0" t="str">
        <f aca="false">IF('RINGKASAN STOK'!A27="","",'RINGKASAN STOK'!B27)</f>
        <v/>
      </c>
      <c r="F114" s="0" t="str">
        <f aca="false">IF(E114="","",'RINGKASAN STOK'!J27)</f>
        <v/>
      </c>
    </row>
    <row r="115" customFormat="false" ht="15" hidden="false" customHeight="false" outlineLevel="0" collapsed="false">
      <c r="E115" s="0" t="str">
        <f aca="false">IF('RINGKASAN STOK'!A28="","",'RINGKASAN STOK'!B28)</f>
        <v/>
      </c>
      <c r="F115" s="0" t="str">
        <f aca="false">IF(E115="","",'RINGKASAN STOK'!J28)</f>
        <v/>
      </c>
    </row>
    <row r="116" customFormat="false" ht="15" hidden="false" customHeight="false" outlineLevel="0" collapsed="false">
      <c r="E116" s="0" t="str">
        <f aca="false">IF('RINGKASAN STOK'!A29="","",'RINGKASAN STOK'!B29)</f>
        <v/>
      </c>
      <c r="F116" s="0" t="str">
        <f aca="false">IF(E116="","",'RINGKASAN STOK'!J29)</f>
        <v/>
      </c>
    </row>
    <row r="117" customFormat="false" ht="15" hidden="false" customHeight="false" outlineLevel="0" collapsed="false">
      <c r="E117" s="0" t="str">
        <f aca="false">IF('RINGKASAN STOK'!A30="","",'RINGKASAN STOK'!B30)</f>
        <v/>
      </c>
      <c r="F117" s="0" t="str">
        <f aca="false">IF(E117="","",'RINGKASAN STOK'!J30)</f>
        <v/>
      </c>
    </row>
    <row r="118" customFormat="false" ht="15" hidden="false" customHeight="false" outlineLevel="0" collapsed="false">
      <c r="E118" s="0" t="str">
        <f aca="false">IF('RINGKASAN STOK'!A31="","",'RINGKASAN STOK'!B31)</f>
        <v/>
      </c>
      <c r="F118" s="0" t="str">
        <f aca="false">IF(E118="","",'RINGKASAN STOK'!J31)</f>
        <v/>
      </c>
    </row>
    <row r="119" customFormat="false" ht="15" hidden="false" customHeight="false" outlineLevel="0" collapsed="false">
      <c r="E119" s="0" t="str">
        <f aca="false">IF('RINGKASAN STOK'!A32="","",'RINGKASAN STOK'!B32)</f>
        <v/>
      </c>
      <c r="F119" s="0" t="str">
        <f aca="false">IF(E119="","",'RINGKASAN STOK'!J32)</f>
        <v/>
      </c>
    </row>
    <row r="120" customFormat="false" ht="15" hidden="false" customHeight="false" outlineLevel="0" collapsed="false">
      <c r="E120" s="0" t="str">
        <f aca="false">IF('RINGKASAN STOK'!A33="","",'RINGKASAN STOK'!B33)</f>
        <v/>
      </c>
      <c r="F120" s="0" t="str">
        <f aca="false">IF(E120="","",'RINGKASAN STOK'!J33)</f>
        <v/>
      </c>
    </row>
    <row r="121" customFormat="false" ht="15" hidden="false" customHeight="false" outlineLevel="0" collapsed="false">
      <c r="E121" s="0" t="str">
        <f aca="false">IF('RINGKASAN STOK'!A34="","",'RINGKASAN STOK'!B34)</f>
        <v/>
      </c>
      <c r="F121" s="0" t="str">
        <f aca="false">IF(E121="","",'RINGKASAN STOK'!J34)</f>
        <v/>
      </c>
    </row>
    <row r="122" customFormat="false" ht="15" hidden="false" customHeight="false" outlineLevel="0" collapsed="false">
      <c r="E122" s="0" t="str">
        <f aca="false">IF('RINGKASAN STOK'!A35="","",'RINGKASAN STOK'!B35)</f>
        <v/>
      </c>
      <c r="F122" s="0" t="str">
        <f aca="false">IF(E122="","",'RINGKASAN STOK'!J35)</f>
        <v/>
      </c>
    </row>
    <row r="123" customFormat="false" ht="15" hidden="false" customHeight="false" outlineLevel="0" collapsed="false">
      <c r="E123" s="0" t="str">
        <f aca="false">IF('RINGKASAN STOK'!A36="","",'RINGKASAN STOK'!B36)</f>
        <v/>
      </c>
      <c r="F123" s="0" t="str">
        <f aca="false">IF(E123="","",'RINGKASAN STOK'!J36)</f>
        <v/>
      </c>
    </row>
    <row r="124" customFormat="false" ht="15" hidden="false" customHeight="false" outlineLevel="0" collapsed="false">
      <c r="E124" s="0" t="str">
        <f aca="false">IF('RINGKASAN STOK'!A37="","",'RINGKASAN STOK'!B37)</f>
        <v/>
      </c>
      <c r="F124" s="0" t="str">
        <f aca="false">IF(E124="","",'RINGKASAN STOK'!J37)</f>
        <v/>
      </c>
    </row>
    <row r="125" customFormat="false" ht="15" hidden="false" customHeight="false" outlineLevel="0" collapsed="false">
      <c r="E125" s="0" t="str">
        <f aca="false">IF('RINGKASAN STOK'!A38="","",'RINGKASAN STOK'!B38)</f>
        <v/>
      </c>
      <c r="F125" s="0" t="str">
        <f aca="false">IF(E125="","",'RINGKASAN STOK'!J38)</f>
        <v/>
      </c>
    </row>
    <row r="126" customFormat="false" ht="15" hidden="false" customHeight="false" outlineLevel="0" collapsed="false">
      <c r="E126" s="0" t="str">
        <f aca="false">IF('RINGKASAN STOK'!A39="","",'RINGKASAN STOK'!B39)</f>
        <v/>
      </c>
      <c r="F126" s="0" t="str">
        <f aca="false">IF(E126="","",'RINGKASAN STOK'!J39)</f>
        <v/>
      </c>
    </row>
    <row r="127" customFormat="false" ht="15" hidden="false" customHeight="false" outlineLevel="0" collapsed="false">
      <c r="E127" s="0" t="str">
        <f aca="false">IF('RINGKASAN STOK'!A40="","",'RINGKASAN STOK'!B40)</f>
        <v/>
      </c>
      <c r="F127" s="0" t="str">
        <f aca="false">IF(E127="","",'RINGKASAN STOK'!J40)</f>
        <v/>
      </c>
    </row>
    <row r="128" customFormat="false" ht="15" hidden="false" customHeight="false" outlineLevel="0" collapsed="false">
      <c r="E128" s="0" t="str">
        <f aca="false">IF('RINGKASAN STOK'!A41="","",'RINGKASAN STOK'!B41)</f>
        <v/>
      </c>
      <c r="F128" s="0" t="str">
        <f aca="false">IF(E128="","",'RINGKASAN STOK'!J41)</f>
        <v/>
      </c>
    </row>
    <row r="129" customFormat="false" ht="15" hidden="false" customHeight="false" outlineLevel="0" collapsed="false">
      <c r="E129" s="0" t="str">
        <f aca="false">IF('RINGKASAN STOK'!A42="","",'RINGKASAN STOK'!B42)</f>
        <v/>
      </c>
      <c r="F129" s="0" t="str">
        <f aca="false">IF(E129="","",'RINGKASAN STOK'!J42)</f>
        <v/>
      </c>
    </row>
    <row r="130" customFormat="false" ht="15" hidden="false" customHeight="false" outlineLevel="0" collapsed="false">
      <c r="E130" s="0" t="str">
        <f aca="false">IF('RINGKASAN STOK'!A43="","",'RINGKASAN STOK'!B43)</f>
        <v/>
      </c>
      <c r="F130" s="0" t="str">
        <f aca="false">IF(E130="","",'RINGKASAN STOK'!J43)</f>
        <v/>
      </c>
    </row>
    <row r="131" customFormat="false" ht="15" hidden="false" customHeight="false" outlineLevel="0" collapsed="false">
      <c r="E131" s="0" t="str">
        <f aca="false">IF('RINGKASAN STOK'!A44="","",'RINGKASAN STOK'!B44)</f>
        <v/>
      </c>
      <c r="F131" s="0" t="str">
        <f aca="false">IF(E131="","",'RINGKASAN STOK'!J44)</f>
        <v/>
      </c>
    </row>
    <row r="132" customFormat="false" ht="15" hidden="false" customHeight="false" outlineLevel="0" collapsed="false">
      <c r="E132" s="0" t="str">
        <f aca="false">IF('RINGKASAN STOK'!A45="","",'RINGKASAN STOK'!B45)</f>
        <v/>
      </c>
      <c r="F132" s="0" t="str">
        <f aca="false">IF(E132="","",'RINGKASAN STOK'!J45)</f>
        <v/>
      </c>
    </row>
    <row r="133" customFormat="false" ht="15" hidden="false" customHeight="false" outlineLevel="0" collapsed="false">
      <c r="E133" s="0" t="str">
        <f aca="false">IF('RINGKASAN STOK'!A46="","",'RINGKASAN STOK'!B46)</f>
        <v/>
      </c>
      <c r="F133" s="0" t="str">
        <f aca="false">IF(E133="","",'RINGKASAN STOK'!J46)</f>
        <v/>
      </c>
    </row>
    <row r="134" customFormat="false" ht="15" hidden="false" customHeight="false" outlineLevel="0" collapsed="false">
      <c r="E134" s="0" t="str">
        <f aca="false">IF('RINGKASAN STOK'!A47="","",'RINGKASAN STOK'!B47)</f>
        <v/>
      </c>
      <c r="F134" s="0" t="str">
        <f aca="false">IF(E134="","",'RINGKASAN STOK'!J47)</f>
        <v/>
      </c>
    </row>
    <row r="135" customFormat="false" ht="15" hidden="false" customHeight="false" outlineLevel="0" collapsed="false">
      <c r="E135" s="0" t="str">
        <f aca="false">IF('RINGKASAN STOK'!A48="","",'RINGKASAN STOK'!B48)</f>
        <v/>
      </c>
      <c r="F135" s="0" t="str">
        <f aca="false">IF(E135="","",'RINGKASAN STOK'!J48)</f>
        <v/>
      </c>
    </row>
    <row r="136" customFormat="false" ht="15" hidden="false" customHeight="false" outlineLevel="0" collapsed="false">
      <c r="E136" s="0" t="str">
        <f aca="false">IF('RINGKASAN STOK'!A49="","",'RINGKASAN STOK'!B49)</f>
        <v/>
      </c>
      <c r="F136" s="0" t="str">
        <f aca="false">IF(E136="","",'RINGKASAN STOK'!J49)</f>
        <v/>
      </c>
    </row>
    <row r="137" customFormat="false" ht="15" hidden="false" customHeight="false" outlineLevel="0" collapsed="false">
      <c r="E137" s="0" t="str">
        <f aca="false">IF('RINGKASAN STOK'!A50="","",'RINGKASAN STOK'!B50)</f>
        <v/>
      </c>
      <c r="F137" s="0" t="str">
        <f aca="false">IF(E137="","",'RINGKASAN STOK'!J50)</f>
        <v/>
      </c>
    </row>
    <row r="138" customFormat="false" ht="15" hidden="false" customHeight="false" outlineLevel="0" collapsed="false">
      <c r="E138" s="0" t="str">
        <f aca="false">IF('RINGKASAN STOK'!A51="","",'RINGKASAN STOK'!B51)</f>
        <v/>
      </c>
      <c r="F138" s="0" t="str">
        <f aca="false">IF(E138="","",'RINGKASAN STOK'!J51)</f>
        <v/>
      </c>
    </row>
    <row r="139" customFormat="false" ht="15" hidden="false" customHeight="false" outlineLevel="0" collapsed="false">
      <c r="E139" s="0" t="str">
        <f aca="false">IF('RINGKASAN STOK'!A52="","",'RINGKASAN STOK'!B52)</f>
        <v/>
      </c>
      <c r="F139" s="0" t="str">
        <f aca="false">IF(E139="","",'RINGKASAN STOK'!J52)</f>
        <v/>
      </c>
    </row>
    <row r="140" customFormat="false" ht="15" hidden="false" customHeight="false" outlineLevel="0" collapsed="false">
      <c r="E140" s="0" t="str">
        <f aca="false">IF('RINGKASAN STOK'!A53="","",'RINGKASAN STOK'!B53)</f>
        <v/>
      </c>
      <c r="F140" s="0" t="str">
        <f aca="false">IF(E140="","",'RINGKASAN STOK'!J53)</f>
        <v/>
      </c>
    </row>
    <row r="141" customFormat="false" ht="15" hidden="false" customHeight="false" outlineLevel="0" collapsed="false">
      <c r="E141" s="0" t="str">
        <f aca="false">IF('RINGKASAN STOK'!A54="","",'RINGKASAN STOK'!B54)</f>
        <v/>
      </c>
      <c r="F141" s="0" t="str">
        <f aca="false">IF(E141="","",'RINGKASAN STOK'!J54)</f>
        <v/>
      </c>
    </row>
    <row r="142" customFormat="false" ht="15" hidden="false" customHeight="false" outlineLevel="0" collapsed="false">
      <c r="E142" s="0" t="str">
        <f aca="false">IF('RINGKASAN STOK'!A55="","",'RINGKASAN STOK'!B55)</f>
        <v/>
      </c>
      <c r="F142" s="0" t="str">
        <f aca="false">IF(E142="","",'RINGKASAN STOK'!J55)</f>
        <v/>
      </c>
    </row>
    <row r="143" customFormat="false" ht="15" hidden="false" customHeight="false" outlineLevel="0" collapsed="false">
      <c r="E143" s="0" t="str">
        <f aca="false">IF('RINGKASAN STOK'!A56="","",'RINGKASAN STOK'!B56)</f>
        <v/>
      </c>
      <c r="F143" s="0" t="str">
        <f aca="false">IF(E143="","",'RINGKASAN STOK'!J56)</f>
        <v/>
      </c>
    </row>
    <row r="144" customFormat="false" ht="15" hidden="false" customHeight="false" outlineLevel="0" collapsed="false">
      <c r="E144" s="0" t="str">
        <f aca="false">IF('RINGKASAN STOK'!A57="","",'RINGKASAN STOK'!B57)</f>
        <v/>
      </c>
      <c r="F144" s="0" t="str">
        <f aca="false">IF(E144="","",'RINGKASAN STOK'!J57)</f>
        <v/>
      </c>
    </row>
    <row r="145" customFormat="false" ht="15" hidden="false" customHeight="false" outlineLevel="0" collapsed="false">
      <c r="E145" s="0" t="str">
        <f aca="false">IF('RINGKASAN STOK'!A58="","",'RINGKASAN STOK'!B58)</f>
        <v/>
      </c>
      <c r="F145" s="0" t="str">
        <f aca="false">IF(E145="","",'RINGKASAN STOK'!J58)</f>
        <v/>
      </c>
    </row>
    <row r="146" customFormat="false" ht="15" hidden="false" customHeight="false" outlineLevel="0" collapsed="false">
      <c r="E146" s="0" t="str">
        <f aca="false">IF('RINGKASAN STOK'!A59="","",'RINGKASAN STOK'!B59)</f>
        <v/>
      </c>
      <c r="F146" s="0" t="str">
        <f aca="false">IF(E146="","",'RINGKASAN STOK'!J59)</f>
        <v/>
      </c>
    </row>
    <row r="147" customFormat="false" ht="15" hidden="false" customHeight="false" outlineLevel="0" collapsed="false">
      <c r="E147" s="0" t="str">
        <f aca="false">IF('RINGKASAN STOK'!A60="","",'RINGKASAN STOK'!B60)</f>
        <v/>
      </c>
      <c r="F147" s="0" t="str">
        <f aca="false">IF(E147="","",'RINGKASAN STOK'!J60)</f>
        <v/>
      </c>
    </row>
    <row r="148" customFormat="false" ht="15" hidden="false" customHeight="false" outlineLevel="0" collapsed="false">
      <c r="E148" s="0" t="str">
        <f aca="false">IF('RINGKASAN STOK'!A61="","",'RINGKASAN STOK'!B61)</f>
        <v/>
      </c>
      <c r="F148" s="0" t="str">
        <f aca="false">IF(E148="","",'RINGKASAN STOK'!J61)</f>
        <v/>
      </c>
    </row>
    <row r="149" customFormat="false" ht="15" hidden="false" customHeight="false" outlineLevel="0" collapsed="false">
      <c r="E149" s="0" t="str">
        <f aca="false">IF('RINGKASAN STOK'!A62="","",'RINGKASAN STOK'!B62)</f>
        <v/>
      </c>
      <c r="F149" s="0" t="str">
        <f aca="false">IF(E149="","",'RINGKASAN STOK'!J62)</f>
        <v/>
      </c>
    </row>
    <row r="150" customFormat="false" ht="15" hidden="false" customHeight="false" outlineLevel="0" collapsed="false">
      <c r="E150" s="0" t="str">
        <f aca="false">IF('RINGKASAN STOK'!A63="","",'RINGKASAN STOK'!B63)</f>
        <v/>
      </c>
      <c r="F150" s="0" t="str">
        <f aca="false">IF(E150="","",'RINGKASAN STOK'!J63)</f>
        <v/>
      </c>
    </row>
    <row r="151" customFormat="false" ht="15" hidden="false" customHeight="false" outlineLevel="0" collapsed="false">
      <c r="E151" s="0" t="str">
        <f aca="false">IF('RINGKASAN STOK'!A64="","",'RINGKASAN STOK'!B64)</f>
        <v/>
      </c>
      <c r="F151" s="0" t="str">
        <f aca="false">IF(E151="","",'RINGKASAN STOK'!J64)</f>
        <v/>
      </c>
    </row>
    <row r="154" customFormat="false" ht="30" hidden="false" customHeight="true" outlineLevel="0" collapsed="false">
      <c r="E154" s="38" t="s">
        <v>246</v>
      </c>
      <c r="F154" s="38" t="s">
        <v>301</v>
      </c>
      <c r="G154" s="38" t="s">
        <v>77</v>
      </c>
    </row>
    <row r="155" customFormat="false" ht="15" hidden="false" customHeight="false" outlineLevel="0" collapsed="false">
      <c r="E155" s="0" t="str">
        <f aca="false">IF('SHIFT KASIR'!A5="","",'SHIFT KASIR'!A5)</f>
        <v>CONTOH-SH01</v>
      </c>
      <c r="F155" s="44" t="n">
        <f aca="false">IF(E155="","",'SHIFT KASIR'!L5)</f>
        <v>0</v>
      </c>
      <c r="G155" s="0" t="str">
        <f aca="false">IF(E155="","",'SHIFT KASIR'!M5)</f>
        <v>Pas</v>
      </c>
    </row>
    <row r="156" customFormat="false" ht="15" hidden="false" customHeight="false" outlineLevel="0" collapsed="false">
      <c r="E156" s="0" t="str">
        <f aca="false">IF('SHIFT KASIR'!A6="","",'SHIFT KASIR'!A6)</f>
        <v/>
      </c>
      <c r="F156" s="44" t="str">
        <f aca="false">IF(E156="","",'SHIFT KASIR'!L6)</f>
        <v/>
      </c>
      <c r="G156" s="0" t="str">
        <f aca="false">IF(E156="","",'SHIFT KASIR'!M6)</f>
        <v/>
      </c>
    </row>
    <row r="157" customFormat="false" ht="15" hidden="false" customHeight="false" outlineLevel="0" collapsed="false">
      <c r="E157" s="0" t="str">
        <f aca="false">IF('SHIFT KASIR'!A7="","",'SHIFT KASIR'!A7)</f>
        <v/>
      </c>
      <c r="F157" s="44" t="str">
        <f aca="false">IF(E157="","",'SHIFT KASIR'!L7)</f>
        <v/>
      </c>
      <c r="G157" s="0" t="str">
        <f aca="false">IF(E157="","",'SHIFT KASIR'!M7)</f>
        <v/>
      </c>
    </row>
    <row r="158" customFormat="false" ht="15" hidden="false" customHeight="false" outlineLevel="0" collapsed="false">
      <c r="E158" s="0" t="str">
        <f aca="false">IF('SHIFT KASIR'!A8="","",'SHIFT KASIR'!A8)</f>
        <v/>
      </c>
      <c r="F158" s="44" t="str">
        <f aca="false">IF(E158="","",'SHIFT KASIR'!L8)</f>
        <v/>
      </c>
      <c r="G158" s="0" t="str">
        <f aca="false">IF(E158="","",'SHIFT KASIR'!M8)</f>
        <v/>
      </c>
    </row>
    <row r="159" customFormat="false" ht="15" hidden="false" customHeight="false" outlineLevel="0" collapsed="false">
      <c r="E159" s="0" t="str">
        <f aca="false">IF('SHIFT KASIR'!A9="","",'SHIFT KASIR'!A9)</f>
        <v/>
      </c>
      <c r="F159" s="44" t="str">
        <f aca="false">IF(E159="","",'SHIFT KASIR'!L9)</f>
        <v/>
      </c>
      <c r="G159" s="0" t="str">
        <f aca="false">IF(E159="","",'SHIFT KASIR'!M9)</f>
        <v/>
      </c>
    </row>
    <row r="160" customFormat="false" ht="15" hidden="false" customHeight="false" outlineLevel="0" collapsed="false">
      <c r="E160" s="0" t="str">
        <f aca="false">IF('SHIFT KASIR'!A10="","",'SHIFT KASIR'!A10)</f>
        <v/>
      </c>
      <c r="F160" s="44" t="str">
        <f aca="false">IF(E160="","",'SHIFT KASIR'!L10)</f>
        <v/>
      </c>
      <c r="G160" s="0" t="str">
        <f aca="false">IF(E160="","",'SHIFT KASIR'!M10)</f>
        <v/>
      </c>
    </row>
    <row r="161" customFormat="false" ht="15" hidden="false" customHeight="false" outlineLevel="0" collapsed="false">
      <c r="E161" s="0" t="str">
        <f aca="false">IF('SHIFT KASIR'!A11="","",'SHIFT KASIR'!A11)</f>
        <v/>
      </c>
      <c r="F161" s="44" t="str">
        <f aca="false">IF(E161="","",'SHIFT KASIR'!L11)</f>
        <v/>
      </c>
      <c r="G161" s="0" t="str">
        <f aca="false">IF(E161="","",'SHIFT KASIR'!M11)</f>
        <v/>
      </c>
    </row>
    <row r="162" customFormat="false" ht="15" hidden="false" customHeight="false" outlineLevel="0" collapsed="false">
      <c r="E162" s="0" t="str">
        <f aca="false">IF('SHIFT KASIR'!A12="","",'SHIFT KASIR'!A12)</f>
        <v/>
      </c>
      <c r="F162" s="44" t="str">
        <f aca="false">IF(E162="","",'SHIFT KASIR'!L12)</f>
        <v/>
      </c>
      <c r="G162" s="0" t="str">
        <f aca="false">IF(E162="","",'SHIFT KASIR'!M12)</f>
        <v/>
      </c>
    </row>
    <row r="163" customFormat="false" ht="15" hidden="false" customHeight="false" outlineLevel="0" collapsed="false">
      <c r="E163" s="0" t="str">
        <f aca="false">IF('SHIFT KASIR'!A13="","",'SHIFT KASIR'!A13)</f>
        <v/>
      </c>
      <c r="F163" s="44" t="str">
        <f aca="false">IF(E163="","",'SHIFT KASIR'!L13)</f>
        <v/>
      </c>
      <c r="G163" s="0" t="str">
        <f aca="false">IF(E163="","",'SHIFT KASIR'!M13)</f>
        <v/>
      </c>
    </row>
    <row r="164" customFormat="false" ht="15" hidden="false" customHeight="false" outlineLevel="0" collapsed="false">
      <c r="E164" s="0" t="str">
        <f aca="false">IF('SHIFT KASIR'!A14="","",'SHIFT KASIR'!A14)</f>
        <v/>
      </c>
      <c r="F164" s="44" t="str">
        <f aca="false">IF(E164="","",'SHIFT KASIR'!L14)</f>
        <v/>
      </c>
      <c r="G164" s="0" t="str">
        <f aca="false">IF(E164="","",'SHIFT KASIR'!M14)</f>
        <v/>
      </c>
    </row>
    <row r="165" customFormat="false" ht="15" hidden="false" customHeight="false" outlineLevel="0" collapsed="false">
      <c r="E165" s="0" t="str">
        <f aca="false">IF('SHIFT KASIR'!A15="","",'SHIFT KASIR'!A15)</f>
        <v/>
      </c>
      <c r="F165" s="44" t="str">
        <f aca="false">IF(E165="","",'SHIFT KASIR'!L15)</f>
        <v/>
      </c>
      <c r="G165" s="0" t="str">
        <f aca="false">IF(E165="","",'SHIFT KASIR'!M15)</f>
        <v/>
      </c>
    </row>
    <row r="166" customFormat="false" ht="15" hidden="false" customHeight="false" outlineLevel="0" collapsed="false">
      <c r="E166" s="0" t="str">
        <f aca="false">IF('SHIFT KASIR'!A16="","",'SHIFT KASIR'!A16)</f>
        <v/>
      </c>
      <c r="F166" s="44" t="str">
        <f aca="false">IF(E166="","",'SHIFT KASIR'!L16)</f>
        <v/>
      </c>
      <c r="G166" s="0" t="str">
        <f aca="false">IF(E166="","",'SHIFT KASIR'!M16)</f>
        <v/>
      </c>
    </row>
    <row r="167" customFormat="false" ht="15" hidden="false" customHeight="false" outlineLevel="0" collapsed="false">
      <c r="E167" s="0" t="str">
        <f aca="false">IF('SHIFT KASIR'!A17="","",'SHIFT KASIR'!A17)</f>
        <v/>
      </c>
      <c r="F167" s="44" t="str">
        <f aca="false">IF(E167="","",'SHIFT KASIR'!L17)</f>
        <v/>
      </c>
      <c r="G167" s="0" t="str">
        <f aca="false">IF(E167="","",'SHIFT KASIR'!M17)</f>
        <v/>
      </c>
    </row>
    <row r="168" customFormat="false" ht="15" hidden="false" customHeight="false" outlineLevel="0" collapsed="false">
      <c r="E168" s="0" t="str">
        <f aca="false">IF('SHIFT KASIR'!A18="","",'SHIFT KASIR'!A18)</f>
        <v/>
      </c>
      <c r="F168" s="44" t="str">
        <f aca="false">IF(E168="","",'SHIFT KASIR'!L18)</f>
        <v/>
      </c>
      <c r="G168" s="0" t="str">
        <f aca="false">IF(E168="","",'SHIFT KASIR'!M18)</f>
        <v/>
      </c>
    </row>
    <row r="169" customFormat="false" ht="15" hidden="false" customHeight="false" outlineLevel="0" collapsed="false">
      <c r="E169" s="0" t="str">
        <f aca="false">IF('SHIFT KASIR'!A19="","",'SHIFT KASIR'!A19)</f>
        <v/>
      </c>
      <c r="F169" s="44" t="str">
        <f aca="false">IF(E169="","",'SHIFT KASIR'!L19)</f>
        <v/>
      </c>
      <c r="G169" s="0" t="str">
        <f aca="false">IF(E169="","",'SHIFT KASIR'!M19)</f>
        <v/>
      </c>
    </row>
    <row r="170" customFormat="false" ht="15" hidden="false" customHeight="false" outlineLevel="0" collapsed="false">
      <c r="E170" s="0" t="str">
        <f aca="false">IF('SHIFT KASIR'!A20="","",'SHIFT KASIR'!A20)</f>
        <v/>
      </c>
      <c r="F170" s="44" t="str">
        <f aca="false">IF(E170="","",'SHIFT KASIR'!L20)</f>
        <v/>
      </c>
      <c r="G170" s="0" t="str">
        <f aca="false">IF(E170="","",'SHIFT KASIR'!M20)</f>
        <v/>
      </c>
    </row>
    <row r="171" customFormat="false" ht="15" hidden="false" customHeight="false" outlineLevel="0" collapsed="false">
      <c r="E171" s="0" t="str">
        <f aca="false">IF('SHIFT KASIR'!A21="","",'SHIFT KASIR'!A21)</f>
        <v/>
      </c>
      <c r="F171" s="44" t="str">
        <f aca="false">IF(E171="","",'SHIFT KASIR'!L21)</f>
        <v/>
      </c>
      <c r="G171" s="0" t="str">
        <f aca="false">IF(E171="","",'SHIFT KASIR'!M21)</f>
        <v/>
      </c>
    </row>
    <row r="172" customFormat="false" ht="15" hidden="false" customHeight="false" outlineLevel="0" collapsed="false">
      <c r="E172" s="0" t="str">
        <f aca="false">IF('SHIFT KASIR'!A22="","",'SHIFT KASIR'!A22)</f>
        <v/>
      </c>
      <c r="F172" s="44" t="str">
        <f aca="false">IF(E172="","",'SHIFT KASIR'!L22)</f>
        <v/>
      </c>
      <c r="G172" s="0" t="str">
        <f aca="false">IF(E172="","",'SHIFT KASIR'!M22)</f>
        <v/>
      </c>
    </row>
    <row r="173" customFormat="false" ht="15" hidden="false" customHeight="false" outlineLevel="0" collapsed="false">
      <c r="E173" s="0" t="str">
        <f aca="false">IF('SHIFT KASIR'!A23="","",'SHIFT KASIR'!A23)</f>
        <v/>
      </c>
      <c r="F173" s="44" t="str">
        <f aca="false">IF(E173="","",'SHIFT KASIR'!L23)</f>
        <v/>
      </c>
      <c r="G173" s="0" t="str">
        <f aca="false">IF(E173="","",'SHIFT KASIR'!M23)</f>
        <v/>
      </c>
    </row>
    <row r="174" customFormat="false" ht="15" hidden="false" customHeight="false" outlineLevel="0" collapsed="false">
      <c r="E174" s="0" t="str">
        <f aca="false">IF('SHIFT KASIR'!A24="","",'SHIFT KASIR'!A24)</f>
        <v/>
      </c>
      <c r="F174" s="44" t="str">
        <f aca="false">IF(E174="","",'SHIFT KASIR'!L24)</f>
        <v/>
      </c>
      <c r="G174" s="0" t="str">
        <f aca="false">IF(E174="","",'SHIFT KASIR'!M24)</f>
        <v/>
      </c>
    </row>
    <row r="175" customFormat="false" ht="15" hidden="false" customHeight="false" outlineLevel="0" collapsed="false">
      <c r="E175" s="0" t="str">
        <f aca="false">IF('SHIFT KASIR'!A25="","",'SHIFT KASIR'!A25)</f>
        <v/>
      </c>
      <c r="F175" s="44" t="str">
        <f aca="false">IF(E175="","",'SHIFT KASIR'!L25)</f>
        <v/>
      </c>
      <c r="G175" s="0" t="str">
        <f aca="false">IF(E175="","",'SHIFT KASIR'!M25)</f>
        <v/>
      </c>
    </row>
    <row r="176" customFormat="false" ht="15" hidden="false" customHeight="false" outlineLevel="0" collapsed="false">
      <c r="E176" s="0" t="str">
        <f aca="false">IF('SHIFT KASIR'!A26="","",'SHIFT KASIR'!A26)</f>
        <v/>
      </c>
      <c r="F176" s="44" t="str">
        <f aca="false">IF(E176="","",'SHIFT KASIR'!L26)</f>
        <v/>
      </c>
      <c r="G176" s="0" t="str">
        <f aca="false">IF(E176="","",'SHIFT KASIR'!M26)</f>
        <v/>
      </c>
    </row>
    <row r="177" customFormat="false" ht="15" hidden="false" customHeight="false" outlineLevel="0" collapsed="false">
      <c r="E177" s="0" t="str">
        <f aca="false">IF('SHIFT KASIR'!A27="","",'SHIFT KASIR'!A27)</f>
        <v/>
      </c>
      <c r="F177" s="44" t="str">
        <f aca="false">IF(E177="","",'SHIFT KASIR'!L27)</f>
        <v/>
      </c>
      <c r="G177" s="0" t="str">
        <f aca="false">IF(E177="","",'SHIFT KASIR'!M27)</f>
        <v/>
      </c>
    </row>
    <row r="178" customFormat="false" ht="15" hidden="false" customHeight="false" outlineLevel="0" collapsed="false">
      <c r="E178" s="0" t="str">
        <f aca="false">IF('SHIFT KASIR'!A28="","",'SHIFT KASIR'!A28)</f>
        <v/>
      </c>
      <c r="F178" s="44" t="str">
        <f aca="false">IF(E178="","",'SHIFT KASIR'!L28)</f>
        <v/>
      </c>
      <c r="G178" s="0" t="str">
        <f aca="false">IF(E178="","",'SHIFT KASIR'!M28)</f>
        <v/>
      </c>
    </row>
    <row r="179" customFormat="false" ht="15" hidden="false" customHeight="false" outlineLevel="0" collapsed="false">
      <c r="E179" s="0" t="str">
        <f aca="false">IF('SHIFT KASIR'!A29="","",'SHIFT KASIR'!A29)</f>
        <v/>
      </c>
      <c r="F179" s="44" t="str">
        <f aca="false">IF(E179="","",'SHIFT KASIR'!L29)</f>
        <v/>
      </c>
      <c r="G179" s="0" t="str">
        <f aca="false">IF(E179="","",'SHIFT KASIR'!M29)</f>
        <v/>
      </c>
    </row>
    <row r="180" customFormat="false" ht="15" hidden="false" customHeight="false" outlineLevel="0" collapsed="false">
      <c r="E180" s="0" t="str">
        <f aca="false">IF('SHIFT KASIR'!A30="","",'SHIFT KASIR'!A30)</f>
        <v/>
      </c>
      <c r="F180" s="44" t="str">
        <f aca="false">IF(E180="","",'SHIFT KASIR'!L30)</f>
        <v/>
      </c>
      <c r="G180" s="0" t="str">
        <f aca="false">IF(E180="","",'SHIFT KASIR'!M30)</f>
        <v/>
      </c>
    </row>
    <row r="181" customFormat="false" ht="15" hidden="false" customHeight="false" outlineLevel="0" collapsed="false">
      <c r="E181" s="0" t="str">
        <f aca="false">IF('SHIFT KASIR'!A31="","",'SHIFT KASIR'!A31)</f>
        <v/>
      </c>
      <c r="F181" s="44" t="str">
        <f aca="false">IF(E181="","",'SHIFT KASIR'!L31)</f>
        <v/>
      </c>
      <c r="G181" s="0" t="str">
        <f aca="false">IF(E181="","",'SHIFT KASIR'!M31)</f>
        <v/>
      </c>
    </row>
    <row r="182" customFormat="false" ht="15" hidden="false" customHeight="false" outlineLevel="0" collapsed="false">
      <c r="E182" s="0" t="str">
        <f aca="false">IF('SHIFT KASIR'!A32="","",'SHIFT KASIR'!A32)</f>
        <v/>
      </c>
      <c r="F182" s="44" t="str">
        <f aca="false">IF(E182="","",'SHIFT KASIR'!L32)</f>
        <v/>
      </c>
      <c r="G182" s="0" t="str">
        <f aca="false">IF(E182="","",'SHIFT KASIR'!M32)</f>
        <v/>
      </c>
    </row>
    <row r="183" customFormat="false" ht="15" hidden="false" customHeight="false" outlineLevel="0" collapsed="false">
      <c r="E183" s="0" t="str">
        <f aca="false">IF('SHIFT KASIR'!A33="","",'SHIFT KASIR'!A33)</f>
        <v/>
      </c>
      <c r="F183" s="44" t="str">
        <f aca="false">IF(E183="","",'SHIFT KASIR'!L33)</f>
        <v/>
      </c>
      <c r="G183" s="0" t="str">
        <f aca="false">IF(E183="","",'SHIFT KASIR'!M33)</f>
        <v/>
      </c>
    </row>
    <row r="184" customFormat="false" ht="15" hidden="false" customHeight="false" outlineLevel="0" collapsed="false">
      <c r="E184" s="0" t="str">
        <f aca="false">IF('SHIFT KASIR'!A34="","",'SHIFT KASIR'!A34)</f>
        <v/>
      </c>
      <c r="F184" s="44" t="str">
        <f aca="false">IF(E184="","",'SHIFT KASIR'!L34)</f>
        <v/>
      </c>
      <c r="G184" s="0" t="str">
        <f aca="false">IF(E184="","",'SHIFT KASIR'!M34)</f>
        <v/>
      </c>
    </row>
    <row r="185" customFormat="false" ht="15" hidden="false" customHeight="false" outlineLevel="0" collapsed="false">
      <c r="E185" s="0" t="str">
        <f aca="false">IF('SHIFT KASIR'!A35="","",'SHIFT KASIR'!A35)</f>
        <v/>
      </c>
      <c r="F185" s="44" t="str">
        <f aca="false">IF(E185="","",'SHIFT KASIR'!L35)</f>
        <v/>
      </c>
      <c r="G185" s="0" t="str">
        <f aca="false">IF(E185="","",'SHIFT KASIR'!M35)</f>
        <v/>
      </c>
    </row>
    <row r="186" customFormat="false" ht="15" hidden="false" customHeight="false" outlineLevel="0" collapsed="false">
      <c r="E186" s="0" t="str">
        <f aca="false">IF('SHIFT KASIR'!A36="","",'SHIFT KASIR'!A36)</f>
        <v/>
      </c>
      <c r="F186" s="44" t="str">
        <f aca="false">IF(E186="","",'SHIFT KASIR'!L36)</f>
        <v/>
      </c>
      <c r="G186" s="0" t="str">
        <f aca="false">IF(E186="","",'SHIFT KASIR'!M36)</f>
        <v/>
      </c>
    </row>
    <row r="187" customFormat="false" ht="15" hidden="false" customHeight="false" outlineLevel="0" collapsed="false">
      <c r="E187" s="0" t="str">
        <f aca="false">IF('SHIFT KASIR'!A37="","",'SHIFT KASIR'!A37)</f>
        <v/>
      </c>
      <c r="F187" s="44" t="str">
        <f aca="false">IF(E187="","",'SHIFT KASIR'!L37)</f>
        <v/>
      </c>
      <c r="G187" s="0" t="str">
        <f aca="false">IF(E187="","",'SHIFT KASIR'!M37)</f>
        <v/>
      </c>
    </row>
    <row r="188" customFormat="false" ht="15" hidden="false" customHeight="false" outlineLevel="0" collapsed="false">
      <c r="E188" s="0" t="str">
        <f aca="false">IF('SHIFT KASIR'!A38="","",'SHIFT KASIR'!A38)</f>
        <v/>
      </c>
      <c r="F188" s="44" t="str">
        <f aca="false">IF(E188="","",'SHIFT KASIR'!L38)</f>
        <v/>
      </c>
      <c r="G188" s="0" t="str">
        <f aca="false">IF(E188="","",'SHIFT KASIR'!M38)</f>
        <v/>
      </c>
    </row>
    <row r="189" customFormat="false" ht="15" hidden="false" customHeight="false" outlineLevel="0" collapsed="false">
      <c r="E189" s="0" t="str">
        <f aca="false">IF('SHIFT KASIR'!A39="","",'SHIFT KASIR'!A39)</f>
        <v/>
      </c>
      <c r="F189" s="44" t="str">
        <f aca="false">IF(E189="","",'SHIFT KASIR'!L39)</f>
        <v/>
      </c>
      <c r="G189" s="0" t="str">
        <f aca="false">IF(E189="","",'SHIFT KASIR'!M39)</f>
        <v/>
      </c>
    </row>
    <row r="190" customFormat="false" ht="15" hidden="false" customHeight="false" outlineLevel="0" collapsed="false">
      <c r="E190" s="0" t="str">
        <f aca="false">IF('SHIFT KASIR'!A40="","",'SHIFT KASIR'!A40)</f>
        <v/>
      </c>
      <c r="F190" s="44" t="str">
        <f aca="false">IF(E190="","",'SHIFT KASIR'!L40)</f>
        <v/>
      </c>
      <c r="G190" s="0" t="str">
        <f aca="false">IF(E190="","",'SHIFT KASIR'!M40)</f>
        <v/>
      </c>
    </row>
    <row r="191" customFormat="false" ht="15" hidden="false" customHeight="false" outlineLevel="0" collapsed="false">
      <c r="E191" s="0" t="str">
        <f aca="false">IF('SHIFT KASIR'!A41="","",'SHIFT KASIR'!A41)</f>
        <v/>
      </c>
      <c r="F191" s="44" t="str">
        <f aca="false">IF(E191="","",'SHIFT KASIR'!L41)</f>
        <v/>
      </c>
      <c r="G191" s="0" t="str">
        <f aca="false">IF(E191="","",'SHIFT KASIR'!M41)</f>
        <v/>
      </c>
    </row>
    <row r="192" customFormat="false" ht="15" hidden="false" customHeight="false" outlineLevel="0" collapsed="false">
      <c r="E192" s="0" t="str">
        <f aca="false">IF('SHIFT KASIR'!A42="","",'SHIFT KASIR'!A42)</f>
        <v/>
      </c>
      <c r="F192" s="44" t="str">
        <f aca="false">IF(E192="","",'SHIFT KASIR'!L42)</f>
        <v/>
      </c>
      <c r="G192" s="0" t="str">
        <f aca="false">IF(E192="","",'SHIFT KASIR'!M42)</f>
        <v/>
      </c>
    </row>
    <row r="193" customFormat="false" ht="15" hidden="false" customHeight="false" outlineLevel="0" collapsed="false">
      <c r="E193" s="0" t="str">
        <f aca="false">IF('SHIFT KASIR'!A43="","",'SHIFT KASIR'!A43)</f>
        <v/>
      </c>
      <c r="F193" s="44" t="str">
        <f aca="false">IF(E193="","",'SHIFT KASIR'!L43)</f>
        <v/>
      </c>
      <c r="G193" s="0" t="str">
        <f aca="false">IF(E193="","",'SHIFT KASIR'!M43)</f>
        <v/>
      </c>
    </row>
    <row r="194" customFormat="false" ht="15" hidden="false" customHeight="false" outlineLevel="0" collapsed="false">
      <c r="E194" s="0" t="str">
        <f aca="false">IF('SHIFT KASIR'!A44="","",'SHIFT KASIR'!A44)</f>
        <v/>
      </c>
      <c r="F194" s="44" t="str">
        <f aca="false">IF(E194="","",'SHIFT KASIR'!L44)</f>
        <v/>
      </c>
      <c r="G194" s="0" t="str">
        <f aca="false">IF(E194="","",'SHIFT KASIR'!M44)</f>
        <v/>
      </c>
    </row>
    <row r="195" customFormat="false" ht="15" hidden="false" customHeight="false" outlineLevel="0" collapsed="false">
      <c r="E195" s="0" t="str">
        <f aca="false">IF('SHIFT KASIR'!A45="","",'SHIFT KASIR'!A45)</f>
        <v/>
      </c>
      <c r="F195" s="44" t="str">
        <f aca="false">IF(E195="","",'SHIFT KASIR'!L45)</f>
        <v/>
      </c>
      <c r="G195" s="0" t="str">
        <f aca="false">IF(E195="","",'SHIFT KASIR'!M45)</f>
        <v/>
      </c>
    </row>
    <row r="196" customFormat="false" ht="15" hidden="false" customHeight="false" outlineLevel="0" collapsed="false">
      <c r="E196" s="0" t="str">
        <f aca="false">IF('SHIFT KASIR'!A46="","",'SHIFT KASIR'!A46)</f>
        <v/>
      </c>
      <c r="F196" s="44" t="str">
        <f aca="false">IF(E196="","",'SHIFT KASIR'!L46)</f>
        <v/>
      </c>
      <c r="G196" s="0" t="str">
        <f aca="false">IF(E196="","",'SHIFT KASIR'!M46)</f>
        <v/>
      </c>
    </row>
    <row r="197" customFormat="false" ht="15" hidden="false" customHeight="false" outlineLevel="0" collapsed="false">
      <c r="E197" s="0" t="str">
        <f aca="false">IF('SHIFT KASIR'!A47="","",'SHIFT KASIR'!A47)</f>
        <v/>
      </c>
      <c r="F197" s="44" t="str">
        <f aca="false">IF(E197="","",'SHIFT KASIR'!L47)</f>
        <v/>
      </c>
      <c r="G197" s="0" t="str">
        <f aca="false">IF(E197="","",'SHIFT KASIR'!M47)</f>
        <v/>
      </c>
    </row>
    <row r="198" customFormat="false" ht="15" hidden="false" customHeight="false" outlineLevel="0" collapsed="false">
      <c r="E198" s="0" t="str">
        <f aca="false">IF('SHIFT KASIR'!A48="","",'SHIFT KASIR'!A48)</f>
        <v/>
      </c>
      <c r="F198" s="44" t="str">
        <f aca="false">IF(E198="","",'SHIFT KASIR'!L48)</f>
        <v/>
      </c>
      <c r="G198" s="0" t="str">
        <f aca="false">IF(E198="","",'SHIFT KASIR'!M48)</f>
        <v/>
      </c>
    </row>
    <row r="199" customFormat="false" ht="15" hidden="false" customHeight="false" outlineLevel="0" collapsed="false">
      <c r="E199" s="0" t="str">
        <f aca="false">IF('SHIFT KASIR'!A49="","",'SHIFT KASIR'!A49)</f>
        <v/>
      </c>
      <c r="F199" s="44" t="str">
        <f aca="false">IF(E199="","",'SHIFT KASIR'!L49)</f>
        <v/>
      </c>
      <c r="G199" s="0" t="str">
        <f aca="false">IF(E199="","",'SHIFT KASIR'!M49)</f>
        <v/>
      </c>
    </row>
    <row r="200" customFormat="false" ht="15" hidden="false" customHeight="false" outlineLevel="0" collapsed="false">
      <c r="E200" s="0" t="str">
        <f aca="false">IF('SHIFT KASIR'!A50="","",'SHIFT KASIR'!A50)</f>
        <v/>
      </c>
      <c r="F200" s="44" t="str">
        <f aca="false">IF(E200="","",'SHIFT KASIR'!L50)</f>
        <v/>
      </c>
      <c r="G200" s="0" t="str">
        <f aca="false">IF(E200="","",'SHIFT KASIR'!M50)</f>
        <v/>
      </c>
    </row>
    <row r="201" customFormat="false" ht="15" hidden="false" customHeight="false" outlineLevel="0" collapsed="false">
      <c r="E201" s="0" t="str">
        <f aca="false">IF('SHIFT KASIR'!A51="","",'SHIFT KASIR'!A51)</f>
        <v/>
      </c>
      <c r="F201" s="44" t="str">
        <f aca="false">IF(E201="","",'SHIFT KASIR'!L51)</f>
        <v/>
      </c>
      <c r="G201" s="0" t="str">
        <f aca="false">IF(E201="","",'SHIFT KASIR'!M51)</f>
        <v/>
      </c>
    </row>
    <row r="202" customFormat="false" ht="15" hidden="false" customHeight="false" outlineLevel="0" collapsed="false">
      <c r="E202" s="0" t="str">
        <f aca="false">IF('SHIFT KASIR'!A52="","",'SHIFT KASIR'!A52)</f>
        <v/>
      </c>
      <c r="F202" s="44" t="str">
        <f aca="false">IF(E202="","",'SHIFT KASIR'!L52)</f>
        <v/>
      </c>
      <c r="G202" s="0" t="str">
        <f aca="false">IF(E202="","",'SHIFT KASIR'!M52)</f>
        <v/>
      </c>
    </row>
    <row r="203" customFormat="false" ht="15" hidden="false" customHeight="false" outlineLevel="0" collapsed="false">
      <c r="E203" s="0" t="str">
        <f aca="false">IF('SHIFT KASIR'!A53="","",'SHIFT KASIR'!A53)</f>
        <v/>
      </c>
      <c r="F203" s="44" t="str">
        <f aca="false">IF(E203="","",'SHIFT KASIR'!L53)</f>
        <v/>
      </c>
      <c r="G203" s="0" t="str">
        <f aca="false">IF(E203="","",'SHIFT KASIR'!M53)</f>
        <v/>
      </c>
    </row>
    <row r="204" customFormat="false" ht="15" hidden="false" customHeight="false" outlineLevel="0" collapsed="false">
      <c r="E204" s="0" t="str">
        <f aca="false">IF('SHIFT KASIR'!A54="","",'SHIFT KASIR'!A54)</f>
        <v/>
      </c>
      <c r="F204" s="44" t="str">
        <f aca="false">IF(E204="","",'SHIFT KASIR'!L54)</f>
        <v/>
      </c>
      <c r="G204" s="0" t="str">
        <f aca="false">IF(E204="","",'SHIFT KASIR'!M54)</f>
        <v/>
      </c>
    </row>
    <row r="205" customFormat="false" ht="15" hidden="false" customHeight="false" outlineLevel="0" collapsed="false">
      <c r="E205" s="0" t="str">
        <f aca="false">IF('SHIFT KASIR'!A55="","",'SHIFT KASIR'!A55)</f>
        <v/>
      </c>
      <c r="F205" s="44" t="str">
        <f aca="false">IF(E205="","",'SHIFT KASIR'!L55)</f>
        <v/>
      </c>
      <c r="G205" s="0" t="str">
        <f aca="false">IF(E205="","",'SHIFT KASIR'!M55)</f>
        <v/>
      </c>
    </row>
    <row r="206" customFormat="false" ht="15" hidden="false" customHeight="false" outlineLevel="0" collapsed="false">
      <c r="E206" s="0" t="str">
        <f aca="false">IF('SHIFT KASIR'!A56="","",'SHIFT KASIR'!A56)</f>
        <v/>
      </c>
      <c r="F206" s="44" t="str">
        <f aca="false">IF(E206="","",'SHIFT KASIR'!L56)</f>
        <v/>
      </c>
      <c r="G206" s="0" t="str">
        <f aca="false">IF(E206="","",'SHIFT KASIR'!M56)</f>
        <v/>
      </c>
    </row>
    <row r="207" customFormat="false" ht="15" hidden="false" customHeight="false" outlineLevel="0" collapsed="false">
      <c r="E207" s="0" t="str">
        <f aca="false">IF('SHIFT KASIR'!A57="","",'SHIFT KASIR'!A57)</f>
        <v/>
      </c>
      <c r="F207" s="44" t="str">
        <f aca="false">IF(E207="","",'SHIFT KASIR'!L57)</f>
        <v/>
      </c>
      <c r="G207" s="0" t="str">
        <f aca="false">IF(E207="","",'SHIFT KASIR'!M57)</f>
        <v/>
      </c>
    </row>
    <row r="208" customFormat="false" ht="15" hidden="false" customHeight="false" outlineLevel="0" collapsed="false">
      <c r="E208" s="0" t="str">
        <f aca="false">IF('SHIFT KASIR'!A58="","",'SHIFT KASIR'!A58)</f>
        <v/>
      </c>
      <c r="F208" s="44" t="str">
        <f aca="false">IF(E208="","",'SHIFT KASIR'!L58)</f>
        <v/>
      </c>
      <c r="G208" s="0" t="str">
        <f aca="false">IF(E208="","",'SHIFT KASIR'!M58)</f>
        <v/>
      </c>
    </row>
    <row r="209" customFormat="false" ht="15" hidden="false" customHeight="false" outlineLevel="0" collapsed="false">
      <c r="E209" s="0" t="str">
        <f aca="false">IF('SHIFT KASIR'!A59="","",'SHIFT KASIR'!A59)</f>
        <v/>
      </c>
      <c r="F209" s="44" t="str">
        <f aca="false">IF(E209="","",'SHIFT KASIR'!L59)</f>
        <v/>
      </c>
      <c r="G209" s="0" t="str">
        <f aca="false">IF(E209="","",'SHIFT KASIR'!M59)</f>
        <v/>
      </c>
    </row>
    <row r="210" customFormat="false" ht="15" hidden="false" customHeight="false" outlineLevel="0" collapsed="false">
      <c r="E210" s="0" t="str">
        <f aca="false">IF('SHIFT KASIR'!A60="","",'SHIFT KASIR'!A60)</f>
        <v/>
      </c>
      <c r="F210" s="44" t="str">
        <f aca="false">IF(E210="","",'SHIFT KASIR'!L60)</f>
        <v/>
      </c>
      <c r="G210" s="0" t="str">
        <f aca="false">IF(E210="","",'SHIFT KASIR'!M60)</f>
        <v/>
      </c>
    </row>
    <row r="211" customFormat="false" ht="15" hidden="false" customHeight="false" outlineLevel="0" collapsed="false">
      <c r="E211" s="0" t="str">
        <f aca="false">IF('SHIFT KASIR'!A61="","",'SHIFT KASIR'!A61)</f>
        <v/>
      </c>
      <c r="F211" s="44" t="str">
        <f aca="false">IF(E211="","",'SHIFT KASIR'!L61)</f>
        <v/>
      </c>
      <c r="G211" s="0" t="str">
        <f aca="false">IF(E211="","",'SHIFT KASIR'!M61)</f>
        <v/>
      </c>
    </row>
    <row r="212" customFormat="false" ht="15" hidden="false" customHeight="false" outlineLevel="0" collapsed="false">
      <c r="E212" s="0" t="str">
        <f aca="false">IF('SHIFT KASIR'!A62="","",'SHIFT KASIR'!A62)</f>
        <v/>
      </c>
      <c r="F212" s="44" t="str">
        <f aca="false">IF(E212="","",'SHIFT KASIR'!L62)</f>
        <v/>
      </c>
      <c r="G212" s="0" t="str">
        <f aca="false">IF(E212="","",'SHIFT KASIR'!M62)</f>
        <v/>
      </c>
    </row>
    <row r="213" customFormat="false" ht="15" hidden="false" customHeight="false" outlineLevel="0" collapsed="false">
      <c r="E213" s="0" t="str">
        <f aca="false">IF('SHIFT KASIR'!A63="","",'SHIFT KASIR'!A63)</f>
        <v/>
      </c>
      <c r="F213" s="44" t="str">
        <f aca="false">IF(E213="","",'SHIFT KASIR'!L63)</f>
        <v/>
      </c>
      <c r="G213" s="0" t="str">
        <f aca="false">IF(E213="","",'SHIFT KASIR'!M63)</f>
        <v/>
      </c>
    </row>
    <row r="214" customFormat="false" ht="15" hidden="false" customHeight="false" outlineLevel="0" collapsed="false">
      <c r="E214" s="0" t="str">
        <f aca="false">IF('SHIFT KASIR'!A64="","",'SHIFT KASIR'!A64)</f>
        <v/>
      </c>
      <c r="F214" s="44" t="str">
        <f aca="false">IF(E214="","",'SHIFT KASIR'!L64)</f>
        <v/>
      </c>
      <c r="G214" s="0" t="str">
        <f aca="false">IF(E214="","",'SHIFT KASIR'!M64)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5D3C"/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2"/>
    <col collapsed="false" customWidth="true" hidden="false" outlineLevel="0" max="8" min="7" style="0" width="22"/>
  </cols>
  <sheetData>
    <row r="1" customFormat="false" ht="34" hidden="false" customHeight="true" outlineLevel="0" collapsed="false">
      <c r="A1" s="52" t="s">
        <v>53</v>
      </c>
      <c r="B1" s="52"/>
      <c r="C1" s="52"/>
      <c r="D1" s="52"/>
      <c r="E1" s="52"/>
      <c r="F1" s="52"/>
      <c r="G1" s="52"/>
      <c r="H1" s="52"/>
    </row>
    <row r="2" customFormat="false" ht="22" hidden="false" customHeight="true" outlineLevel="0" collapsed="false">
      <c r="A2" s="53" t="s">
        <v>387</v>
      </c>
      <c r="B2" s="53"/>
      <c r="C2" s="53"/>
      <c r="D2" s="53"/>
      <c r="E2" s="53"/>
      <c r="F2" s="53"/>
      <c r="G2" s="53"/>
      <c r="H2" s="53"/>
    </row>
    <row r="3" customFormat="false" ht="15" hidden="false" customHeight="true" outlineLevel="0" collapsed="false">
      <c r="A3" s="54" t="s">
        <v>243</v>
      </c>
      <c r="B3" s="55" t="s">
        <v>214</v>
      </c>
      <c r="C3" s="55"/>
      <c r="D3" s="55"/>
      <c r="E3" s="56"/>
      <c r="F3" s="56"/>
      <c r="G3" s="56"/>
      <c r="H3" s="56"/>
    </row>
    <row r="4" customFormat="false" ht="15" hidden="false" customHeight="false" outlineLevel="0" collapsed="false">
      <c r="A4" s="56"/>
      <c r="B4" s="56"/>
      <c r="C4" s="56"/>
      <c r="D4" s="56"/>
      <c r="E4" s="56"/>
      <c r="F4" s="56"/>
      <c r="G4" s="56"/>
      <c r="H4" s="56"/>
    </row>
    <row r="5" customFormat="false" ht="15" hidden="false" customHeight="true" outlineLevel="0" collapsed="false">
      <c r="A5" s="57" t="s">
        <v>388</v>
      </c>
      <c r="B5" s="57"/>
      <c r="C5" s="57"/>
      <c r="D5" s="57"/>
      <c r="E5" s="56"/>
      <c r="F5" s="57" t="s">
        <v>389</v>
      </c>
      <c r="G5" s="57"/>
      <c r="H5" s="57"/>
    </row>
    <row r="6" customFormat="false" ht="15" hidden="false" customHeight="false" outlineLevel="0" collapsed="false">
      <c r="A6" s="54" t="s">
        <v>390</v>
      </c>
      <c r="B6" s="58" t="str">
        <f aca="false">$B$3</f>
        <v>CONTOH-O01</v>
      </c>
      <c r="C6" s="58"/>
      <c r="D6" s="58"/>
      <c r="E6" s="56"/>
      <c r="F6" s="54" t="s">
        <v>390</v>
      </c>
      <c r="G6" s="58" t="str">
        <f aca="false">$B$3</f>
        <v>CONTOH-O01</v>
      </c>
      <c r="H6" s="58"/>
    </row>
    <row r="7" customFormat="false" ht="15" hidden="false" customHeight="false" outlineLevel="0" collapsed="false">
      <c r="A7" s="54" t="s">
        <v>370</v>
      </c>
      <c r="B7" s="59" t="n">
        <f aca="false">IF($B$3="","",IF(COUNTIFS('TRANSAKSI PENJUALAN'!$A$5:$A$504,$B$3)=0,"BELUM ADA",INDEX('TRANSAKSI PENJUALAN'!$B$5:$B$504,MATCH($B$3,'TRANSAKSI PENJUALAN'!$A$5:$A$504,0))))</f>
        <v>46325</v>
      </c>
      <c r="C7" s="59"/>
      <c r="D7" s="59"/>
      <c r="E7" s="56"/>
      <c r="F7" s="54" t="s">
        <v>370</v>
      </c>
      <c r="G7" s="59" t="n">
        <f aca="false">IF($B$3="","",IF(COUNTIFS('TRANSAKSI PENJUALAN'!$A$5:$A$504,$B$3)=0,"BELUM ADA",INDEX('TRANSAKSI PENJUALAN'!$B$5:$B$504,MATCH($B$3,'TRANSAKSI PENJUALAN'!$A$5:$A$504,0))))</f>
        <v>46325</v>
      </c>
      <c r="H7" s="59"/>
    </row>
    <row r="8" customFormat="false" ht="15" hidden="false" customHeight="false" outlineLevel="0" collapsed="false">
      <c r="A8" s="54" t="s">
        <v>247</v>
      </c>
      <c r="B8" s="58" t="str">
        <f aca="false">IF($B$3="","",IF(COUNTIFS('TRANSAKSI PENJUALAN'!$A$5:$A$504,$B$3)=0,"BELUM ADA",INDEX('TRANSAKSI PENJUALAN'!$E$5:$E$504,MATCH($B$3,'TRANSAKSI PENJUALAN'!$A$5:$A$504,0))))</f>
        <v>Kasir CONTOH</v>
      </c>
      <c r="C8" s="58"/>
      <c r="D8" s="58"/>
      <c r="E8" s="56"/>
      <c r="F8" s="54" t="s">
        <v>247</v>
      </c>
      <c r="G8" s="58" t="str">
        <f aca="false">IF($B$3="","",IF(COUNTIFS('TRANSAKSI PENJUALAN'!$A$5:$A$504,$B$3)=0,"BELUM ADA",INDEX('TRANSAKSI PENJUALAN'!$E$5:$E$504,MATCH($B$3,'TRANSAKSI PENJUALAN'!$A$5:$A$504,0))))</f>
        <v>Kasir CONTOH</v>
      </c>
      <c r="H8" s="58"/>
    </row>
    <row r="9" customFormat="false" ht="15" hidden="false" customHeight="false" outlineLevel="0" collapsed="false">
      <c r="A9" s="54" t="s">
        <v>391</v>
      </c>
      <c r="B9" s="58" t="str">
        <f aca="false">IF($B$3="","",IF($B$3="","",IF(COUNTIFS('TRANSAKSI PENJUALAN'!$A$5:$A$504,$B$3)=0,"BELUM ADA",INDEX('TRANSAKSI PENJUALAN'!$F$5:$F$504,MATCH($B$3,'TRANSAKSI PENJUALAN'!$A$5:$A$504,0))))&amp;" / "&amp;IF($B$3="","",IF(COUNTIFS('TRANSAKSI PENJUALAN'!$A$5:$A$504,$B$3)=0,"BELUM ADA",INDEX('TRANSAKSI PENJUALAN'!$G$5:$G$504,MATCH($B$3,'TRANSAKSI PENJUALAN'!$A$5:$A$504,0)))))</f>
        <v>Takeaway / Pelanggan CONTOH</v>
      </c>
      <c r="C9" s="58"/>
      <c r="D9" s="58"/>
      <c r="E9" s="56"/>
      <c r="F9" s="54" t="s">
        <v>391</v>
      </c>
      <c r="G9" s="58" t="str">
        <f aca="false">IF($B$3="","",IF($B$3="","",IF(COUNTIFS('TRANSAKSI PENJUALAN'!$A$5:$A$504,$B$3)=0,"BELUM ADA",INDEX('TRANSAKSI PENJUALAN'!$F$5:$F$504,MATCH($B$3,'TRANSAKSI PENJUALAN'!$A$5:$A$504,0))))&amp;" / "&amp;IF($B$3="","",IF(COUNTIFS('TRANSAKSI PENJUALAN'!$A$5:$A$504,$B$3)=0,"BELUM ADA",INDEX('TRANSAKSI PENJUALAN'!$G$5:$G$504,MATCH($B$3,'TRANSAKSI PENJUALAN'!$A$5:$A$504,0)))))</f>
        <v>Takeaway / Pelanggan CONTOH</v>
      </c>
      <c r="H9" s="58"/>
    </row>
    <row r="10" customFormat="false" ht="15" hidden="false" customHeight="false" outlineLevel="0" collapsed="false">
      <c r="A10" s="56"/>
      <c r="B10" s="56"/>
      <c r="C10" s="56"/>
      <c r="D10" s="56"/>
      <c r="E10" s="56"/>
      <c r="F10" s="56"/>
      <c r="G10" s="56"/>
      <c r="H10" s="56"/>
    </row>
    <row r="11" customFormat="false" ht="15" hidden="false" customHeight="false" outlineLevel="0" collapsed="false">
      <c r="A11" s="60" t="s">
        <v>392</v>
      </c>
      <c r="B11" s="60" t="s">
        <v>393</v>
      </c>
      <c r="C11" s="60" t="s">
        <v>79</v>
      </c>
      <c r="D11" s="60" t="s">
        <v>176</v>
      </c>
      <c r="E11" s="56"/>
      <c r="F11" s="60" t="s">
        <v>392</v>
      </c>
      <c r="G11" s="60" t="s">
        <v>393</v>
      </c>
      <c r="H11" s="60" t="s">
        <v>79</v>
      </c>
    </row>
    <row r="12" customFormat="false" ht="22.35" hidden="false" customHeight="false" outlineLevel="0" collapsed="false">
      <c r="A12" s="58" t="n">
        <f aca="false">IF($B$3="","",IF(COUNTIFS('DETAIL TRANSAKSI'!$S$5:$S$504,$B$3&amp;"|1")=0,"",INDEX('DETAIL TRANSAKSI'!$E$5:$E$504,MATCH($B$3&amp;"|1",'DETAIL TRANSAKSI'!$S$5:$S$504,0))))</f>
        <v>1</v>
      </c>
      <c r="B12" s="58" t="str">
        <f aca="false">IF($B$3="","",IF(COUNTIFS('DETAIL TRANSAKSI'!$S$5:$S$504,$B$3&amp;"|1")=0,"",INDEX('DETAIL TRANSAKSI'!$C$5:$C$504,MATCH($B$3&amp;"|1",'DETAIL TRANSAKSI'!$S$5:$S$504,0))))</f>
        <v>Kopi Susu Gula Aren</v>
      </c>
      <c r="C12" s="58" t="str">
        <f aca="false">IF($B$3="","",IF(COUNTIFS('DETAIL TRANSAKSI'!$S$5:$S$504,$B$3&amp;"|1")=0,"",INDEX('DETAIL TRANSAKSI'!$O$5:$O$504,MATCH($B$3&amp;"|1",'DETAIL TRANSAKSI'!$S$5:$S$504,0))))</f>
        <v>CONTOH - biaya snapshot ilustratif</v>
      </c>
      <c r="D12" s="61" t="n">
        <f aca="false">IF($B$3="","",IF(COUNTIFS('DETAIL TRANSAKSI'!$S$5:$S$504,$B$3&amp;"|1")=0,"",INDEX('DETAIL TRANSAKSI'!$G$5:$G$504,MATCH($B$3&amp;"|1",'DETAIL TRANSAKSI'!$S$5:$S$504,0))))</f>
        <v>28000</v>
      </c>
      <c r="E12" s="56"/>
      <c r="F12" s="58" t="n">
        <f aca="false">IF($B$3="","",IF(COUNTIFS('DETAIL TRANSAKSI'!$S$5:$S$504,$B$3&amp;"|1")=0,"",INDEX('DETAIL TRANSAKSI'!$E$5:$E$504,MATCH($B$3&amp;"|1",'DETAIL TRANSAKSI'!$S$5:$S$504,0))))</f>
        <v>1</v>
      </c>
      <c r="G12" s="58" t="str">
        <f aca="false">IF($B$3="","",IF(COUNTIFS('DETAIL TRANSAKSI'!$S$5:$S$504,$B$3&amp;"|1")=0,"",INDEX('DETAIL TRANSAKSI'!$C$5:$C$504,MATCH($B$3&amp;"|1",'DETAIL TRANSAKSI'!$S$5:$S$504,0))))</f>
        <v>Kopi Susu Gula Aren</v>
      </c>
      <c r="H12" s="58" t="str">
        <f aca="false">IF($B$3="","",IF(COUNTIFS('DETAIL TRANSAKSI'!$S$5:$S$504,$B$3&amp;"|1")=0,"",INDEX('DETAIL TRANSAKSI'!$O$5:$O$504,MATCH($B$3&amp;"|1",'DETAIL TRANSAKSI'!$S$5:$S$504,0))))</f>
        <v>CONTOH - biaya snapshot ilustratif</v>
      </c>
    </row>
    <row r="13" customFormat="false" ht="15" hidden="false" customHeight="false" outlineLevel="0" collapsed="false">
      <c r="A13" s="58" t="str">
        <f aca="false">IF($B$3="","",IF(COUNTIFS('DETAIL TRANSAKSI'!$S$5:$S$504,$B$3&amp;"|2")=0,"",INDEX('DETAIL TRANSAKSI'!$E$5:$E$504,MATCH($B$3&amp;"|2",'DETAIL TRANSAKSI'!$S$5:$S$504,0))))</f>
        <v/>
      </c>
      <c r="B13" s="58" t="str">
        <f aca="false">IF($B$3="","",IF(COUNTIFS('DETAIL TRANSAKSI'!$S$5:$S$504,$B$3&amp;"|2")=0,"",INDEX('DETAIL TRANSAKSI'!$C$5:$C$504,MATCH($B$3&amp;"|2",'DETAIL TRANSAKSI'!$S$5:$S$504,0))))</f>
        <v/>
      </c>
      <c r="C13" s="58" t="str">
        <f aca="false">IF($B$3="","",IF(COUNTIFS('DETAIL TRANSAKSI'!$S$5:$S$504,$B$3&amp;"|2")=0,"",INDEX('DETAIL TRANSAKSI'!$O$5:$O$504,MATCH($B$3&amp;"|2",'DETAIL TRANSAKSI'!$S$5:$S$504,0))))</f>
        <v/>
      </c>
      <c r="D13" s="61" t="str">
        <f aca="false">IF($B$3="","",IF(COUNTIFS('DETAIL TRANSAKSI'!$S$5:$S$504,$B$3&amp;"|2")=0,"",INDEX('DETAIL TRANSAKSI'!$G$5:$G$504,MATCH($B$3&amp;"|2",'DETAIL TRANSAKSI'!$S$5:$S$504,0))))</f>
        <v/>
      </c>
      <c r="E13" s="56"/>
      <c r="F13" s="58" t="str">
        <f aca="false">IF($B$3="","",IF(COUNTIFS('DETAIL TRANSAKSI'!$S$5:$S$504,$B$3&amp;"|2")=0,"",INDEX('DETAIL TRANSAKSI'!$E$5:$E$504,MATCH($B$3&amp;"|2",'DETAIL TRANSAKSI'!$S$5:$S$504,0))))</f>
        <v/>
      </c>
      <c r="G13" s="58" t="str">
        <f aca="false">IF($B$3="","",IF(COUNTIFS('DETAIL TRANSAKSI'!$S$5:$S$504,$B$3&amp;"|2")=0,"",INDEX('DETAIL TRANSAKSI'!$C$5:$C$504,MATCH($B$3&amp;"|2",'DETAIL TRANSAKSI'!$S$5:$S$504,0))))</f>
        <v/>
      </c>
      <c r="H13" s="58" t="str">
        <f aca="false">IF($B$3="","",IF(COUNTIFS('DETAIL TRANSAKSI'!$S$5:$S$504,$B$3&amp;"|2")=0,"",INDEX('DETAIL TRANSAKSI'!$O$5:$O$504,MATCH($B$3&amp;"|2",'DETAIL TRANSAKSI'!$S$5:$S$504,0))))</f>
        <v/>
      </c>
    </row>
    <row r="14" customFormat="false" ht="15" hidden="false" customHeight="false" outlineLevel="0" collapsed="false">
      <c r="A14" s="58" t="str">
        <f aca="false">IF($B$3="","",IF(COUNTIFS('DETAIL TRANSAKSI'!$S$5:$S$504,$B$3&amp;"|3")=0,"",INDEX('DETAIL TRANSAKSI'!$E$5:$E$504,MATCH($B$3&amp;"|3",'DETAIL TRANSAKSI'!$S$5:$S$504,0))))</f>
        <v/>
      </c>
      <c r="B14" s="58" t="str">
        <f aca="false">IF($B$3="","",IF(COUNTIFS('DETAIL TRANSAKSI'!$S$5:$S$504,$B$3&amp;"|3")=0,"",INDEX('DETAIL TRANSAKSI'!$C$5:$C$504,MATCH($B$3&amp;"|3",'DETAIL TRANSAKSI'!$S$5:$S$504,0))))</f>
        <v/>
      </c>
      <c r="C14" s="58" t="str">
        <f aca="false">IF($B$3="","",IF(COUNTIFS('DETAIL TRANSAKSI'!$S$5:$S$504,$B$3&amp;"|3")=0,"",INDEX('DETAIL TRANSAKSI'!$O$5:$O$504,MATCH($B$3&amp;"|3",'DETAIL TRANSAKSI'!$S$5:$S$504,0))))</f>
        <v/>
      </c>
      <c r="D14" s="61" t="str">
        <f aca="false">IF($B$3="","",IF(COUNTIFS('DETAIL TRANSAKSI'!$S$5:$S$504,$B$3&amp;"|3")=0,"",INDEX('DETAIL TRANSAKSI'!$G$5:$G$504,MATCH($B$3&amp;"|3",'DETAIL TRANSAKSI'!$S$5:$S$504,0))))</f>
        <v/>
      </c>
      <c r="E14" s="56"/>
      <c r="F14" s="58" t="str">
        <f aca="false">IF($B$3="","",IF(COUNTIFS('DETAIL TRANSAKSI'!$S$5:$S$504,$B$3&amp;"|3")=0,"",INDEX('DETAIL TRANSAKSI'!$E$5:$E$504,MATCH($B$3&amp;"|3",'DETAIL TRANSAKSI'!$S$5:$S$504,0))))</f>
        <v/>
      </c>
      <c r="G14" s="58" t="str">
        <f aca="false">IF($B$3="","",IF(COUNTIFS('DETAIL TRANSAKSI'!$S$5:$S$504,$B$3&amp;"|3")=0,"",INDEX('DETAIL TRANSAKSI'!$C$5:$C$504,MATCH($B$3&amp;"|3",'DETAIL TRANSAKSI'!$S$5:$S$504,0))))</f>
        <v/>
      </c>
      <c r="H14" s="58" t="str">
        <f aca="false">IF($B$3="","",IF(COUNTIFS('DETAIL TRANSAKSI'!$S$5:$S$504,$B$3&amp;"|3")=0,"",INDEX('DETAIL TRANSAKSI'!$O$5:$O$504,MATCH($B$3&amp;"|3",'DETAIL TRANSAKSI'!$S$5:$S$504,0))))</f>
        <v/>
      </c>
    </row>
    <row r="15" customFormat="false" ht="15" hidden="false" customHeight="false" outlineLevel="0" collapsed="false">
      <c r="A15" s="58" t="str">
        <f aca="false">IF($B$3="","",IF(COUNTIFS('DETAIL TRANSAKSI'!$S$5:$S$504,$B$3&amp;"|4")=0,"",INDEX('DETAIL TRANSAKSI'!$E$5:$E$504,MATCH($B$3&amp;"|4",'DETAIL TRANSAKSI'!$S$5:$S$504,0))))</f>
        <v/>
      </c>
      <c r="B15" s="58" t="str">
        <f aca="false">IF($B$3="","",IF(COUNTIFS('DETAIL TRANSAKSI'!$S$5:$S$504,$B$3&amp;"|4")=0,"",INDEX('DETAIL TRANSAKSI'!$C$5:$C$504,MATCH($B$3&amp;"|4",'DETAIL TRANSAKSI'!$S$5:$S$504,0))))</f>
        <v/>
      </c>
      <c r="C15" s="58" t="str">
        <f aca="false">IF($B$3="","",IF(COUNTIFS('DETAIL TRANSAKSI'!$S$5:$S$504,$B$3&amp;"|4")=0,"",INDEX('DETAIL TRANSAKSI'!$O$5:$O$504,MATCH($B$3&amp;"|4",'DETAIL TRANSAKSI'!$S$5:$S$504,0))))</f>
        <v/>
      </c>
      <c r="D15" s="61" t="str">
        <f aca="false">IF($B$3="","",IF(COUNTIFS('DETAIL TRANSAKSI'!$S$5:$S$504,$B$3&amp;"|4")=0,"",INDEX('DETAIL TRANSAKSI'!$G$5:$G$504,MATCH($B$3&amp;"|4",'DETAIL TRANSAKSI'!$S$5:$S$504,0))))</f>
        <v/>
      </c>
      <c r="E15" s="56"/>
      <c r="F15" s="58" t="str">
        <f aca="false">IF($B$3="","",IF(COUNTIFS('DETAIL TRANSAKSI'!$S$5:$S$504,$B$3&amp;"|4")=0,"",INDEX('DETAIL TRANSAKSI'!$E$5:$E$504,MATCH($B$3&amp;"|4",'DETAIL TRANSAKSI'!$S$5:$S$504,0))))</f>
        <v/>
      </c>
      <c r="G15" s="58" t="str">
        <f aca="false">IF($B$3="","",IF(COUNTIFS('DETAIL TRANSAKSI'!$S$5:$S$504,$B$3&amp;"|4")=0,"",INDEX('DETAIL TRANSAKSI'!$C$5:$C$504,MATCH($B$3&amp;"|4",'DETAIL TRANSAKSI'!$S$5:$S$504,0))))</f>
        <v/>
      </c>
      <c r="H15" s="58" t="str">
        <f aca="false">IF($B$3="","",IF(COUNTIFS('DETAIL TRANSAKSI'!$S$5:$S$504,$B$3&amp;"|4")=0,"",INDEX('DETAIL TRANSAKSI'!$O$5:$O$504,MATCH($B$3&amp;"|4",'DETAIL TRANSAKSI'!$S$5:$S$504,0))))</f>
        <v/>
      </c>
    </row>
    <row r="16" customFormat="false" ht="15" hidden="false" customHeight="false" outlineLevel="0" collapsed="false">
      <c r="A16" s="58" t="str">
        <f aca="false">IF($B$3="","",IF(COUNTIFS('DETAIL TRANSAKSI'!$S$5:$S$504,$B$3&amp;"|5")=0,"",INDEX('DETAIL TRANSAKSI'!$E$5:$E$504,MATCH($B$3&amp;"|5",'DETAIL TRANSAKSI'!$S$5:$S$504,0))))</f>
        <v/>
      </c>
      <c r="B16" s="58" t="str">
        <f aca="false">IF($B$3="","",IF(COUNTIFS('DETAIL TRANSAKSI'!$S$5:$S$504,$B$3&amp;"|5")=0,"",INDEX('DETAIL TRANSAKSI'!$C$5:$C$504,MATCH($B$3&amp;"|5",'DETAIL TRANSAKSI'!$S$5:$S$504,0))))</f>
        <v/>
      </c>
      <c r="C16" s="58" t="str">
        <f aca="false">IF($B$3="","",IF(COUNTIFS('DETAIL TRANSAKSI'!$S$5:$S$504,$B$3&amp;"|5")=0,"",INDEX('DETAIL TRANSAKSI'!$O$5:$O$504,MATCH($B$3&amp;"|5",'DETAIL TRANSAKSI'!$S$5:$S$504,0))))</f>
        <v/>
      </c>
      <c r="D16" s="61" t="str">
        <f aca="false">IF($B$3="","",IF(COUNTIFS('DETAIL TRANSAKSI'!$S$5:$S$504,$B$3&amp;"|5")=0,"",INDEX('DETAIL TRANSAKSI'!$G$5:$G$504,MATCH($B$3&amp;"|5",'DETAIL TRANSAKSI'!$S$5:$S$504,0))))</f>
        <v/>
      </c>
      <c r="E16" s="56"/>
      <c r="F16" s="58" t="str">
        <f aca="false">IF($B$3="","",IF(COUNTIFS('DETAIL TRANSAKSI'!$S$5:$S$504,$B$3&amp;"|5")=0,"",INDEX('DETAIL TRANSAKSI'!$E$5:$E$504,MATCH($B$3&amp;"|5",'DETAIL TRANSAKSI'!$S$5:$S$504,0))))</f>
        <v/>
      </c>
      <c r="G16" s="58" t="str">
        <f aca="false">IF($B$3="","",IF(COUNTIFS('DETAIL TRANSAKSI'!$S$5:$S$504,$B$3&amp;"|5")=0,"",INDEX('DETAIL TRANSAKSI'!$C$5:$C$504,MATCH($B$3&amp;"|5",'DETAIL TRANSAKSI'!$S$5:$S$504,0))))</f>
        <v/>
      </c>
      <c r="H16" s="58" t="str">
        <f aca="false">IF($B$3="","",IF(COUNTIFS('DETAIL TRANSAKSI'!$S$5:$S$504,$B$3&amp;"|5")=0,"",INDEX('DETAIL TRANSAKSI'!$O$5:$O$504,MATCH($B$3&amp;"|5",'DETAIL TRANSAKSI'!$S$5:$S$504,0))))</f>
        <v/>
      </c>
    </row>
    <row r="17" customFormat="false" ht="15" hidden="false" customHeight="false" outlineLevel="0" collapsed="false">
      <c r="A17" s="58" t="str">
        <f aca="false">IF($B$3="","",IF(COUNTIFS('DETAIL TRANSAKSI'!$S$5:$S$504,$B$3&amp;"|6")=0,"",INDEX('DETAIL TRANSAKSI'!$E$5:$E$504,MATCH($B$3&amp;"|6",'DETAIL TRANSAKSI'!$S$5:$S$504,0))))</f>
        <v/>
      </c>
      <c r="B17" s="58" t="str">
        <f aca="false">IF($B$3="","",IF(COUNTIFS('DETAIL TRANSAKSI'!$S$5:$S$504,$B$3&amp;"|6")=0,"",INDEX('DETAIL TRANSAKSI'!$C$5:$C$504,MATCH($B$3&amp;"|6",'DETAIL TRANSAKSI'!$S$5:$S$504,0))))</f>
        <v/>
      </c>
      <c r="C17" s="58" t="str">
        <f aca="false">IF($B$3="","",IF(COUNTIFS('DETAIL TRANSAKSI'!$S$5:$S$504,$B$3&amp;"|6")=0,"",INDEX('DETAIL TRANSAKSI'!$O$5:$O$504,MATCH($B$3&amp;"|6",'DETAIL TRANSAKSI'!$S$5:$S$504,0))))</f>
        <v/>
      </c>
      <c r="D17" s="61" t="str">
        <f aca="false">IF($B$3="","",IF(COUNTIFS('DETAIL TRANSAKSI'!$S$5:$S$504,$B$3&amp;"|6")=0,"",INDEX('DETAIL TRANSAKSI'!$G$5:$G$504,MATCH($B$3&amp;"|6",'DETAIL TRANSAKSI'!$S$5:$S$504,0))))</f>
        <v/>
      </c>
      <c r="E17" s="56"/>
      <c r="F17" s="58" t="str">
        <f aca="false">IF($B$3="","",IF(COUNTIFS('DETAIL TRANSAKSI'!$S$5:$S$504,$B$3&amp;"|6")=0,"",INDEX('DETAIL TRANSAKSI'!$E$5:$E$504,MATCH($B$3&amp;"|6",'DETAIL TRANSAKSI'!$S$5:$S$504,0))))</f>
        <v/>
      </c>
      <c r="G17" s="58" t="str">
        <f aca="false">IF($B$3="","",IF(COUNTIFS('DETAIL TRANSAKSI'!$S$5:$S$504,$B$3&amp;"|6")=0,"",INDEX('DETAIL TRANSAKSI'!$C$5:$C$504,MATCH($B$3&amp;"|6",'DETAIL TRANSAKSI'!$S$5:$S$504,0))))</f>
        <v/>
      </c>
      <c r="H17" s="58" t="str">
        <f aca="false">IF($B$3="","",IF(COUNTIFS('DETAIL TRANSAKSI'!$S$5:$S$504,$B$3&amp;"|6")=0,"",INDEX('DETAIL TRANSAKSI'!$O$5:$O$504,MATCH($B$3&amp;"|6",'DETAIL TRANSAKSI'!$S$5:$S$504,0))))</f>
        <v/>
      </c>
    </row>
    <row r="18" customFormat="false" ht="15" hidden="false" customHeight="false" outlineLevel="0" collapsed="false">
      <c r="A18" s="58" t="str">
        <f aca="false">IF($B$3="","",IF(COUNTIFS('DETAIL TRANSAKSI'!$S$5:$S$504,$B$3&amp;"|7")=0,"",INDEX('DETAIL TRANSAKSI'!$E$5:$E$504,MATCH($B$3&amp;"|7",'DETAIL TRANSAKSI'!$S$5:$S$504,0))))</f>
        <v/>
      </c>
      <c r="B18" s="58" t="str">
        <f aca="false">IF($B$3="","",IF(COUNTIFS('DETAIL TRANSAKSI'!$S$5:$S$504,$B$3&amp;"|7")=0,"",INDEX('DETAIL TRANSAKSI'!$C$5:$C$504,MATCH($B$3&amp;"|7",'DETAIL TRANSAKSI'!$S$5:$S$504,0))))</f>
        <v/>
      </c>
      <c r="C18" s="58" t="str">
        <f aca="false">IF($B$3="","",IF(COUNTIFS('DETAIL TRANSAKSI'!$S$5:$S$504,$B$3&amp;"|7")=0,"",INDEX('DETAIL TRANSAKSI'!$O$5:$O$504,MATCH($B$3&amp;"|7",'DETAIL TRANSAKSI'!$S$5:$S$504,0))))</f>
        <v/>
      </c>
      <c r="D18" s="61" t="str">
        <f aca="false">IF($B$3="","",IF(COUNTIFS('DETAIL TRANSAKSI'!$S$5:$S$504,$B$3&amp;"|7")=0,"",INDEX('DETAIL TRANSAKSI'!$G$5:$G$504,MATCH($B$3&amp;"|7",'DETAIL TRANSAKSI'!$S$5:$S$504,0))))</f>
        <v/>
      </c>
      <c r="E18" s="56"/>
      <c r="F18" s="58" t="str">
        <f aca="false">IF($B$3="","",IF(COUNTIFS('DETAIL TRANSAKSI'!$S$5:$S$504,$B$3&amp;"|7")=0,"",INDEX('DETAIL TRANSAKSI'!$E$5:$E$504,MATCH($B$3&amp;"|7",'DETAIL TRANSAKSI'!$S$5:$S$504,0))))</f>
        <v/>
      </c>
      <c r="G18" s="58" t="str">
        <f aca="false">IF($B$3="","",IF(COUNTIFS('DETAIL TRANSAKSI'!$S$5:$S$504,$B$3&amp;"|7")=0,"",INDEX('DETAIL TRANSAKSI'!$C$5:$C$504,MATCH($B$3&amp;"|7",'DETAIL TRANSAKSI'!$S$5:$S$504,0))))</f>
        <v/>
      </c>
      <c r="H18" s="58" t="str">
        <f aca="false">IF($B$3="","",IF(COUNTIFS('DETAIL TRANSAKSI'!$S$5:$S$504,$B$3&amp;"|7")=0,"",INDEX('DETAIL TRANSAKSI'!$O$5:$O$504,MATCH($B$3&amp;"|7",'DETAIL TRANSAKSI'!$S$5:$S$504,0))))</f>
        <v/>
      </c>
    </row>
    <row r="19" customFormat="false" ht="15" hidden="false" customHeight="false" outlineLevel="0" collapsed="false">
      <c r="A19" s="58" t="str">
        <f aca="false">IF($B$3="","",IF(COUNTIFS('DETAIL TRANSAKSI'!$S$5:$S$504,$B$3&amp;"|8")=0,"",INDEX('DETAIL TRANSAKSI'!$E$5:$E$504,MATCH($B$3&amp;"|8",'DETAIL TRANSAKSI'!$S$5:$S$504,0))))</f>
        <v/>
      </c>
      <c r="B19" s="58" t="str">
        <f aca="false">IF($B$3="","",IF(COUNTIFS('DETAIL TRANSAKSI'!$S$5:$S$504,$B$3&amp;"|8")=0,"",INDEX('DETAIL TRANSAKSI'!$C$5:$C$504,MATCH($B$3&amp;"|8",'DETAIL TRANSAKSI'!$S$5:$S$504,0))))</f>
        <v/>
      </c>
      <c r="C19" s="58" t="str">
        <f aca="false">IF($B$3="","",IF(COUNTIFS('DETAIL TRANSAKSI'!$S$5:$S$504,$B$3&amp;"|8")=0,"",INDEX('DETAIL TRANSAKSI'!$O$5:$O$504,MATCH($B$3&amp;"|8",'DETAIL TRANSAKSI'!$S$5:$S$504,0))))</f>
        <v/>
      </c>
      <c r="D19" s="61" t="str">
        <f aca="false">IF($B$3="","",IF(COUNTIFS('DETAIL TRANSAKSI'!$S$5:$S$504,$B$3&amp;"|8")=0,"",INDEX('DETAIL TRANSAKSI'!$G$5:$G$504,MATCH($B$3&amp;"|8",'DETAIL TRANSAKSI'!$S$5:$S$504,0))))</f>
        <v/>
      </c>
      <c r="E19" s="56"/>
      <c r="F19" s="58" t="str">
        <f aca="false">IF($B$3="","",IF(COUNTIFS('DETAIL TRANSAKSI'!$S$5:$S$504,$B$3&amp;"|8")=0,"",INDEX('DETAIL TRANSAKSI'!$E$5:$E$504,MATCH($B$3&amp;"|8",'DETAIL TRANSAKSI'!$S$5:$S$504,0))))</f>
        <v/>
      </c>
      <c r="G19" s="58" t="str">
        <f aca="false">IF($B$3="","",IF(COUNTIFS('DETAIL TRANSAKSI'!$S$5:$S$504,$B$3&amp;"|8")=0,"",INDEX('DETAIL TRANSAKSI'!$C$5:$C$504,MATCH($B$3&amp;"|8",'DETAIL TRANSAKSI'!$S$5:$S$504,0))))</f>
        <v/>
      </c>
      <c r="H19" s="58" t="str">
        <f aca="false">IF($B$3="","",IF(COUNTIFS('DETAIL TRANSAKSI'!$S$5:$S$504,$B$3&amp;"|8")=0,"",INDEX('DETAIL TRANSAKSI'!$O$5:$O$504,MATCH($B$3&amp;"|8",'DETAIL TRANSAKSI'!$S$5:$S$504,0))))</f>
        <v/>
      </c>
    </row>
    <row r="20" customFormat="false" ht="15" hidden="false" customHeight="false" outlineLevel="0" collapsed="false">
      <c r="A20" s="56"/>
      <c r="B20" s="56"/>
      <c r="C20" s="56"/>
      <c r="D20" s="56"/>
      <c r="E20" s="56"/>
      <c r="F20" s="56"/>
      <c r="G20" s="56"/>
      <c r="H20" s="56"/>
    </row>
    <row r="21" customFormat="false" ht="15" hidden="false" customHeight="false" outlineLevel="0" collapsed="false">
      <c r="A21" s="54" t="s">
        <v>250</v>
      </c>
      <c r="B21" s="61" t="n">
        <f aca="false">IF($B$3="","",IF(COUNTIFS('TRANSAKSI PENJUALAN'!$A$5:$A$504,$B$3)=0,"BELUM ADA",INDEX('TRANSAKSI PENJUALAN'!$H$5:$H$504,MATCH($B$3,'TRANSAKSI PENJUALAN'!$A$5:$A$504,0))))</f>
        <v>28000</v>
      </c>
      <c r="C21" s="61"/>
      <c r="D21" s="61"/>
      <c r="E21" s="56"/>
      <c r="F21" s="56"/>
      <c r="G21" s="56"/>
      <c r="H21" s="56"/>
    </row>
    <row r="22" customFormat="false" ht="15" hidden="false" customHeight="false" outlineLevel="0" collapsed="false">
      <c r="A22" s="54" t="s">
        <v>251</v>
      </c>
      <c r="B22" s="61" t="n">
        <f aca="false">IF($B$3="","",IF(COUNTIFS('TRANSAKSI PENJUALAN'!$A$5:$A$504,$B$3)=0,"BELUM ADA",INDEX('TRANSAKSI PENJUALAN'!$I$5:$I$504,MATCH($B$3,'TRANSAKSI PENJUALAN'!$A$5:$A$504,0))))</f>
        <v>0</v>
      </c>
      <c r="C22" s="61"/>
      <c r="D22" s="61"/>
      <c r="E22" s="56"/>
      <c r="F22" s="56"/>
      <c r="G22" s="56"/>
      <c r="H22" s="56"/>
    </row>
    <row r="23" customFormat="false" ht="15" hidden="false" customHeight="false" outlineLevel="0" collapsed="false">
      <c r="A23" s="54" t="s">
        <v>364</v>
      </c>
      <c r="B23" s="61" t="n">
        <f aca="false">IF($B$3="","",IF(COUNTIFS('TRANSAKSI PENJUALAN'!$A$5:$A$504,$B$3)=0,"BELUM ADA",INDEX('TRANSAKSI PENJUALAN'!$J$5:$J$504,MATCH($B$3,'TRANSAKSI PENJUALAN'!$A$5:$A$504,0))))</f>
        <v>0</v>
      </c>
      <c r="C23" s="61"/>
      <c r="D23" s="61"/>
      <c r="E23" s="56"/>
      <c r="F23" s="56"/>
      <c r="G23" s="56"/>
      <c r="H23" s="56"/>
    </row>
    <row r="24" customFormat="false" ht="15" hidden="false" customHeight="false" outlineLevel="0" collapsed="false">
      <c r="A24" s="62" t="s">
        <v>394</v>
      </c>
      <c r="B24" s="63" t="n">
        <f aca="false">IF($B$3="","",IF(COUNTIFS('TRANSAKSI PENJUALAN'!$A$5:$A$504,$B$3)=0,"BELUM ADA",INDEX('TRANSAKSI PENJUALAN'!$K$5:$K$504,MATCH($B$3,'TRANSAKSI PENJUALAN'!$A$5:$A$504,0))))</f>
        <v>28000</v>
      </c>
      <c r="C24" s="63"/>
      <c r="D24" s="63"/>
      <c r="E24" s="56"/>
      <c r="F24" s="56"/>
      <c r="G24" s="56"/>
      <c r="H24" s="56"/>
    </row>
    <row r="25" customFormat="false" ht="15" hidden="false" customHeight="false" outlineLevel="0" collapsed="false">
      <c r="A25" s="54" t="s">
        <v>395</v>
      </c>
      <c r="B25" s="58" t="str">
        <f aca="false">IF($B$3="","",IF(COUNTIFS('TRANSAKSI PENJUALAN'!$A$5:$A$504,$B$3)=0,"BELUM ADA",INDEX('TRANSAKSI PENJUALAN'!$L$5:$L$504,MATCH($B$3,'TRANSAKSI PENJUALAN'!$A$5:$A$504,0))))</f>
        <v>Tunai</v>
      </c>
      <c r="C25" s="58"/>
      <c r="D25" s="58"/>
      <c r="E25" s="56"/>
      <c r="F25" s="56"/>
      <c r="G25" s="56"/>
      <c r="H25" s="56"/>
    </row>
    <row r="26" customFormat="false" ht="15" hidden="false" customHeight="false" outlineLevel="0" collapsed="false">
      <c r="A26" s="56"/>
      <c r="B26" s="56"/>
      <c r="C26" s="56"/>
      <c r="D26" s="56"/>
      <c r="E26" s="56"/>
      <c r="F26" s="56"/>
      <c r="G26" s="56"/>
      <c r="H26" s="56"/>
    </row>
  </sheetData>
  <mergeCells count="18">
    <mergeCell ref="A1:H1"/>
    <mergeCell ref="A2:H2"/>
    <mergeCell ref="B3:D3"/>
    <mergeCell ref="A5:D5"/>
    <mergeCell ref="F5:H5"/>
    <mergeCell ref="B6:D6"/>
    <mergeCell ref="G6:H6"/>
    <mergeCell ref="B7:D7"/>
    <mergeCell ref="G7:H7"/>
    <mergeCell ref="B8:D8"/>
    <mergeCell ref="G8:H8"/>
    <mergeCell ref="B9:D9"/>
    <mergeCell ref="G9:H9"/>
    <mergeCell ref="B21:D21"/>
    <mergeCell ref="B22:D22"/>
    <mergeCell ref="B23:D23"/>
    <mergeCell ref="B24:D24"/>
    <mergeCell ref="B25:D25"/>
  </mergeCells>
  <dataValidations count="1">
    <dataValidation allowBlank="false" errorStyle="stop" operator="between" showDropDown="false" showErrorMessage="false" showInputMessage="false" sqref="B3:D3" type="list">
      <formula1>'TRANSAKSI PENJUALAN'!$A$5:$A$504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5D3C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2"/>
    <col collapsed="false" customWidth="true" hidden="false" outlineLevel="0" max="8" min="7" style="0" width="22"/>
  </cols>
  <sheetData>
    <row r="1" customFormat="false" ht="34" hidden="false" customHeight="true" outlineLevel="0" collapsed="false">
      <c r="A1" s="64" t="s">
        <v>55</v>
      </c>
      <c r="B1" s="64"/>
      <c r="C1" s="64"/>
      <c r="D1" s="64"/>
      <c r="E1" s="64"/>
      <c r="F1" s="64"/>
      <c r="G1" s="64"/>
      <c r="H1" s="64"/>
    </row>
    <row r="2" customFormat="false" ht="22" hidden="false" customHeight="true" outlineLevel="0" collapsed="false">
      <c r="A2" s="65" t="s">
        <v>396</v>
      </c>
      <c r="B2" s="65"/>
      <c r="C2" s="65"/>
      <c r="D2" s="65"/>
      <c r="E2" s="65"/>
      <c r="F2" s="65"/>
      <c r="G2" s="65"/>
      <c r="H2" s="65"/>
    </row>
    <row r="3" customFormat="false" ht="15" hidden="false" customHeight="false" outlineLevel="0" collapsed="false">
      <c r="A3" s="66" t="s">
        <v>291</v>
      </c>
      <c r="B3" s="67" t="s">
        <v>303</v>
      </c>
      <c r="C3" s="67"/>
      <c r="D3" s="67"/>
    </row>
    <row r="5" customFormat="false" ht="15" hidden="false" customHeight="false" outlineLevel="0" collapsed="false">
      <c r="A5" s="68" t="s">
        <v>397</v>
      </c>
      <c r="B5" s="68"/>
      <c r="C5" s="68"/>
      <c r="D5" s="68"/>
      <c r="E5" s="68"/>
      <c r="F5" s="68"/>
      <c r="G5" s="68"/>
      <c r="H5" s="68"/>
    </row>
    <row r="6" customFormat="false" ht="15" hidden="false" customHeight="false" outlineLevel="0" collapsed="false">
      <c r="A6" s="66" t="s">
        <v>370</v>
      </c>
      <c r="B6" s="66"/>
      <c r="C6" s="66"/>
      <c r="D6" s="59" t="n">
        <f aca="false">IF($B$3="","",IF(COUNTIFS('SHIFT KASIR'!$A$5:$A$504,$B$3)=0,"BELUM ADA",INDEX('SHIFT KASIR'!$B$5:$B$504,MATCH($B$3,'SHIFT KASIR'!$A$5:$A$504,0))))</f>
        <v>46325</v>
      </c>
      <c r="E6" s="59"/>
      <c r="F6" s="59"/>
      <c r="G6" s="59"/>
      <c r="H6" s="59"/>
    </row>
    <row r="7" customFormat="false" ht="15" hidden="false" customHeight="false" outlineLevel="0" collapsed="false">
      <c r="A7" s="66" t="s">
        <v>247</v>
      </c>
      <c r="B7" s="66"/>
      <c r="C7" s="66"/>
      <c r="D7" s="58" t="str">
        <f aca="false">IF($B$3="","",IF(COUNTIFS('SHIFT KASIR'!$A$5:$A$504,$B$3)=0,"BELUM ADA",INDEX('SHIFT KASIR'!$C$5:$C$504,MATCH($B$3,'SHIFT KASIR'!$A$5:$A$504,0))))</f>
        <v>Kasir CONTOH</v>
      </c>
      <c r="E7" s="58"/>
      <c r="F7" s="58"/>
      <c r="G7" s="58"/>
      <c r="H7" s="58"/>
    </row>
    <row r="8" customFormat="false" ht="15" hidden="false" customHeight="false" outlineLevel="0" collapsed="false">
      <c r="A8" s="66" t="s">
        <v>293</v>
      </c>
      <c r="B8" s="66"/>
      <c r="C8" s="66"/>
      <c r="D8" s="69" t="n">
        <f aca="false">IF($B$3="","",IF(COUNTIFS('SHIFT KASIR'!$A$5:$A$504,$B$3)=0,"BELUM ADA",INDEX('SHIFT KASIR'!$D$5:$D$504,MATCH($B$3,'SHIFT KASIR'!$A$5:$A$504,0))))</f>
        <v>0.333333333333333</v>
      </c>
      <c r="E8" s="69"/>
      <c r="F8" s="69"/>
      <c r="G8" s="69"/>
      <c r="H8" s="69"/>
    </row>
    <row r="9" customFormat="false" ht="15" hidden="false" customHeight="false" outlineLevel="0" collapsed="false">
      <c r="A9" s="66" t="s">
        <v>294</v>
      </c>
      <c r="B9" s="66"/>
      <c r="C9" s="66"/>
      <c r="D9" s="69" t="n">
        <f aca="false">IF($B$3="","",IF(COUNTIFS('SHIFT KASIR'!$A$5:$A$504,$B$3)=0,"BELUM ADA",INDEX('SHIFT KASIR'!$E$5:$E$504,MATCH($B$3,'SHIFT KASIR'!$A$5:$A$504,0))))</f>
        <v>0.75</v>
      </c>
      <c r="E9" s="69"/>
      <c r="F9" s="69"/>
      <c r="G9" s="69"/>
      <c r="H9" s="69"/>
    </row>
    <row r="10" customFormat="false" ht="15" hidden="false" customHeight="false" outlineLevel="0" collapsed="false">
      <c r="A10" s="66" t="s">
        <v>295</v>
      </c>
      <c r="B10" s="66"/>
      <c r="C10" s="66"/>
      <c r="D10" s="61" t="n">
        <f aca="false">IF($B$3="","",IF(COUNTIFS('SHIFT KASIR'!$A$5:$A$504,$B$3)=0,"BELUM ADA",INDEX('SHIFT KASIR'!$F$5:$F$504,MATCH($B$3,'SHIFT KASIR'!$A$5:$A$504,0))))</f>
        <v>100000</v>
      </c>
      <c r="E10" s="61"/>
      <c r="F10" s="61"/>
      <c r="G10" s="61"/>
      <c r="H10" s="61"/>
    </row>
    <row r="11" customFormat="false" ht="15" hidden="false" customHeight="false" outlineLevel="0" collapsed="false">
      <c r="A11" s="66" t="s">
        <v>398</v>
      </c>
      <c r="B11" s="66"/>
      <c r="C11" s="66"/>
      <c r="D11" s="61" t="n">
        <f aca="false">IF($B$3="","",IF(COUNTIFS('SHIFT KASIR'!$A$5:$A$504,$B$3)=0,"BELUM ADA",INDEX('SHIFT KASIR'!$G$5:$G$504,MATCH($B$3,'SHIFT KASIR'!$A$5:$A$504,0))))</f>
        <v>122000</v>
      </c>
      <c r="E11" s="61"/>
      <c r="F11" s="61"/>
      <c r="G11" s="61"/>
      <c r="H11" s="61"/>
    </row>
    <row r="12" customFormat="false" ht="15" hidden="false" customHeight="false" outlineLevel="0" collapsed="false">
      <c r="A12" s="66" t="s">
        <v>297</v>
      </c>
      <c r="B12" s="66"/>
      <c r="C12" s="66"/>
      <c r="D12" s="61" t="n">
        <f aca="false">IF($B$3="","",IF(COUNTIFS('SHIFT KASIR'!$A$5:$A$504,$B$3)=0,"BELUM ADA",INDEX('SHIFT KASIR'!$H$5:$H$504,MATCH($B$3,'SHIFT KASIR'!$A$5:$A$504,0))))</f>
        <v>0</v>
      </c>
      <c r="E12" s="61"/>
      <c r="F12" s="61"/>
      <c r="G12" s="61"/>
      <c r="H12" s="61"/>
    </row>
    <row r="13" customFormat="false" ht="15" hidden="false" customHeight="false" outlineLevel="0" collapsed="false">
      <c r="A13" s="66" t="s">
        <v>298</v>
      </c>
      <c r="B13" s="66"/>
      <c r="C13" s="66"/>
      <c r="D13" s="61" t="n">
        <f aca="false">IF($B$3="","",IF(COUNTIFS('SHIFT KASIR'!$A$5:$A$504,$B$3)=0,"BELUM ADA",INDEX('SHIFT KASIR'!$I$5:$I$504,MATCH($B$3,'SHIFT KASIR'!$A$5:$A$504,0))))</f>
        <v>8000</v>
      </c>
      <c r="E13" s="61"/>
      <c r="F13" s="61"/>
      <c r="G13" s="61"/>
      <c r="H13" s="61"/>
    </row>
    <row r="14" customFormat="false" ht="15" hidden="false" customHeight="false" outlineLevel="0" collapsed="false">
      <c r="A14" s="66" t="s">
        <v>299</v>
      </c>
      <c r="B14" s="66"/>
      <c r="C14" s="66"/>
      <c r="D14" s="61" t="n">
        <f aca="false">IF($B$3="","",IF(COUNTIFS('SHIFT KASIR'!$A$5:$A$504,$B$3)=0,"BELUM ADA",INDEX('SHIFT KASIR'!$J$5:$J$504,MATCH($B$3,'SHIFT KASIR'!$A$5:$A$504,0))))</f>
        <v>214000</v>
      </c>
      <c r="E14" s="61"/>
      <c r="F14" s="61"/>
      <c r="G14" s="61"/>
      <c r="H14" s="61"/>
    </row>
    <row r="15" customFormat="false" ht="15" hidden="false" customHeight="false" outlineLevel="0" collapsed="false">
      <c r="A15" s="66" t="s">
        <v>300</v>
      </c>
      <c r="B15" s="66"/>
      <c r="C15" s="66"/>
      <c r="D15" s="61" t="n">
        <f aca="false">IF($B$3="","",IF(COUNTIFS('SHIFT KASIR'!$A$5:$A$504,$B$3)=0,"BELUM ADA",INDEX('SHIFT KASIR'!$K$5:$K$504,MATCH($B$3,'SHIFT KASIR'!$A$5:$A$504,0))))</f>
        <v>214000</v>
      </c>
      <c r="E15" s="61"/>
      <c r="F15" s="61"/>
      <c r="G15" s="61"/>
      <c r="H15" s="61"/>
    </row>
    <row r="16" customFormat="false" ht="15" hidden="false" customHeight="false" outlineLevel="0" collapsed="false">
      <c r="A16" s="66" t="s">
        <v>301</v>
      </c>
      <c r="B16" s="66"/>
      <c r="C16" s="66"/>
      <c r="D16" s="61" t="n">
        <f aca="false">IF($B$3="","",IF(COUNTIFS('SHIFT KASIR'!$A$5:$A$504,$B$3)=0,"BELUM ADA",INDEX('SHIFT KASIR'!$L$5:$L$504,MATCH($B$3,'SHIFT KASIR'!$A$5:$A$504,0))))</f>
        <v>0</v>
      </c>
      <c r="E16" s="61"/>
      <c r="F16" s="61"/>
      <c r="G16" s="61"/>
      <c r="H16" s="61"/>
    </row>
    <row r="17" customFormat="false" ht="15" hidden="false" customHeight="false" outlineLevel="0" collapsed="false">
      <c r="A17" s="66" t="s">
        <v>77</v>
      </c>
      <c r="B17" s="66"/>
      <c r="C17" s="66"/>
      <c r="D17" s="58" t="str">
        <f aca="false">IF($B$3="","",IF(COUNTIFS('SHIFT KASIR'!$A$5:$A$504,$B$3)=0,"BELUM ADA",INDEX('SHIFT KASIR'!$M$5:$M$504,MATCH($B$3,'SHIFT KASIR'!$A$5:$A$504,0))))</f>
        <v>Pas</v>
      </c>
      <c r="E17" s="58"/>
      <c r="F17" s="58"/>
      <c r="G17" s="58"/>
      <c r="H17" s="58"/>
    </row>
    <row r="18" customFormat="false" ht="15" hidden="false" customHeight="false" outlineLevel="0" collapsed="false">
      <c r="A18" s="66" t="s">
        <v>79</v>
      </c>
      <c r="B18" s="66"/>
      <c r="C18" s="66"/>
      <c r="D18" s="58" t="str">
        <f aca="false">IF($B$3="","",IF(COUNTIFS('SHIFT KASIR'!$A$5:$A$504,$B$3)=0,"BELUM ADA",INDEX('SHIFT KASIR'!$N$5:$N$504,MATCH($B$3,'SHIFT KASIR'!$A$5:$A$504,0))))</f>
        <v>CONTOH - kas keluar untuk tisu</v>
      </c>
      <c r="E18" s="58"/>
      <c r="F18" s="58"/>
      <c r="G18" s="58"/>
      <c r="H18" s="58"/>
    </row>
    <row r="19" customFormat="false" ht="15" hidden="false" customHeight="false" outlineLevel="0" collapsed="false">
      <c r="A19" s="66" t="s">
        <v>302</v>
      </c>
      <c r="B19" s="66"/>
      <c r="C19" s="66"/>
      <c r="D19" s="58" t="str">
        <f aca="false">IF($B$3="","",IF(COUNTIFS('SHIFT KASIR'!$A$5:$A$504,$B$3)=0,"BELUM ADA",INDEX('SHIFT KASIR'!$O$5:$O$504,MATCH($B$3,'SHIFT KASIR'!$A$5:$A$504,0))))</f>
        <v>Menunggu</v>
      </c>
      <c r="E19" s="58"/>
      <c r="F19" s="58"/>
      <c r="G19" s="58"/>
      <c r="H19" s="58"/>
    </row>
    <row r="21" customFormat="false" ht="15" hidden="false" customHeight="false" outlineLevel="0" collapsed="false">
      <c r="A21" s="68" t="s">
        <v>399</v>
      </c>
      <c r="B21" s="68"/>
      <c r="C21" s="68"/>
      <c r="D21" s="68"/>
      <c r="F21" s="68" t="s">
        <v>400</v>
      </c>
      <c r="G21" s="68"/>
      <c r="H21" s="68"/>
    </row>
    <row r="22" customFormat="false" ht="15" hidden="false" customHeight="false" outlineLevel="0" collapsed="false">
      <c r="A22" s="58"/>
      <c r="B22" s="58"/>
      <c r="C22" s="58"/>
      <c r="D22" s="58"/>
      <c r="F22" s="58"/>
      <c r="G22" s="58"/>
      <c r="H22" s="58"/>
    </row>
    <row r="23" customFormat="false" ht="15" hidden="false" customHeight="false" outlineLevel="0" collapsed="false">
      <c r="A23" s="58"/>
      <c r="B23" s="58"/>
      <c r="C23" s="58"/>
      <c r="D23" s="58"/>
      <c r="F23" s="58"/>
      <c r="G23" s="58"/>
      <c r="H23" s="58"/>
    </row>
    <row r="24" customFormat="false" ht="15" hidden="false" customHeight="false" outlineLevel="0" collapsed="false">
      <c r="A24" s="58"/>
      <c r="B24" s="58"/>
      <c r="C24" s="58"/>
      <c r="D24" s="58"/>
      <c r="F24" s="58"/>
      <c r="G24" s="58"/>
      <c r="H24" s="58"/>
    </row>
    <row r="25" customFormat="false" ht="15" hidden="false" customHeight="false" outlineLevel="0" collapsed="false">
      <c r="A25" s="58"/>
      <c r="B25" s="58"/>
      <c r="C25" s="58"/>
      <c r="D25" s="58"/>
      <c r="F25" s="58"/>
      <c r="G25" s="58"/>
      <c r="H25" s="58"/>
    </row>
  </sheetData>
  <mergeCells count="36">
    <mergeCell ref="A1:H1"/>
    <mergeCell ref="A2:H2"/>
    <mergeCell ref="B3:D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1:D21"/>
    <mergeCell ref="F21:H21"/>
    <mergeCell ref="A22:D25"/>
    <mergeCell ref="F22:H25"/>
  </mergeCells>
  <dataValidations count="1">
    <dataValidation allowBlank="false" errorStyle="stop" operator="between" showDropDown="false" showErrorMessage="false" showInputMessage="false" sqref="B3:D3" type="list">
      <formula1>'SHIFT KASIR'!$A$5:$A$504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5D3C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2"/>
    <col collapsed="false" customWidth="true" hidden="false" outlineLevel="0" max="8" min="7" style="0" width="22"/>
  </cols>
  <sheetData>
    <row r="1" customFormat="false" ht="34" hidden="false" customHeight="true" outlineLevel="0" collapsed="false">
      <c r="A1" s="64" t="s">
        <v>57</v>
      </c>
      <c r="B1" s="64"/>
      <c r="C1" s="64"/>
      <c r="D1" s="64"/>
      <c r="E1" s="64"/>
      <c r="F1" s="64"/>
      <c r="G1" s="64"/>
      <c r="H1" s="64"/>
    </row>
    <row r="2" customFormat="false" ht="22" hidden="false" customHeight="true" outlineLevel="0" collapsed="false">
      <c r="A2" s="65" t="s">
        <v>401</v>
      </c>
      <c r="B2" s="65"/>
      <c r="C2" s="65"/>
      <c r="D2" s="65"/>
      <c r="E2" s="65"/>
      <c r="F2" s="65"/>
      <c r="G2" s="65"/>
      <c r="H2" s="65"/>
    </row>
    <row r="3" customFormat="false" ht="15" hidden="false" customHeight="false" outlineLevel="0" collapsed="false">
      <c r="A3" s="66" t="s">
        <v>326</v>
      </c>
      <c r="B3" s="67" t="s">
        <v>331</v>
      </c>
      <c r="C3" s="67"/>
      <c r="D3" s="67"/>
    </row>
    <row r="5" customFormat="false" ht="15" hidden="false" customHeight="false" outlineLevel="0" collapsed="false">
      <c r="A5" s="68" t="s">
        <v>402</v>
      </c>
      <c r="B5" s="68"/>
      <c r="C5" s="68"/>
      <c r="D5" s="68"/>
      <c r="E5" s="68"/>
      <c r="F5" s="68"/>
      <c r="G5" s="68"/>
      <c r="H5" s="68"/>
    </row>
    <row r="6" customFormat="false" ht="15" hidden="false" customHeight="false" outlineLevel="0" collapsed="false">
      <c r="A6" s="66" t="s">
        <v>243</v>
      </c>
      <c r="B6" s="66"/>
      <c r="C6" s="66"/>
      <c r="D6" s="58" t="str">
        <f aca="false">IF($B$3="","",IF(COUNTIFS('REFUND DAN PEMBATALAN'!$A$5:$A$504,$B$3)=0,"BELUM ADA",INDEX('REFUND DAN PEMBATALAN'!$B$5:$B$504,MATCH($B$3,'REFUND DAN PEMBATALAN'!$A$5:$A$504,0))))</f>
        <v>CONTOH-O04</v>
      </c>
      <c r="E6" s="58"/>
      <c r="F6" s="58"/>
      <c r="G6" s="58"/>
      <c r="H6" s="58"/>
    </row>
    <row r="7" customFormat="false" ht="15" hidden="false" customHeight="false" outlineLevel="0" collapsed="false">
      <c r="A7" s="66" t="s">
        <v>370</v>
      </c>
      <c r="B7" s="66"/>
      <c r="C7" s="66"/>
      <c r="D7" s="59" t="n">
        <f aca="false">IF($B$3="","",IF(COUNTIFS('REFUND DAN PEMBATALAN'!$A$5:$A$504,$B$3)=0,"BELUM ADA",INDEX('REFUND DAN PEMBATALAN'!$C$5:$C$504,MATCH($B$3,'REFUND DAN PEMBATALAN'!$A$5:$A$504,0))))</f>
        <v>46325</v>
      </c>
      <c r="E7" s="59"/>
      <c r="F7" s="59"/>
      <c r="G7" s="59"/>
      <c r="H7" s="59"/>
    </row>
    <row r="8" customFormat="false" ht="15" hidden="false" customHeight="false" outlineLevel="0" collapsed="false">
      <c r="A8" s="66" t="s">
        <v>74</v>
      </c>
      <c r="B8" s="66"/>
      <c r="C8" s="66"/>
      <c r="D8" s="58" t="str">
        <f aca="false">IF($B$3="","",IF(COUNTIFS('REFUND DAN PEMBATALAN'!$A$5:$A$504,$B$3)=0,"BELUM ADA",INDEX('REFUND DAN PEMBATALAN'!$D$5:$D$504,MATCH($B$3,'REFUND DAN PEMBATALAN'!$A$5:$A$504,0))))</f>
        <v>Refund sebagian</v>
      </c>
      <c r="E8" s="58"/>
      <c r="F8" s="58"/>
      <c r="G8" s="58"/>
      <c r="H8" s="58"/>
    </row>
    <row r="9" customFormat="false" ht="15" hidden="false" customHeight="false" outlineLevel="0" collapsed="false">
      <c r="A9" s="66" t="s">
        <v>310</v>
      </c>
      <c r="B9" s="66"/>
      <c r="C9" s="66"/>
      <c r="D9" s="61" t="n">
        <f aca="false">IF($B$3="","",IF(COUNTIFS('REFUND DAN PEMBATALAN'!$A$5:$A$504,$B$3)=0,"BELUM ADA",INDEX('REFUND DAN PEMBATALAN'!$E$5:$E$504,MATCH($B$3,'REFUND DAN PEMBATALAN'!$A$5:$A$504,0))))</f>
        <v>5000</v>
      </c>
      <c r="E9" s="61"/>
      <c r="F9" s="61"/>
      <c r="G9" s="61"/>
      <c r="H9" s="61"/>
    </row>
    <row r="10" customFormat="false" ht="15" hidden="false" customHeight="false" outlineLevel="0" collapsed="false">
      <c r="A10" s="66" t="s">
        <v>206</v>
      </c>
      <c r="B10" s="66"/>
      <c r="C10" s="66"/>
      <c r="D10" s="58" t="str">
        <f aca="false">IF($B$3="","",IF(COUNTIFS('REFUND DAN PEMBATALAN'!$A$5:$A$504,$B$3)=0,"BELUM ADA",INDEX('REFUND DAN PEMBATALAN'!$F$5:$F$504,MATCH($B$3,'REFUND DAN PEMBATALAN'!$A$5:$A$504,0))))</f>
        <v>CONTOH - pesanan kurang sesuai</v>
      </c>
      <c r="E10" s="58"/>
      <c r="F10" s="58"/>
      <c r="G10" s="58"/>
      <c r="H10" s="58"/>
    </row>
    <row r="11" customFormat="false" ht="15" hidden="false" customHeight="false" outlineLevel="0" collapsed="false">
      <c r="A11" s="66" t="s">
        <v>327</v>
      </c>
      <c r="B11" s="66"/>
      <c r="C11" s="66"/>
      <c r="D11" s="58" t="str">
        <f aca="false">IF($B$3="","",IF(COUNTIFS('REFUND DAN PEMBATALAN'!$A$5:$A$504,$B$3)=0,"BELUM ADA",INDEX('REFUND DAN PEMBATALAN'!$G$5:$G$504,MATCH($B$3,'REFUND DAN PEMBATALAN'!$A$5:$A$504,0))))</f>
        <v>Kasir CONTOH</v>
      </c>
      <c r="E11" s="58"/>
      <c r="F11" s="58"/>
      <c r="G11" s="58"/>
      <c r="H11" s="58"/>
    </row>
    <row r="12" customFormat="false" ht="15" hidden="false" customHeight="false" outlineLevel="0" collapsed="false">
      <c r="A12" s="66" t="s">
        <v>328</v>
      </c>
      <c r="B12" s="66"/>
      <c r="C12" s="66"/>
      <c r="D12" s="58" t="str">
        <f aca="false">IF($B$3="","",IF(COUNTIFS('REFUND DAN PEMBATALAN'!$A$5:$A$504,$B$3)=0,"BELUM ADA",INDEX('REFUND DAN PEMBATALAN'!$H$5:$H$504,MATCH($B$3,'REFUND DAN PEMBATALAN'!$A$5:$A$504,0))))</f>
        <v>Owner CONTOH</v>
      </c>
      <c r="E12" s="58"/>
      <c r="F12" s="58"/>
      <c r="G12" s="58"/>
      <c r="H12" s="58"/>
    </row>
    <row r="13" customFormat="false" ht="15" hidden="false" customHeight="false" outlineLevel="0" collapsed="false">
      <c r="A13" s="66" t="s">
        <v>77</v>
      </c>
      <c r="B13" s="66"/>
      <c r="C13" s="66"/>
      <c r="D13" s="58" t="str">
        <f aca="false">IF($B$3="","",IF(COUNTIFS('REFUND DAN PEMBATALAN'!$A$5:$A$504,$B$3)=0,"BELUM ADA",INDEX('REFUND DAN PEMBATALAN'!$I$5:$I$504,MATCH($B$3,'REFUND DAN PEMBATALAN'!$A$5:$A$504,0))))</f>
        <v>Berhasil</v>
      </c>
      <c r="E13" s="58"/>
      <c r="F13" s="58"/>
      <c r="G13" s="58"/>
      <c r="H13" s="58"/>
    </row>
    <row r="14" customFormat="false" ht="15" hidden="false" customHeight="false" outlineLevel="0" collapsed="false">
      <c r="A14" s="66" t="s">
        <v>403</v>
      </c>
      <c r="B14" s="66"/>
      <c r="C14" s="66"/>
      <c r="D14" s="70" t="n">
        <f aca="false">IF($B$3="","",IF(COUNTIFS('REFUND DAN PEMBATALAN'!$A$5:$A$504,$B$3)=0,"BELUM ADA",INDEX('REFUND DAN PEMBATALAN'!$J$5:$J$504,MATCH($B$3,'REFUND DAN PEMBATALAN'!$A$5:$A$504,0))))</f>
        <v>46325.6666666667</v>
      </c>
      <c r="E14" s="70"/>
      <c r="F14" s="70"/>
      <c r="G14" s="70"/>
      <c r="H14" s="70"/>
    </row>
    <row r="15" customFormat="false" ht="15" hidden="false" customHeight="false" outlineLevel="0" collapsed="false">
      <c r="A15" s="66" t="s">
        <v>404</v>
      </c>
      <c r="B15" s="66"/>
      <c r="C15" s="66"/>
      <c r="D15" s="58" t="str">
        <f aca="false">IF($B$3="","",IF(COUNTIFS('REFUND DAN PEMBATALAN'!$A$5:$A$504,$B$3)=0,"BELUM ADA",INDEX('REFUND DAN PEMBATALAN'!$K$5:$K$504,MATCH($B$3,'REFUND DAN PEMBATALAN'!$A$5:$A$504,0))))</f>
        <v>QRIS</v>
      </c>
      <c r="E15" s="58"/>
      <c r="F15" s="58"/>
      <c r="G15" s="58"/>
      <c r="H15" s="58"/>
    </row>
    <row r="18" customFormat="false" ht="15" hidden="false" customHeight="false" outlineLevel="0" collapsed="false">
      <c r="A18" s="68" t="s">
        <v>405</v>
      </c>
      <c r="B18" s="68"/>
      <c r="C18" s="68"/>
      <c r="D18" s="68"/>
      <c r="F18" s="68" t="s">
        <v>406</v>
      </c>
      <c r="G18" s="68"/>
      <c r="H18" s="68"/>
    </row>
    <row r="19" customFormat="false" ht="15" hidden="false" customHeight="false" outlineLevel="0" collapsed="false">
      <c r="A19" s="58"/>
      <c r="B19" s="58"/>
      <c r="C19" s="58"/>
      <c r="D19" s="58"/>
      <c r="F19" s="58"/>
      <c r="G19" s="58"/>
      <c r="H19" s="58"/>
    </row>
    <row r="20" customFormat="false" ht="15" hidden="false" customHeight="false" outlineLevel="0" collapsed="false">
      <c r="A20" s="58"/>
      <c r="B20" s="58"/>
      <c r="C20" s="58"/>
      <c r="D20" s="58"/>
      <c r="F20" s="58"/>
      <c r="G20" s="58"/>
      <c r="H20" s="58"/>
    </row>
    <row r="21" customFormat="false" ht="15" hidden="false" customHeight="false" outlineLevel="0" collapsed="false">
      <c r="A21" s="58"/>
      <c r="B21" s="58"/>
      <c r="C21" s="58"/>
      <c r="D21" s="58"/>
      <c r="F21" s="58"/>
      <c r="G21" s="58"/>
      <c r="H21" s="58"/>
    </row>
    <row r="22" customFormat="false" ht="15" hidden="false" customHeight="false" outlineLevel="0" collapsed="false">
      <c r="A22" s="58"/>
      <c r="B22" s="58"/>
      <c r="C22" s="58"/>
      <c r="D22" s="58"/>
      <c r="F22" s="58"/>
      <c r="G22" s="58"/>
      <c r="H22" s="58"/>
    </row>
    <row r="23" customFormat="false" ht="15" hidden="false" customHeight="false" outlineLevel="0" collapsed="false">
      <c r="A23" s="58"/>
      <c r="B23" s="58"/>
      <c r="C23" s="58"/>
      <c r="D23" s="58"/>
      <c r="F23" s="58"/>
      <c r="G23" s="58"/>
      <c r="H23" s="58"/>
    </row>
  </sheetData>
  <mergeCells count="28">
    <mergeCell ref="A1:H1"/>
    <mergeCell ref="A2:H2"/>
    <mergeCell ref="B3:D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8:D18"/>
    <mergeCell ref="F18:H18"/>
    <mergeCell ref="A19:D23"/>
    <mergeCell ref="F19:H23"/>
  </mergeCells>
  <dataValidations count="1">
    <dataValidation allowBlank="false" errorStyle="stop" operator="between" showDropDown="false" showErrorMessage="false" showInputMessage="false" sqref="B3:D3" type="list">
      <formula1>'REFUND DAN PEMBATALAN'!$A$5:$A$504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17664"/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8" min="5" style="0" width="15"/>
    <col collapsed="false" customWidth="true" hidden="false" outlineLevel="0" max="9" min="9" style="0" width="28"/>
    <col collapsed="false" customWidth="true" hidden="false" outlineLevel="0" max="12" min="10" style="0" width="15"/>
  </cols>
  <sheetData>
    <row r="1" customFormat="false" ht="34" hidden="false" customHeight="true" outlineLevel="0" collapsed="false">
      <c r="A1" s="64" t="s">
        <v>59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customFormat="false" ht="22" hidden="false" customHeight="true" outlineLevel="0" collapsed="false">
      <c r="A2" s="65" t="s">
        <v>407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4" customFormat="false" ht="15" hidden="false" customHeight="false" outlineLevel="0" collapsed="false">
      <c r="A4" s="71" t="s">
        <v>408</v>
      </c>
      <c r="B4" s="71" t="s">
        <v>409</v>
      </c>
      <c r="C4" s="71" t="s">
        <v>117</v>
      </c>
      <c r="D4" s="71" t="s">
        <v>118</v>
      </c>
      <c r="E4" s="71" t="s">
        <v>164</v>
      </c>
      <c r="F4" s="71" t="s">
        <v>410</v>
      </c>
      <c r="G4" s="71" t="s">
        <v>411</v>
      </c>
      <c r="H4" s="71" t="s">
        <v>301</v>
      </c>
      <c r="I4" s="71" t="s">
        <v>206</v>
      </c>
      <c r="J4" s="71" t="s">
        <v>178</v>
      </c>
      <c r="K4" s="71" t="s">
        <v>328</v>
      </c>
      <c r="L4" s="71" t="s">
        <v>77</v>
      </c>
    </row>
    <row r="5" customFormat="false" ht="15" hidden="false" customHeight="false" outlineLevel="0" collapsed="false">
      <c r="A5" s="67"/>
      <c r="B5" s="67"/>
      <c r="C5" s="67"/>
      <c r="D5" s="58" t="str">
        <f aca="false">IF(C5="","",IF(COUNTIFS('MASTER BAHAN'!$A$5:$A$504,C5)=0,"BELUM ADA",INDEX('MASTER BAHAN'!$B$5:$B$504,MATCH(C5,'MASTER BAHAN'!$A$5:$A$504,0))))</f>
        <v/>
      </c>
      <c r="E5" s="58" t="str">
        <f aca="false">IF(C5="","",IF(COUNTIFS('MASTER BAHAN'!$A$5:$A$504,C5)=0,"BELUM ADA",INDEX('MASTER BAHAN'!$D$5:$D$504,MATCH(C5,'MASTER BAHAN'!$A$5:$A$504,0))))</f>
        <v/>
      </c>
      <c r="F5" s="58" t="str">
        <f aca="false">IF(C5="","",IF(COUNTIFS('RINGKASAN STOK'!$A$5:$A$504,C5)=0,"BELUM ADA",INDEX('RINGKASAN STOK'!$H$5:$H$504,MATCH(C5,'RINGKASAN STOK'!$A$5:$A$504,0))))</f>
        <v/>
      </c>
      <c r="G5" s="67"/>
      <c r="H5" s="58" t="str">
        <f aca="false">IF(A5="","",IF(NOT(ISNUMBER(G5)),"ISI STOK FISIK",G5-F5))</f>
        <v/>
      </c>
      <c r="I5" s="67"/>
      <c r="J5" s="67"/>
      <c r="K5" s="67"/>
      <c r="L5" s="67"/>
    </row>
    <row r="6" customFormat="false" ht="15" hidden="false" customHeight="false" outlineLevel="0" collapsed="false">
      <c r="A6" s="67"/>
      <c r="B6" s="67"/>
      <c r="C6" s="67"/>
      <c r="D6" s="58" t="str">
        <f aca="false">IF(C6="","",IF(COUNTIFS('MASTER BAHAN'!$A$5:$A$504,C6)=0,"BELUM ADA",INDEX('MASTER BAHAN'!$B$5:$B$504,MATCH(C6,'MASTER BAHAN'!$A$5:$A$504,0))))</f>
        <v/>
      </c>
      <c r="E6" s="58" t="str">
        <f aca="false">IF(C6="","",IF(COUNTIFS('MASTER BAHAN'!$A$5:$A$504,C6)=0,"BELUM ADA",INDEX('MASTER BAHAN'!$D$5:$D$504,MATCH(C6,'MASTER BAHAN'!$A$5:$A$504,0))))</f>
        <v/>
      </c>
      <c r="F6" s="58" t="str">
        <f aca="false">IF(C6="","",IF(COUNTIFS('RINGKASAN STOK'!$A$5:$A$504,C6)=0,"BELUM ADA",INDEX('RINGKASAN STOK'!$H$5:$H$504,MATCH(C6,'RINGKASAN STOK'!$A$5:$A$504,0))))</f>
        <v/>
      </c>
      <c r="G6" s="67"/>
      <c r="H6" s="58" t="str">
        <f aca="false">IF(A6="","",IF(NOT(ISNUMBER(G6)),"ISI STOK FISIK",G6-F6))</f>
        <v/>
      </c>
      <c r="I6" s="67"/>
      <c r="J6" s="67"/>
      <c r="K6" s="67"/>
      <c r="L6" s="67"/>
    </row>
    <row r="7" customFormat="false" ht="15" hidden="false" customHeight="false" outlineLevel="0" collapsed="false">
      <c r="A7" s="67"/>
      <c r="B7" s="67"/>
      <c r="C7" s="67"/>
      <c r="D7" s="58" t="str">
        <f aca="false">IF(C7="","",IF(COUNTIFS('MASTER BAHAN'!$A$5:$A$504,C7)=0,"BELUM ADA",INDEX('MASTER BAHAN'!$B$5:$B$504,MATCH(C7,'MASTER BAHAN'!$A$5:$A$504,0))))</f>
        <v/>
      </c>
      <c r="E7" s="58" t="str">
        <f aca="false">IF(C7="","",IF(COUNTIFS('MASTER BAHAN'!$A$5:$A$504,C7)=0,"BELUM ADA",INDEX('MASTER BAHAN'!$D$5:$D$504,MATCH(C7,'MASTER BAHAN'!$A$5:$A$504,0))))</f>
        <v/>
      </c>
      <c r="F7" s="58" t="str">
        <f aca="false">IF(C7="","",IF(COUNTIFS('RINGKASAN STOK'!$A$5:$A$504,C7)=0,"BELUM ADA",INDEX('RINGKASAN STOK'!$H$5:$H$504,MATCH(C7,'RINGKASAN STOK'!$A$5:$A$504,0))))</f>
        <v/>
      </c>
      <c r="G7" s="67"/>
      <c r="H7" s="58" t="str">
        <f aca="false">IF(A7="","",IF(NOT(ISNUMBER(G7)),"ISI STOK FISIK",G7-F7))</f>
        <v/>
      </c>
      <c r="I7" s="67"/>
      <c r="J7" s="67"/>
      <c r="K7" s="67"/>
      <c r="L7" s="67"/>
    </row>
    <row r="8" customFormat="false" ht="15" hidden="false" customHeight="false" outlineLevel="0" collapsed="false">
      <c r="A8" s="67"/>
      <c r="B8" s="67"/>
      <c r="C8" s="67"/>
      <c r="D8" s="58" t="str">
        <f aca="false">IF(C8="","",IF(COUNTIFS('MASTER BAHAN'!$A$5:$A$504,C8)=0,"BELUM ADA",INDEX('MASTER BAHAN'!$B$5:$B$504,MATCH(C8,'MASTER BAHAN'!$A$5:$A$504,0))))</f>
        <v/>
      </c>
      <c r="E8" s="58" t="str">
        <f aca="false">IF(C8="","",IF(COUNTIFS('MASTER BAHAN'!$A$5:$A$504,C8)=0,"BELUM ADA",INDEX('MASTER BAHAN'!$D$5:$D$504,MATCH(C8,'MASTER BAHAN'!$A$5:$A$504,0))))</f>
        <v/>
      </c>
      <c r="F8" s="58" t="str">
        <f aca="false">IF(C8="","",IF(COUNTIFS('RINGKASAN STOK'!$A$5:$A$504,C8)=0,"BELUM ADA",INDEX('RINGKASAN STOK'!$H$5:$H$504,MATCH(C8,'RINGKASAN STOK'!$A$5:$A$504,0))))</f>
        <v/>
      </c>
      <c r="G8" s="67"/>
      <c r="H8" s="58" t="str">
        <f aca="false">IF(A8="","",IF(NOT(ISNUMBER(G8)),"ISI STOK FISIK",G8-F8))</f>
        <v/>
      </c>
      <c r="I8" s="67"/>
      <c r="J8" s="67"/>
      <c r="K8" s="67"/>
      <c r="L8" s="67"/>
    </row>
    <row r="9" customFormat="false" ht="15" hidden="false" customHeight="false" outlineLevel="0" collapsed="false">
      <c r="A9" s="67"/>
      <c r="B9" s="67"/>
      <c r="C9" s="67"/>
      <c r="D9" s="58" t="str">
        <f aca="false">IF(C9="","",IF(COUNTIFS('MASTER BAHAN'!$A$5:$A$504,C9)=0,"BELUM ADA",INDEX('MASTER BAHAN'!$B$5:$B$504,MATCH(C9,'MASTER BAHAN'!$A$5:$A$504,0))))</f>
        <v/>
      </c>
      <c r="E9" s="58" t="str">
        <f aca="false">IF(C9="","",IF(COUNTIFS('MASTER BAHAN'!$A$5:$A$504,C9)=0,"BELUM ADA",INDEX('MASTER BAHAN'!$D$5:$D$504,MATCH(C9,'MASTER BAHAN'!$A$5:$A$504,0))))</f>
        <v/>
      </c>
      <c r="F9" s="58" t="str">
        <f aca="false">IF(C9="","",IF(COUNTIFS('RINGKASAN STOK'!$A$5:$A$504,C9)=0,"BELUM ADA",INDEX('RINGKASAN STOK'!$H$5:$H$504,MATCH(C9,'RINGKASAN STOK'!$A$5:$A$504,0))))</f>
        <v/>
      </c>
      <c r="G9" s="67"/>
      <c r="H9" s="58" t="str">
        <f aca="false">IF(A9="","",IF(NOT(ISNUMBER(G9)),"ISI STOK FISIK",G9-F9))</f>
        <v/>
      </c>
      <c r="I9" s="67"/>
      <c r="J9" s="67"/>
      <c r="K9" s="67"/>
      <c r="L9" s="67"/>
    </row>
    <row r="10" customFormat="false" ht="15" hidden="false" customHeight="false" outlineLevel="0" collapsed="false">
      <c r="A10" s="67"/>
      <c r="B10" s="67"/>
      <c r="C10" s="67"/>
      <c r="D10" s="58" t="str">
        <f aca="false">IF(C10="","",IF(COUNTIFS('MASTER BAHAN'!$A$5:$A$504,C10)=0,"BELUM ADA",INDEX('MASTER BAHAN'!$B$5:$B$504,MATCH(C10,'MASTER BAHAN'!$A$5:$A$504,0))))</f>
        <v/>
      </c>
      <c r="E10" s="58" t="str">
        <f aca="false">IF(C10="","",IF(COUNTIFS('MASTER BAHAN'!$A$5:$A$504,C10)=0,"BELUM ADA",INDEX('MASTER BAHAN'!$D$5:$D$504,MATCH(C10,'MASTER BAHAN'!$A$5:$A$504,0))))</f>
        <v/>
      </c>
      <c r="F10" s="58" t="str">
        <f aca="false">IF(C10="","",IF(COUNTIFS('RINGKASAN STOK'!$A$5:$A$504,C10)=0,"BELUM ADA",INDEX('RINGKASAN STOK'!$H$5:$H$504,MATCH(C10,'RINGKASAN STOK'!$A$5:$A$504,0))))</f>
        <v/>
      </c>
      <c r="G10" s="67"/>
      <c r="H10" s="58" t="str">
        <f aca="false">IF(A10="","",IF(NOT(ISNUMBER(G10)),"ISI STOK FISIK",G10-F10))</f>
        <v/>
      </c>
      <c r="I10" s="67"/>
      <c r="J10" s="67"/>
      <c r="K10" s="67"/>
      <c r="L10" s="67"/>
    </row>
    <row r="11" customFormat="false" ht="15" hidden="false" customHeight="false" outlineLevel="0" collapsed="false">
      <c r="A11" s="67"/>
      <c r="B11" s="67"/>
      <c r="C11" s="67"/>
      <c r="D11" s="58" t="str">
        <f aca="false">IF(C11="","",IF(COUNTIFS('MASTER BAHAN'!$A$5:$A$504,C11)=0,"BELUM ADA",INDEX('MASTER BAHAN'!$B$5:$B$504,MATCH(C11,'MASTER BAHAN'!$A$5:$A$504,0))))</f>
        <v/>
      </c>
      <c r="E11" s="58" t="str">
        <f aca="false">IF(C11="","",IF(COUNTIFS('MASTER BAHAN'!$A$5:$A$504,C11)=0,"BELUM ADA",INDEX('MASTER BAHAN'!$D$5:$D$504,MATCH(C11,'MASTER BAHAN'!$A$5:$A$504,0))))</f>
        <v/>
      </c>
      <c r="F11" s="58" t="str">
        <f aca="false">IF(C11="","",IF(COUNTIFS('RINGKASAN STOK'!$A$5:$A$504,C11)=0,"BELUM ADA",INDEX('RINGKASAN STOK'!$H$5:$H$504,MATCH(C11,'RINGKASAN STOK'!$A$5:$A$504,0))))</f>
        <v/>
      </c>
      <c r="G11" s="67"/>
      <c r="H11" s="58" t="str">
        <f aca="false">IF(A11="","",IF(NOT(ISNUMBER(G11)),"ISI STOK FISIK",G11-F11))</f>
        <v/>
      </c>
      <c r="I11" s="67"/>
      <c r="J11" s="67"/>
      <c r="K11" s="67"/>
      <c r="L11" s="67"/>
    </row>
    <row r="12" customFormat="false" ht="15" hidden="false" customHeight="false" outlineLevel="0" collapsed="false">
      <c r="A12" s="67"/>
      <c r="B12" s="67"/>
      <c r="C12" s="67"/>
      <c r="D12" s="58" t="str">
        <f aca="false">IF(C12="","",IF(COUNTIFS('MASTER BAHAN'!$A$5:$A$504,C12)=0,"BELUM ADA",INDEX('MASTER BAHAN'!$B$5:$B$504,MATCH(C12,'MASTER BAHAN'!$A$5:$A$504,0))))</f>
        <v/>
      </c>
      <c r="E12" s="58" t="str">
        <f aca="false">IF(C12="","",IF(COUNTIFS('MASTER BAHAN'!$A$5:$A$504,C12)=0,"BELUM ADA",INDEX('MASTER BAHAN'!$D$5:$D$504,MATCH(C12,'MASTER BAHAN'!$A$5:$A$504,0))))</f>
        <v/>
      </c>
      <c r="F12" s="58" t="str">
        <f aca="false">IF(C12="","",IF(COUNTIFS('RINGKASAN STOK'!$A$5:$A$504,C12)=0,"BELUM ADA",INDEX('RINGKASAN STOK'!$H$5:$H$504,MATCH(C12,'RINGKASAN STOK'!$A$5:$A$504,0))))</f>
        <v/>
      </c>
      <c r="G12" s="67"/>
      <c r="H12" s="58" t="str">
        <f aca="false">IF(A12="","",IF(NOT(ISNUMBER(G12)),"ISI STOK FISIK",G12-F12))</f>
        <v/>
      </c>
      <c r="I12" s="67"/>
      <c r="J12" s="67"/>
      <c r="K12" s="67"/>
      <c r="L12" s="67"/>
    </row>
    <row r="13" customFormat="false" ht="15" hidden="false" customHeight="false" outlineLevel="0" collapsed="false">
      <c r="A13" s="67"/>
      <c r="B13" s="67"/>
      <c r="C13" s="67"/>
      <c r="D13" s="58" t="str">
        <f aca="false">IF(C13="","",IF(COUNTIFS('MASTER BAHAN'!$A$5:$A$504,C13)=0,"BELUM ADA",INDEX('MASTER BAHAN'!$B$5:$B$504,MATCH(C13,'MASTER BAHAN'!$A$5:$A$504,0))))</f>
        <v/>
      </c>
      <c r="E13" s="58" t="str">
        <f aca="false">IF(C13="","",IF(COUNTIFS('MASTER BAHAN'!$A$5:$A$504,C13)=0,"BELUM ADA",INDEX('MASTER BAHAN'!$D$5:$D$504,MATCH(C13,'MASTER BAHAN'!$A$5:$A$504,0))))</f>
        <v/>
      </c>
      <c r="F13" s="58" t="str">
        <f aca="false">IF(C13="","",IF(COUNTIFS('RINGKASAN STOK'!$A$5:$A$504,C13)=0,"BELUM ADA",INDEX('RINGKASAN STOK'!$H$5:$H$504,MATCH(C13,'RINGKASAN STOK'!$A$5:$A$504,0))))</f>
        <v/>
      </c>
      <c r="G13" s="67"/>
      <c r="H13" s="58" t="str">
        <f aca="false">IF(A13="","",IF(NOT(ISNUMBER(G13)),"ISI STOK FISIK",G13-F13))</f>
        <v/>
      </c>
      <c r="I13" s="67"/>
      <c r="J13" s="67"/>
      <c r="K13" s="67"/>
      <c r="L13" s="67"/>
    </row>
    <row r="14" customFormat="false" ht="15" hidden="false" customHeight="false" outlineLevel="0" collapsed="false">
      <c r="A14" s="67"/>
      <c r="B14" s="67"/>
      <c r="C14" s="67"/>
      <c r="D14" s="58" t="str">
        <f aca="false">IF(C14="","",IF(COUNTIFS('MASTER BAHAN'!$A$5:$A$504,C14)=0,"BELUM ADA",INDEX('MASTER BAHAN'!$B$5:$B$504,MATCH(C14,'MASTER BAHAN'!$A$5:$A$504,0))))</f>
        <v/>
      </c>
      <c r="E14" s="58" t="str">
        <f aca="false">IF(C14="","",IF(COUNTIFS('MASTER BAHAN'!$A$5:$A$504,C14)=0,"BELUM ADA",INDEX('MASTER BAHAN'!$D$5:$D$504,MATCH(C14,'MASTER BAHAN'!$A$5:$A$504,0))))</f>
        <v/>
      </c>
      <c r="F14" s="58" t="str">
        <f aca="false">IF(C14="","",IF(COUNTIFS('RINGKASAN STOK'!$A$5:$A$504,C14)=0,"BELUM ADA",INDEX('RINGKASAN STOK'!$H$5:$H$504,MATCH(C14,'RINGKASAN STOK'!$A$5:$A$504,0))))</f>
        <v/>
      </c>
      <c r="G14" s="67"/>
      <c r="H14" s="58" t="str">
        <f aca="false">IF(A14="","",IF(NOT(ISNUMBER(G14)),"ISI STOK FISIK",G14-F14))</f>
        <v/>
      </c>
      <c r="I14" s="67"/>
      <c r="J14" s="67"/>
      <c r="K14" s="67"/>
      <c r="L14" s="67"/>
    </row>
    <row r="15" customFormat="false" ht="15" hidden="false" customHeight="false" outlineLevel="0" collapsed="false">
      <c r="A15" s="67"/>
      <c r="B15" s="67"/>
      <c r="C15" s="67"/>
      <c r="D15" s="58" t="str">
        <f aca="false">IF(C15="","",IF(COUNTIFS('MASTER BAHAN'!$A$5:$A$504,C15)=0,"BELUM ADA",INDEX('MASTER BAHAN'!$B$5:$B$504,MATCH(C15,'MASTER BAHAN'!$A$5:$A$504,0))))</f>
        <v/>
      </c>
      <c r="E15" s="58" t="str">
        <f aca="false">IF(C15="","",IF(COUNTIFS('MASTER BAHAN'!$A$5:$A$504,C15)=0,"BELUM ADA",INDEX('MASTER BAHAN'!$D$5:$D$504,MATCH(C15,'MASTER BAHAN'!$A$5:$A$504,0))))</f>
        <v/>
      </c>
      <c r="F15" s="58" t="str">
        <f aca="false">IF(C15="","",IF(COUNTIFS('RINGKASAN STOK'!$A$5:$A$504,C15)=0,"BELUM ADA",INDEX('RINGKASAN STOK'!$H$5:$H$504,MATCH(C15,'RINGKASAN STOK'!$A$5:$A$504,0))))</f>
        <v/>
      </c>
      <c r="G15" s="67"/>
      <c r="H15" s="58" t="str">
        <f aca="false">IF(A15="","",IF(NOT(ISNUMBER(G15)),"ISI STOK FISIK",G15-F15))</f>
        <v/>
      </c>
      <c r="I15" s="67"/>
      <c r="J15" s="67"/>
      <c r="K15" s="67"/>
      <c r="L15" s="67"/>
    </row>
    <row r="16" customFormat="false" ht="15" hidden="false" customHeight="false" outlineLevel="0" collapsed="false">
      <c r="A16" s="67"/>
      <c r="B16" s="67"/>
      <c r="C16" s="67"/>
      <c r="D16" s="58" t="str">
        <f aca="false">IF(C16="","",IF(COUNTIFS('MASTER BAHAN'!$A$5:$A$504,C16)=0,"BELUM ADA",INDEX('MASTER BAHAN'!$B$5:$B$504,MATCH(C16,'MASTER BAHAN'!$A$5:$A$504,0))))</f>
        <v/>
      </c>
      <c r="E16" s="58" t="str">
        <f aca="false">IF(C16="","",IF(COUNTIFS('MASTER BAHAN'!$A$5:$A$504,C16)=0,"BELUM ADA",INDEX('MASTER BAHAN'!$D$5:$D$504,MATCH(C16,'MASTER BAHAN'!$A$5:$A$504,0))))</f>
        <v/>
      </c>
      <c r="F16" s="58" t="str">
        <f aca="false">IF(C16="","",IF(COUNTIFS('RINGKASAN STOK'!$A$5:$A$504,C16)=0,"BELUM ADA",INDEX('RINGKASAN STOK'!$H$5:$H$504,MATCH(C16,'RINGKASAN STOK'!$A$5:$A$504,0))))</f>
        <v/>
      </c>
      <c r="G16" s="67"/>
      <c r="H16" s="58" t="str">
        <f aca="false">IF(A16="","",IF(NOT(ISNUMBER(G16)),"ISI STOK FISIK",G16-F16))</f>
        <v/>
      </c>
      <c r="I16" s="67"/>
      <c r="J16" s="67"/>
      <c r="K16" s="67"/>
      <c r="L16" s="67"/>
    </row>
    <row r="17" customFormat="false" ht="15" hidden="false" customHeight="false" outlineLevel="0" collapsed="false">
      <c r="A17" s="67"/>
      <c r="B17" s="67"/>
      <c r="C17" s="67"/>
      <c r="D17" s="58" t="str">
        <f aca="false">IF(C17="","",IF(COUNTIFS('MASTER BAHAN'!$A$5:$A$504,C17)=0,"BELUM ADA",INDEX('MASTER BAHAN'!$B$5:$B$504,MATCH(C17,'MASTER BAHAN'!$A$5:$A$504,0))))</f>
        <v/>
      </c>
      <c r="E17" s="58" t="str">
        <f aca="false">IF(C17="","",IF(COUNTIFS('MASTER BAHAN'!$A$5:$A$504,C17)=0,"BELUM ADA",INDEX('MASTER BAHAN'!$D$5:$D$504,MATCH(C17,'MASTER BAHAN'!$A$5:$A$504,0))))</f>
        <v/>
      </c>
      <c r="F17" s="58" t="str">
        <f aca="false">IF(C17="","",IF(COUNTIFS('RINGKASAN STOK'!$A$5:$A$504,C17)=0,"BELUM ADA",INDEX('RINGKASAN STOK'!$H$5:$H$504,MATCH(C17,'RINGKASAN STOK'!$A$5:$A$504,0))))</f>
        <v/>
      </c>
      <c r="G17" s="67"/>
      <c r="H17" s="58" t="str">
        <f aca="false">IF(A17="","",IF(NOT(ISNUMBER(G17)),"ISI STOK FISIK",G17-F17))</f>
        <v/>
      </c>
      <c r="I17" s="67"/>
      <c r="J17" s="67"/>
      <c r="K17" s="67"/>
      <c r="L17" s="67"/>
    </row>
    <row r="18" customFormat="false" ht="15" hidden="false" customHeight="false" outlineLevel="0" collapsed="false">
      <c r="A18" s="67"/>
      <c r="B18" s="67"/>
      <c r="C18" s="67"/>
      <c r="D18" s="58" t="str">
        <f aca="false">IF(C18="","",IF(COUNTIFS('MASTER BAHAN'!$A$5:$A$504,C18)=0,"BELUM ADA",INDEX('MASTER BAHAN'!$B$5:$B$504,MATCH(C18,'MASTER BAHAN'!$A$5:$A$504,0))))</f>
        <v/>
      </c>
      <c r="E18" s="58" t="str">
        <f aca="false">IF(C18="","",IF(COUNTIFS('MASTER BAHAN'!$A$5:$A$504,C18)=0,"BELUM ADA",INDEX('MASTER BAHAN'!$D$5:$D$504,MATCH(C18,'MASTER BAHAN'!$A$5:$A$504,0))))</f>
        <v/>
      </c>
      <c r="F18" s="58" t="str">
        <f aca="false">IF(C18="","",IF(COUNTIFS('RINGKASAN STOK'!$A$5:$A$504,C18)=0,"BELUM ADA",INDEX('RINGKASAN STOK'!$H$5:$H$504,MATCH(C18,'RINGKASAN STOK'!$A$5:$A$504,0))))</f>
        <v/>
      </c>
      <c r="G18" s="67"/>
      <c r="H18" s="58" t="str">
        <f aca="false">IF(A18="","",IF(NOT(ISNUMBER(G18)),"ISI STOK FISIK",G18-F18))</f>
        <v/>
      </c>
      <c r="I18" s="67"/>
      <c r="J18" s="67"/>
      <c r="K18" s="67"/>
      <c r="L18" s="67"/>
    </row>
    <row r="19" customFormat="false" ht="15" hidden="false" customHeight="false" outlineLevel="0" collapsed="false">
      <c r="A19" s="67"/>
      <c r="B19" s="67"/>
      <c r="C19" s="67"/>
      <c r="D19" s="58" t="str">
        <f aca="false">IF(C19="","",IF(COUNTIFS('MASTER BAHAN'!$A$5:$A$504,C19)=0,"BELUM ADA",INDEX('MASTER BAHAN'!$B$5:$B$504,MATCH(C19,'MASTER BAHAN'!$A$5:$A$504,0))))</f>
        <v/>
      </c>
      <c r="E19" s="58" t="str">
        <f aca="false">IF(C19="","",IF(COUNTIFS('MASTER BAHAN'!$A$5:$A$504,C19)=0,"BELUM ADA",INDEX('MASTER BAHAN'!$D$5:$D$504,MATCH(C19,'MASTER BAHAN'!$A$5:$A$504,0))))</f>
        <v/>
      </c>
      <c r="F19" s="58" t="str">
        <f aca="false">IF(C19="","",IF(COUNTIFS('RINGKASAN STOK'!$A$5:$A$504,C19)=0,"BELUM ADA",INDEX('RINGKASAN STOK'!$H$5:$H$504,MATCH(C19,'RINGKASAN STOK'!$A$5:$A$504,0))))</f>
        <v/>
      </c>
      <c r="G19" s="67"/>
      <c r="H19" s="58" t="str">
        <f aca="false">IF(A19="","",IF(NOT(ISNUMBER(G19)),"ISI STOK FISIK",G19-F19))</f>
        <v/>
      </c>
      <c r="I19" s="67"/>
      <c r="J19" s="67"/>
      <c r="K19" s="67"/>
      <c r="L19" s="67"/>
    </row>
    <row r="20" customFormat="false" ht="15" hidden="false" customHeight="false" outlineLevel="0" collapsed="false">
      <c r="A20" s="67"/>
      <c r="B20" s="67"/>
      <c r="C20" s="67"/>
      <c r="D20" s="58" t="str">
        <f aca="false">IF(C20="","",IF(COUNTIFS('MASTER BAHAN'!$A$5:$A$504,C20)=0,"BELUM ADA",INDEX('MASTER BAHAN'!$B$5:$B$504,MATCH(C20,'MASTER BAHAN'!$A$5:$A$504,0))))</f>
        <v/>
      </c>
      <c r="E20" s="58" t="str">
        <f aca="false">IF(C20="","",IF(COUNTIFS('MASTER BAHAN'!$A$5:$A$504,C20)=0,"BELUM ADA",INDEX('MASTER BAHAN'!$D$5:$D$504,MATCH(C20,'MASTER BAHAN'!$A$5:$A$504,0))))</f>
        <v/>
      </c>
      <c r="F20" s="58" t="str">
        <f aca="false">IF(C20="","",IF(COUNTIFS('RINGKASAN STOK'!$A$5:$A$504,C20)=0,"BELUM ADA",INDEX('RINGKASAN STOK'!$H$5:$H$504,MATCH(C20,'RINGKASAN STOK'!$A$5:$A$504,0))))</f>
        <v/>
      </c>
      <c r="G20" s="67"/>
      <c r="H20" s="58" t="str">
        <f aca="false">IF(A20="","",IF(NOT(ISNUMBER(G20)),"ISI STOK FISIK",G20-F20))</f>
        <v/>
      </c>
      <c r="I20" s="67"/>
      <c r="J20" s="67"/>
      <c r="K20" s="67"/>
      <c r="L20" s="67"/>
    </row>
    <row r="21" customFormat="false" ht="15" hidden="false" customHeight="false" outlineLevel="0" collapsed="false">
      <c r="A21" s="67"/>
      <c r="B21" s="67"/>
      <c r="C21" s="67"/>
      <c r="D21" s="58" t="str">
        <f aca="false">IF(C21="","",IF(COUNTIFS('MASTER BAHAN'!$A$5:$A$504,C21)=0,"BELUM ADA",INDEX('MASTER BAHAN'!$B$5:$B$504,MATCH(C21,'MASTER BAHAN'!$A$5:$A$504,0))))</f>
        <v/>
      </c>
      <c r="E21" s="58" t="str">
        <f aca="false">IF(C21="","",IF(COUNTIFS('MASTER BAHAN'!$A$5:$A$504,C21)=0,"BELUM ADA",INDEX('MASTER BAHAN'!$D$5:$D$504,MATCH(C21,'MASTER BAHAN'!$A$5:$A$504,0))))</f>
        <v/>
      </c>
      <c r="F21" s="58" t="str">
        <f aca="false">IF(C21="","",IF(COUNTIFS('RINGKASAN STOK'!$A$5:$A$504,C21)=0,"BELUM ADA",INDEX('RINGKASAN STOK'!$H$5:$H$504,MATCH(C21,'RINGKASAN STOK'!$A$5:$A$504,0))))</f>
        <v/>
      </c>
      <c r="G21" s="67"/>
      <c r="H21" s="58" t="str">
        <f aca="false">IF(A21="","",IF(NOT(ISNUMBER(G21)),"ISI STOK FISIK",G21-F21))</f>
        <v/>
      </c>
      <c r="I21" s="67"/>
      <c r="J21" s="67"/>
      <c r="K21" s="67"/>
      <c r="L21" s="67"/>
    </row>
    <row r="22" customFormat="false" ht="15" hidden="false" customHeight="false" outlineLevel="0" collapsed="false">
      <c r="A22" s="67"/>
      <c r="B22" s="67"/>
      <c r="C22" s="67"/>
      <c r="D22" s="58" t="str">
        <f aca="false">IF(C22="","",IF(COUNTIFS('MASTER BAHAN'!$A$5:$A$504,C22)=0,"BELUM ADA",INDEX('MASTER BAHAN'!$B$5:$B$504,MATCH(C22,'MASTER BAHAN'!$A$5:$A$504,0))))</f>
        <v/>
      </c>
      <c r="E22" s="58" t="str">
        <f aca="false">IF(C22="","",IF(COUNTIFS('MASTER BAHAN'!$A$5:$A$504,C22)=0,"BELUM ADA",INDEX('MASTER BAHAN'!$D$5:$D$504,MATCH(C22,'MASTER BAHAN'!$A$5:$A$504,0))))</f>
        <v/>
      </c>
      <c r="F22" s="58" t="str">
        <f aca="false">IF(C22="","",IF(COUNTIFS('RINGKASAN STOK'!$A$5:$A$504,C22)=0,"BELUM ADA",INDEX('RINGKASAN STOK'!$H$5:$H$504,MATCH(C22,'RINGKASAN STOK'!$A$5:$A$504,0))))</f>
        <v/>
      </c>
      <c r="G22" s="67"/>
      <c r="H22" s="58" t="str">
        <f aca="false">IF(A22="","",IF(NOT(ISNUMBER(G22)),"ISI STOK FISIK",G22-F22))</f>
        <v/>
      </c>
      <c r="I22" s="67"/>
      <c r="J22" s="67"/>
      <c r="K22" s="67"/>
      <c r="L22" s="67"/>
    </row>
    <row r="23" customFormat="false" ht="15" hidden="false" customHeight="false" outlineLevel="0" collapsed="false">
      <c r="A23" s="67"/>
      <c r="B23" s="67"/>
      <c r="C23" s="67"/>
      <c r="D23" s="58" t="str">
        <f aca="false">IF(C23="","",IF(COUNTIFS('MASTER BAHAN'!$A$5:$A$504,C23)=0,"BELUM ADA",INDEX('MASTER BAHAN'!$B$5:$B$504,MATCH(C23,'MASTER BAHAN'!$A$5:$A$504,0))))</f>
        <v/>
      </c>
      <c r="E23" s="58" t="str">
        <f aca="false">IF(C23="","",IF(COUNTIFS('MASTER BAHAN'!$A$5:$A$504,C23)=0,"BELUM ADA",INDEX('MASTER BAHAN'!$D$5:$D$504,MATCH(C23,'MASTER BAHAN'!$A$5:$A$504,0))))</f>
        <v/>
      </c>
      <c r="F23" s="58" t="str">
        <f aca="false">IF(C23="","",IF(COUNTIFS('RINGKASAN STOK'!$A$5:$A$504,C23)=0,"BELUM ADA",INDEX('RINGKASAN STOK'!$H$5:$H$504,MATCH(C23,'RINGKASAN STOK'!$A$5:$A$504,0))))</f>
        <v/>
      </c>
      <c r="G23" s="67"/>
      <c r="H23" s="58" t="str">
        <f aca="false">IF(A23="","",IF(NOT(ISNUMBER(G23)),"ISI STOK FISIK",G23-F23))</f>
        <v/>
      </c>
      <c r="I23" s="67"/>
      <c r="J23" s="67"/>
      <c r="K23" s="67"/>
      <c r="L23" s="67"/>
    </row>
    <row r="24" customFormat="false" ht="15" hidden="false" customHeight="false" outlineLevel="0" collapsed="false">
      <c r="A24" s="67"/>
      <c r="B24" s="67"/>
      <c r="C24" s="67"/>
      <c r="D24" s="58" t="str">
        <f aca="false">IF(C24="","",IF(COUNTIFS('MASTER BAHAN'!$A$5:$A$504,C24)=0,"BELUM ADA",INDEX('MASTER BAHAN'!$B$5:$B$504,MATCH(C24,'MASTER BAHAN'!$A$5:$A$504,0))))</f>
        <v/>
      </c>
      <c r="E24" s="58" t="str">
        <f aca="false">IF(C24="","",IF(COUNTIFS('MASTER BAHAN'!$A$5:$A$504,C24)=0,"BELUM ADA",INDEX('MASTER BAHAN'!$D$5:$D$504,MATCH(C24,'MASTER BAHAN'!$A$5:$A$504,0))))</f>
        <v/>
      </c>
      <c r="F24" s="58" t="str">
        <f aca="false">IF(C24="","",IF(COUNTIFS('RINGKASAN STOK'!$A$5:$A$504,C24)=0,"BELUM ADA",INDEX('RINGKASAN STOK'!$H$5:$H$504,MATCH(C24,'RINGKASAN STOK'!$A$5:$A$504,0))))</f>
        <v/>
      </c>
      <c r="G24" s="67"/>
      <c r="H24" s="58" t="str">
        <f aca="false">IF(A24="","",IF(NOT(ISNUMBER(G24)),"ISI STOK FISIK",G24-F24))</f>
        <v/>
      </c>
      <c r="I24" s="67"/>
      <c r="J24" s="67"/>
      <c r="K24" s="67"/>
      <c r="L24" s="67"/>
    </row>
    <row r="25" customFormat="false" ht="15" hidden="false" customHeight="false" outlineLevel="0" collapsed="false">
      <c r="A25" s="67"/>
      <c r="B25" s="67"/>
      <c r="C25" s="67"/>
      <c r="D25" s="58" t="str">
        <f aca="false">IF(C25="","",IF(COUNTIFS('MASTER BAHAN'!$A$5:$A$504,C25)=0,"BELUM ADA",INDEX('MASTER BAHAN'!$B$5:$B$504,MATCH(C25,'MASTER BAHAN'!$A$5:$A$504,0))))</f>
        <v/>
      </c>
      <c r="E25" s="58" t="str">
        <f aca="false">IF(C25="","",IF(COUNTIFS('MASTER BAHAN'!$A$5:$A$504,C25)=0,"BELUM ADA",INDEX('MASTER BAHAN'!$D$5:$D$504,MATCH(C25,'MASTER BAHAN'!$A$5:$A$504,0))))</f>
        <v/>
      </c>
      <c r="F25" s="58" t="str">
        <f aca="false">IF(C25="","",IF(COUNTIFS('RINGKASAN STOK'!$A$5:$A$504,C25)=0,"BELUM ADA",INDEX('RINGKASAN STOK'!$H$5:$H$504,MATCH(C25,'RINGKASAN STOK'!$A$5:$A$504,0))))</f>
        <v/>
      </c>
      <c r="G25" s="67"/>
      <c r="H25" s="58" t="str">
        <f aca="false">IF(A25="","",IF(NOT(ISNUMBER(G25)),"ISI STOK FISIK",G25-F25))</f>
        <v/>
      </c>
      <c r="I25" s="67"/>
      <c r="J25" s="67"/>
      <c r="K25" s="67"/>
      <c r="L25" s="67"/>
    </row>
    <row r="26" customFormat="false" ht="15" hidden="false" customHeight="false" outlineLevel="0" collapsed="false">
      <c r="A26" s="67"/>
      <c r="B26" s="67"/>
      <c r="C26" s="67"/>
      <c r="D26" s="58" t="str">
        <f aca="false">IF(C26="","",IF(COUNTIFS('MASTER BAHAN'!$A$5:$A$504,C26)=0,"BELUM ADA",INDEX('MASTER BAHAN'!$B$5:$B$504,MATCH(C26,'MASTER BAHAN'!$A$5:$A$504,0))))</f>
        <v/>
      </c>
      <c r="E26" s="58" t="str">
        <f aca="false">IF(C26="","",IF(COUNTIFS('MASTER BAHAN'!$A$5:$A$504,C26)=0,"BELUM ADA",INDEX('MASTER BAHAN'!$D$5:$D$504,MATCH(C26,'MASTER BAHAN'!$A$5:$A$504,0))))</f>
        <v/>
      </c>
      <c r="F26" s="58" t="str">
        <f aca="false">IF(C26="","",IF(COUNTIFS('RINGKASAN STOK'!$A$5:$A$504,C26)=0,"BELUM ADA",INDEX('RINGKASAN STOK'!$H$5:$H$504,MATCH(C26,'RINGKASAN STOK'!$A$5:$A$504,0))))</f>
        <v/>
      </c>
      <c r="G26" s="67"/>
      <c r="H26" s="58" t="str">
        <f aca="false">IF(A26="","",IF(NOT(ISNUMBER(G26)),"ISI STOK FISIK",G26-F26))</f>
        <v/>
      </c>
      <c r="I26" s="67"/>
      <c r="J26" s="67"/>
      <c r="K26" s="67"/>
      <c r="L26" s="67"/>
    </row>
    <row r="27" customFormat="false" ht="15" hidden="false" customHeight="false" outlineLevel="0" collapsed="false">
      <c r="A27" s="67"/>
      <c r="B27" s="67"/>
      <c r="C27" s="67"/>
      <c r="D27" s="58" t="str">
        <f aca="false">IF(C27="","",IF(COUNTIFS('MASTER BAHAN'!$A$5:$A$504,C27)=0,"BELUM ADA",INDEX('MASTER BAHAN'!$B$5:$B$504,MATCH(C27,'MASTER BAHAN'!$A$5:$A$504,0))))</f>
        <v/>
      </c>
      <c r="E27" s="58" t="str">
        <f aca="false">IF(C27="","",IF(COUNTIFS('MASTER BAHAN'!$A$5:$A$504,C27)=0,"BELUM ADA",INDEX('MASTER BAHAN'!$D$5:$D$504,MATCH(C27,'MASTER BAHAN'!$A$5:$A$504,0))))</f>
        <v/>
      </c>
      <c r="F27" s="58" t="str">
        <f aca="false">IF(C27="","",IF(COUNTIFS('RINGKASAN STOK'!$A$5:$A$504,C27)=0,"BELUM ADA",INDEX('RINGKASAN STOK'!$H$5:$H$504,MATCH(C27,'RINGKASAN STOK'!$A$5:$A$504,0))))</f>
        <v/>
      </c>
      <c r="G27" s="67"/>
      <c r="H27" s="58" t="str">
        <f aca="false">IF(A27="","",IF(NOT(ISNUMBER(G27)),"ISI STOK FISIK",G27-F27))</f>
        <v/>
      </c>
      <c r="I27" s="67"/>
      <c r="J27" s="67"/>
      <c r="K27" s="67"/>
      <c r="L27" s="67"/>
    </row>
    <row r="28" customFormat="false" ht="15" hidden="false" customHeight="false" outlineLevel="0" collapsed="false">
      <c r="A28" s="67"/>
      <c r="B28" s="67"/>
      <c r="C28" s="67"/>
      <c r="D28" s="58" t="str">
        <f aca="false">IF(C28="","",IF(COUNTIFS('MASTER BAHAN'!$A$5:$A$504,C28)=0,"BELUM ADA",INDEX('MASTER BAHAN'!$B$5:$B$504,MATCH(C28,'MASTER BAHAN'!$A$5:$A$504,0))))</f>
        <v/>
      </c>
      <c r="E28" s="58" t="str">
        <f aca="false">IF(C28="","",IF(COUNTIFS('MASTER BAHAN'!$A$5:$A$504,C28)=0,"BELUM ADA",INDEX('MASTER BAHAN'!$D$5:$D$504,MATCH(C28,'MASTER BAHAN'!$A$5:$A$504,0))))</f>
        <v/>
      </c>
      <c r="F28" s="58" t="str">
        <f aca="false">IF(C28="","",IF(COUNTIFS('RINGKASAN STOK'!$A$5:$A$504,C28)=0,"BELUM ADA",INDEX('RINGKASAN STOK'!$H$5:$H$504,MATCH(C28,'RINGKASAN STOK'!$A$5:$A$504,0))))</f>
        <v/>
      </c>
      <c r="G28" s="67"/>
      <c r="H28" s="58" t="str">
        <f aca="false">IF(A28="","",IF(NOT(ISNUMBER(G28)),"ISI STOK FISIK",G28-F28))</f>
        <v/>
      </c>
      <c r="I28" s="67"/>
      <c r="J28" s="67"/>
      <c r="K28" s="67"/>
      <c r="L28" s="67"/>
    </row>
    <row r="29" customFormat="false" ht="15" hidden="false" customHeight="false" outlineLevel="0" collapsed="false">
      <c r="A29" s="67"/>
      <c r="B29" s="67"/>
      <c r="C29" s="67"/>
      <c r="D29" s="58" t="str">
        <f aca="false">IF(C29="","",IF(COUNTIFS('MASTER BAHAN'!$A$5:$A$504,C29)=0,"BELUM ADA",INDEX('MASTER BAHAN'!$B$5:$B$504,MATCH(C29,'MASTER BAHAN'!$A$5:$A$504,0))))</f>
        <v/>
      </c>
      <c r="E29" s="58" t="str">
        <f aca="false">IF(C29="","",IF(COUNTIFS('MASTER BAHAN'!$A$5:$A$504,C29)=0,"BELUM ADA",INDEX('MASTER BAHAN'!$D$5:$D$504,MATCH(C29,'MASTER BAHAN'!$A$5:$A$504,0))))</f>
        <v/>
      </c>
      <c r="F29" s="58" t="str">
        <f aca="false">IF(C29="","",IF(COUNTIFS('RINGKASAN STOK'!$A$5:$A$504,C29)=0,"BELUM ADA",INDEX('RINGKASAN STOK'!$H$5:$H$504,MATCH(C29,'RINGKASAN STOK'!$A$5:$A$504,0))))</f>
        <v/>
      </c>
      <c r="G29" s="67"/>
      <c r="H29" s="58" t="str">
        <f aca="false">IF(A29="","",IF(NOT(ISNUMBER(G29)),"ISI STOK FISIK",G29-F29))</f>
        <v/>
      </c>
      <c r="I29" s="67"/>
      <c r="J29" s="67"/>
      <c r="K29" s="67"/>
      <c r="L29" s="67"/>
    </row>
    <row r="30" customFormat="false" ht="15" hidden="false" customHeight="false" outlineLevel="0" collapsed="false">
      <c r="A30" s="67"/>
      <c r="B30" s="67"/>
      <c r="C30" s="67"/>
      <c r="D30" s="58" t="str">
        <f aca="false">IF(C30="","",IF(COUNTIFS('MASTER BAHAN'!$A$5:$A$504,C30)=0,"BELUM ADA",INDEX('MASTER BAHAN'!$B$5:$B$504,MATCH(C30,'MASTER BAHAN'!$A$5:$A$504,0))))</f>
        <v/>
      </c>
      <c r="E30" s="58" t="str">
        <f aca="false">IF(C30="","",IF(COUNTIFS('MASTER BAHAN'!$A$5:$A$504,C30)=0,"BELUM ADA",INDEX('MASTER BAHAN'!$D$5:$D$504,MATCH(C30,'MASTER BAHAN'!$A$5:$A$504,0))))</f>
        <v/>
      </c>
      <c r="F30" s="58" t="str">
        <f aca="false">IF(C30="","",IF(COUNTIFS('RINGKASAN STOK'!$A$5:$A$504,C30)=0,"BELUM ADA",INDEX('RINGKASAN STOK'!$H$5:$H$504,MATCH(C30,'RINGKASAN STOK'!$A$5:$A$504,0))))</f>
        <v/>
      </c>
      <c r="G30" s="67"/>
      <c r="H30" s="58" t="str">
        <f aca="false">IF(A30="","",IF(NOT(ISNUMBER(G30)),"ISI STOK FISIK",G30-F30))</f>
        <v/>
      </c>
      <c r="I30" s="67"/>
      <c r="J30" s="67"/>
      <c r="K30" s="67"/>
      <c r="L30" s="67"/>
    </row>
    <row r="31" customFormat="false" ht="15" hidden="false" customHeight="false" outlineLevel="0" collapsed="false">
      <c r="A31" s="67"/>
      <c r="B31" s="67"/>
      <c r="C31" s="67"/>
      <c r="D31" s="58" t="str">
        <f aca="false">IF(C31="","",IF(COUNTIFS('MASTER BAHAN'!$A$5:$A$504,C31)=0,"BELUM ADA",INDEX('MASTER BAHAN'!$B$5:$B$504,MATCH(C31,'MASTER BAHAN'!$A$5:$A$504,0))))</f>
        <v/>
      </c>
      <c r="E31" s="58" t="str">
        <f aca="false">IF(C31="","",IF(COUNTIFS('MASTER BAHAN'!$A$5:$A$504,C31)=0,"BELUM ADA",INDEX('MASTER BAHAN'!$D$5:$D$504,MATCH(C31,'MASTER BAHAN'!$A$5:$A$504,0))))</f>
        <v/>
      </c>
      <c r="F31" s="58" t="str">
        <f aca="false">IF(C31="","",IF(COUNTIFS('RINGKASAN STOK'!$A$5:$A$504,C31)=0,"BELUM ADA",INDEX('RINGKASAN STOK'!$H$5:$H$504,MATCH(C31,'RINGKASAN STOK'!$A$5:$A$504,0))))</f>
        <v/>
      </c>
      <c r="G31" s="67"/>
      <c r="H31" s="58" t="str">
        <f aca="false">IF(A31="","",IF(NOT(ISNUMBER(G31)),"ISI STOK FISIK",G31-F31))</f>
        <v/>
      </c>
      <c r="I31" s="67"/>
      <c r="J31" s="67"/>
      <c r="K31" s="67"/>
      <c r="L31" s="67"/>
    </row>
    <row r="32" customFormat="false" ht="15" hidden="false" customHeight="false" outlineLevel="0" collapsed="false">
      <c r="A32" s="67"/>
      <c r="B32" s="67"/>
      <c r="C32" s="67"/>
      <c r="D32" s="58" t="str">
        <f aca="false">IF(C32="","",IF(COUNTIFS('MASTER BAHAN'!$A$5:$A$504,C32)=0,"BELUM ADA",INDEX('MASTER BAHAN'!$B$5:$B$504,MATCH(C32,'MASTER BAHAN'!$A$5:$A$504,0))))</f>
        <v/>
      </c>
      <c r="E32" s="58" t="str">
        <f aca="false">IF(C32="","",IF(COUNTIFS('MASTER BAHAN'!$A$5:$A$504,C32)=0,"BELUM ADA",INDEX('MASTER BAHAN'!$D$5:$D$504,MATCH(C32,'MASTER BAHAN'!$A$5:$A$504,0))))</f>
        <v/>
      </c>
      <c r="F32" s="58" t="str">
        <f aca="false">IF(C32="","",IF(COUNTIFS('RINGKASAN STOK'!$A$5:$A$504,C32)=0,"BELUM ADA",INDEX('RINGKASAN STOK'!$H$5:$H$504,MATCH(C32,'RINGKASAN STOK'!$A$5:$A$504,0))))</f>
        <v/>
      </c>
      <c r="G32" s="67"/>
      <c r="H32" s="58" t="str">
        <f aca="false">IF(A32="","",IF(NOT(ISNUMBER(G32)),"ISI STOK FISIK",G32-F32))</f>
        <v/>
      </c>
      <c r="I32" s="67"/>
      <c r="J32" s="67"/>
      <c r="K32" s="67"/>
      <c r="L32" s="67"/>
    </row>
    <row r="33" customFormat="false" ht="15" hidden="false" customHeight="false" outlineLevel="0" collapsed="false">
      <c r="A33" s="67"/>
      <c r="B33" s="67"/>
      <c r="C33" s="67"/>
      <c r="D33" s="58" t="str">
        <f aca="false">IF(C33="","",IF(COUNTIFS('MASTER BAHAN'!$A$5:$A$504,C33)=0,"BELUM ADA",INDEX('MASTER BAHAN'!$B$5:$B$504,MATCH(C33,'MASTER BAHAN'!$A$5:$A$504,0))))</f>
        <v/>
      </c>
      <c r="E33" s="58" t="str">
        <f aca="false">IF(C33="","",IF(COUNTIFS('MASTER BAHAN'!$A$5:$A$504,C33)=0,"BELUM ADA",INDEX('MASTER BAHAN'!$D$5:$D$504,MATCH(C33,'MASTER BAHAN'!$A$5:$A$504,0))))</f>
        <v/>
      </c>
      <c r="F33" s="58" t="str">
        <f aca="false">IF(C33="","",IF(COUNTIFS('RINGKASAN STOK'!$A$5:$A$504,C33)=0,"BELUM ADA",INDEX('RINGKASAN STOK'!$H$5:$H$504,MATCH(C33,'RINGKASAN STOK'!$A$5:$A$504,0))))</f>
        <v/>
      </c>
      <c r="G33" s="67"/>
      <c r="H33" s="58" t="str">
        <f aca="false">IF(A33="","",IF(NOT(ISNUMBER(G33)),"ISI STOK FISIK",G33-F33))</f>
        <v/>
      </c>
      <c r="I33" s="67"/>
      <c r="J33" s="67"/>
      <c r="K33" s="67"/>
      <c r="L33" s="67"/>
    </row>
    <row r="34" customFormat="false" ht="15" hidden="false" customHeight="false" outlineLevel="0" collapsed="false">
      <c r="A34" s="67"/>
      <c r="B34" s="67"/>
      <c r="C34" s="67"/>
      <c r="D34" s="58" t="str">
        <f aca="false">IF(C34="","",IF(COUNTIFS('MASTER BAHAN'!$A$5:$A$504,C34)=0,"BELUM ADA",INDEX('MASTER BAHAN'!$B$5:$B$504,MATCH(C34,'MASTER BAHAN'!$A$5:$A$504,0))))</f>
        <v/>
      </c>
      <c r="E34" s="58" t="str">
        <f aca="false">IF(C34="","",IF(COUNTIFS('MASTER BAHAN'!$A$5:$A$504,C34)=0,"BELUM ADA",INDEX('MASTER BAHAN'!$D$5:$D$504,MATCH(C34,'MASTER BAHAN'!$A$5:$A$504,0))))</f>
        <v/>
      </c>
      <c r="F34" s="58" t="str">
        <f aca="false">IF(C34="","",IF(COUNTIFS('RINGKASAN STOK'!$A$5:$A$504,C34)=0,"BELUM ADA",INDEX('RINGKASAN STOK'!$H$5:$H$504,MATCH(C34,'RINGKASAN STOK'!$A$5:$A$504,0))))</f>
        <v/>
      </c>
      <c r="G34" s="67"/>
      <c r="H34" s="58" t="str">
        <f aca="false">IF(A34="","",IF(NOT(ISNUMBER(G34)),"ISI STOK FISIK",G34-F34))</f>
        <v/>
      </c>
      <c r="I34" s="67"/>
      <c r="J34" s="67"/>
      <c r="K34" s="67"/>
      <c r="L34" s="67"/>
    </row>
    <row r="35" customFormat="false" ht="15" hidden="false" customHeight="false" outlineLevel="0" collapsed="false">
      <c r="A35" s="67"/>
      <c r="B35" s="67"/>
      <c r="C35" s="67"/>
      <c r="D35" s="58" t="str">
        <f aca="false">IF(C35="","",IF(COUNTIFS('MASTER BAHAN'!$A$5:$A$504,C35)=0,"BELUM ADA",INDEX('MASTER BAHAN'!$B$5:$B$504,MATCH(C35,'MASTER BAHAN'!$A$5:$A$504,0))))</f>
        <v/>
      </c>
      <c r="E35" s="58" t="str">
        <f aca="false">IF(C35="","",IF(COUNTIFS('MASTER BAHAN'!$A$5:$A$504,C35)=0,"BELUM ADA",INDEX('MASTER BAHAN'!$D$5:$D$504,MATCH(C35,'MASTER BAHAN'!$A$5:$A$504,0))))</f>
        <v/>
      </c>
      <c r="F35" s="58" t="str">
        <f aca="false">IF(C35="","",IF(COUNTIFS('RINGKASAN STOK'!$A$5:$A$504,C35)=0,"BELUM ADA",INDEX('RINGKASAN STOK'!$H$5:$H$504,MATCH(C35,'RINGKASAN STOK'!$A$5:$A$504,0))))</f>
        <v/>
      </c>
      <c r="G35" s="67"/>
      <c r="H35" s="58" t="str">
        <f aca="false">IF(A35="","",IF(NOT(ISNUMBER(G35)),"ISI STOK FISIK",G35-F35))</f>
        <v/>
      </c>
      <c r="I35" s="67"/>
      <c r="J35" s="67"/>
      <c r="K35" s="67"/>
      <c r="L35" s="67"/>
    </row>
    <row r="36" customFormat="false" ht="15" hidden="false" customHeight="false" outlineLevel="0" collapsed="false">
      <c r="A36" s="67"/>
      <c r="B36" s="67"/>
      <c r="C36" s="67"/>
      <c r="D36" s="58" t="str">
        <f aca="false">IF(C36="","",IF(COUNTIFS('MASTER BAHAN'!$A$5:$A$504,C36)=0,"BELUM ADA",INDEX('MASTER BAHAN'!$B$5:$B$504,MATCH(C36,'MASTER BAHAN'!$A$5:$A$504,0))))</f>
        <v/>
      </c>
      <c r="E36" s="58" t="str">
        <f aca="false">IF(C36="","",IF(COUNTIFS('MASTER BAHAN'!$A$5:$A$504,C36)=0,"BELUM ADA",INDEX('MASTER BAHAN'!$D$5:$D$504,MATCH(C36,'MASTER BAHAN'!$A$5:$A$504,0))))</f>
        <v/>
      </c>
      <c r="F36" s="58" t="str">
        <f aca="false">IF(C36="","",IF(COUNTIFS('RINGKASAN STOK'!$A$5:$A$504,C36)=0,"BELUM ADA",INDEX('RINGKASAN STOK'!$H$5:$H$504,MATCH(C36,'RINGKASAN STOK'!$A$5:$A$504,0))))</f>
        <v/>
      </c>
      <c r="G36" s="67"/>
      <c r="H36" s="58" t="str">
        <f aca="false">IF(A36="","",IF(NOT(ISNUMBER(G36)),"ISI STOK FISIK",G36-F36))</f>
        <v/>
      </c>
      <c r="I36" s="67"/>
      <c r="J36" s="67"/>
      <c r="K36" s="67"/>
      <c r="L36" s="67"/>
    </row>
    <row r="37" customFormat="false" ht="15" hidden="false" customHeight="false" outlineLevel="0" collapsed="false">
      <c r="A37" s="67"/>
      <c r="B37" s="67"/>
      <c r="C37" s="67"/>
      <c r="D37" s="58" t="str">
        <f aca="false">IF(C37="","",IF(COUNTIFS('MASTER BAHAN'!$A$5:$A$504,C37)=0,"BELUM ADA",INDEX('MASTER BAHAN'!$B$5:$B$504,MATCH(C37,'MASTER BAHAN'!$A$5:$A$504,0))))</f>
        <v/>
      </c>
      <c r="E37" s="58" t="str">
        <f aca="false">IF(C37="","",IF(COUNTIFS('MASTER BAHAN'!$A$5:$A$504,C37)=0,"BELUM ADA",INDEX('MASTER BAHAN'!$D$5:$D$504,MATCH(C37,'MASTER BAHAN'!$A$5:$A$504,0))))</f>
        <v/>
      </c>
      <c r="F37" s="58" t="str">
        <f aca="false">IF(C37="","",IF(COUNTIFS('RINGKASAN STOK'!$A$5:$A$504,C37)=0,"BELUM ADA",INDEX('RINGKASAN STOK'!$H$5:$H$504,MATCH(C37,'RINGKASAN STOK'!$A$5:$A$504,0))))</f>
        <v/>
      </c>
      <c r="G37" s="67"/>
      <c r="H37" s="58" t="str">
        <f aca="false">IF(A37="","",IF(NOT(ISNUMBER(G37)),"ISI STOK FISIK",G37-F37))</f>
        <v/>
      </c>
      <c r="I37" s="67"/>
      <c r="J37" s="67"/>
      <c r="K37" s="67"/>
      <c r="L37" s="67"/>
    </row>
    <row r="38" customFormat="false" ht="15" hidden="false" customHeight="false" outlineLevel="0" collapsed="false">
      <c r="A38" s="67"/>
      <c r="B38" s="67"/>
      <c r="C38" s="67"/>
      <c r="D38" s="58" t="str">
        <f aca="false">IF(C38="","",IF(COUNTIFS('MASTER BAHAN'!$A$5:$A$504,C38)=0,"BELUM ADA",INDEX('MASTER BAHAN'!$B$5:$B$504,MATCH(C38,'MASTER BAHAN'!$A$5:$A$504,0))))</f>
        <v/>
      </c>
      <c r="E38" s="58" t="str">
        <f aca="false">IF(C38="","",IF(COUNTIFS('MASTER BAHAN'!$A$5:$A$504,C38)=0,"BELUM ADA",INDEX('MASTER BAHAN'!$D$5:$D$504,MATCH(C38,'MASTER BAHAN'!$A$5:$A$504,0))))</f>
        <v/>
      </c>
      <c r="F38" s="58" t="str">
        <f aca="false">IF(C38="","",IF(COUNTIFS('RINGKASAN STOK'!$A$5:$A$504,C38)=0,"BELUM ADA",INDEX('RINGKASAN STOK'!$H$5:$H$504,MATCH(C38,'RINGKASAN STOK'!$A$5:$A$504,0))))</f>
        <v/>
      </c>
      <c r="G38" s="67"/>
      <c r="H38" s="58" t="str">
        <f aca="false">IF(A38="","",IF(NOT(ISNUMBER(G38)),"ISI STOK FISIK",G38-F38))</f>
        <v/>
      </c>
      <c r="I38" s="67"/>
      <c r="J38" s="67"/>
      <c r="K38" s="67"/>
      <c r="L38" s="67"/>
    </row>
    <row r="39" customFormat="false" ht="15" hidden="false" customHeight="false" outlineLevel="0" collapsed="false">
      <c r="A39" s="67"/>
      <c r="B39" s="67"/>
      <c r="C39" s="67"/>
      <c r="D39" s="58" t="str">
        <f aca="false">IF(C39="","",IF(COUNTIFS('MASTER BAHAN'!$A$5:$A$504,C39)=0,"BELUM ADA",INDEX('MASTER BAHAN'!$B$5:$B$504,MATCH(C39,'MASTER BAHAN'!$A$5:$A$504,0))))</f>
        <v/>
      </c>
      <c r="E39" s="58" t="str">
        <f aca="false">IF(C39="","",IF(COUNTIFS('MASTER BAHAN'!$A$5:$A$504,C39)=0,"BELUM ADA",INDEX('MASTER BAHAN'!$D$5:$D$504,MATCH(C39,'MASTER BAHAN'!$A$5:$A$504,0))))</f>
        <v/>
      </c>
      <c r="F39" s="58" t="str">
        <f aca="false">IF(C39="","",IF(COUNTIFS('RINGKASAN STOK'!$A$5:$A$504,C39)=0,"BELUM ADA",INDEX('RINGKASAN STOK'!$H$5:$H$504,MATCH(C39,'RINGKASAN STOK'!$A$5:$A$504,0))))</f>
        <v/>
      </c>
      <c r="G39" s="67"/>
      <c r="H39" s="58" t="str">
        <f aca="false">IF(A39="","",IF(NOT(ISNUMBER(G39)),"ISI STOK FISIK",G39-F39))</f>
        <v/>
      </c>
      <c r="I39" s="67"/>
      <c r="J39" s="67"/>
      <c r="K39" s="67"/>
      <c r="L39" s="67"/>
    </row>
    <row r="40" customFormat="false" ht="15" hidden="false" customHeight="false" outlineLevel="0" collapsed="false">
      <c r="A40" s="67"/>
      <c r="B40" s="67"/>
      <c r="C40" s="67"/>
      <c r="D40" s="58" t="str">
        <f aca="false">IF(C40="","",IF(COUNTIFS('MASTER BAHAN'!$A$5:$A$504,C40)=0,"BELUM ADA",INDEX('MASTER BAHAN'!$B$5:$B$504,MATCH(C40,'MASTER BAHAN'!$A$5:$A$504,0))))</f>
        <v/>
      </c>
      <c r="E40" s="58" t="str">
        <f aca="false">IF(C40="","",IF(COUNTIFS('MASTER BAHAN'!$A$5:$A$504,C40)=0,"BELUM ADA",INDEX('MASTER BAHAN'!$D$5:$D$504,MATCH(C40,'MASTER BAHAN'!$A$5:$A$504,0))))</f>
        <v/>
      </c>
      <c r="F40" s="58" t="str">
        <f aca="false">IF(C40="","",IF(COUNTIFS('RINGKASAN STOK'!$A$5:$A$504,C40)=0,"BELUM ADA",INDEX('RINGKASAN STOK'!$H$5:$H$504,MATCH(C40,'RINGKASAN STOK'!$A$5:$A$504,0))))</f>
        <v/>
      </c>
      <c r="G40" s="67"/>
      <c r="H40" s="58" t="str">
        <f aca="false">IF(A40="","",IF(NOT(ISNUMBER(G40)),"ISI STOK FISIK",G40-F40))</f>
        <v/>
      </c>
      <c r="I40" s="67"/>
      <c r="J40" s="67"/>
      <c r="K40" s="67"/>
      <c r="L40" s="67"/>
    </row>
    <row r="41" customFormat="false" ht="15" hidden="false" customHeight="false" outlineLevel="0" collapsed="false">
      <c r="A41" s="67"/>
      <c r="B41" s="67"/>
      <c r="C41" s="67"/>
      <c r="D41" s="58" t="str">
        <f aca="false">IF(C41="","",IF(COUNTIFS('MASTER BAHAN'!$A$5:$A$504,C41)=0,"BELUM ADA",INDEX('MASTER BAHAN'!$B$5:$B$504,MATCH(C41,'MASTER BAHAN'!$A$5:$A$504,0))))</f>
        <v/>
      </c>
      <c r="E41" s="58" t="str">
        <f aca="false">IF(C41="","",IF(COUNTIFS('MASTER BAHAN'!$A$5:$A$504,C41)=0,"BELUM ADA",INDEX('MASTER BAHAN'!$D$5:$D$504,MATCH(C41,'MASTER BAHAN'!$A$5:$A$504,0))))</f>
        <v/>
      </c>
      <c r="F41" s="58" t="str">
        <f aca="false">IF(C41="","",IF(COUNTIFS('RINGKASAN STOK'!$A$5:$A$504,C41)=0,"BELUM ADA",INDEX('RINGKASAN STOK'!$H$5:$H$504,MATCH(C41,'RINGKASAN STOK'!$A$5:$A$504,0))))</f>
        <v/>
      </c>
      <c r="G41" s="67"/>
      <c r="H41" s="58" t="str">
        <f aca="false">IF(A41="","",IF(NOT(ISNUMBER(G41)),"ISI STOK FISIK",G41-F41))</f>
        <v/>
      </c>
      <c r="I41" s="67"/>
      <c r="J41" s="67"/>
      <c r="K41" s="67"/>
      <c r="L41" s="67"/>
    </row>
    <row r="42" customFormat="false" ht="15" hidden="false" customHeight="false" outlineLevel="0" collapsed="false">
      <c r="A42" s="67"/>
      <c r="B42" s="67"/>
      <c r="C42" s="67"/>
      <c r="D42" s="58" t="str">
        <f aca="false">IF(C42="","",IF(COUNTIFS('MASTER BAHAN'!$A$5:$A$504,C42)=0,"BELUM ADA",INDEX('MASTER BAHAN'!$B$5:$B$504,MATCH(C42,'MASTER BAHAN'!$A$5:$A$504,0))))</f>
        <v/>
      </c>
      <c r="E42" s="58" t="str">
        <f aca="false">IF(C42="","",IF(COUNTIFS('MASTER BAHAN'!$A$5:$A$504,C42)=0,"BELUM ADA",INDEX('MASTER BAHAN'!$D$5:$D$504,MATCH(C42,'MASTER BAHAN'!$A$5:$A$504,0))))</f>
        <v/>
      </c>
      <c r="F42" s="58" t="str">
        <f aca="false">IF(C42="","",IF(COUNTIFS('RINGKASAN STOK'!$A$5:$A$504,C42)=0,"BELUM ADA",INDEX('RINGKASAN STOK'!$H$5:$H$504,MATCH(C42,'RINGKASAN STOK'!$A$5:$A$504,0))))</f>
        <v/>
      </c>
      <c r="G42" s="67"/>
      <c r="H42" s="58" t="str">
        <f aca="false">IF(A42="","",IF(NOT(ISNUMBER(G42)),"ISI STOK FISIK",G42-F42))</f>
        <v/>
      </c>
      <c r="I42" s="67"/>
      <c r="J42" s="67"/>
      <c r="K42" s="67"/>
      <c r="L42" s="67"/>
    </row>
    <row r="43" customFormat="false" ht="15" hidden="false" customHeight="false" outlineLevel="0" collapsed="false">
      <c r="A43" s="67"/>
      <c r="B43" s="67"/>
      <c r="C43" s="67"/>
      <c r="D43" s="58" t="str">
        <f aca="false">IF(C43="","",IF(COUNTIFS('MASTER BAHAN'!$A$5:$A$504,C43)=0,"BELUM ADA",INDEX('MASTER BAHAN'!$B$5:$B$504,MATCH(C43,'MASTER BAHAN'!$A$5:$A$504,0))))</f>
        <v/>
      </c>
      <c r="E43" s="58" t="str">
        <f aca="false">IF(C43="","",IF(COUNTIFS('MASTER BAHAN'!$A$5:$A$504,C43)=0,"BELUM ADA",INDEX('MASTER BAHAN'!$D$5:$D$504,MATCH(C43,'MASTER BAHAN'!$A$5:$A$504,0))))</f>
        <v/>
      </c>
      <c r="F43" s="58" t="str">
        <f aca="false">IF(C43="","",IF(COUNTIFS('RINGKASAN STOK'!$A$5:$A$504,C43)=0,"BELUM ADA",INDEX('RINGKASAN STOK'!$H$5:$H$504,MATCH(C43,'RINGKASAN STOK'!$A$5:$A$504,0))))</f>
        <v/>
      </c>
      <c r="G43" s="67"/>
      <c r="H43" s="58" t="str">
        <f aca="false">IF(A43="","",IF(NOT(ISNUMBER(G43)),"ISI STOK FISIK",G43-F43))</f>
        <v/>
      </c>
      <c r="I43" s="67"/>
      <c r="J43" s="67"/>
      <c r="K43" s="67"/>
      <c r="L43" s="67"/>
    </row>
    <row r="44" customFormat="false" ht="15" hidden="false" customHeight="false" outlineLevel="0" collapsed="false">
      <c r="A44" s="67"/>
      <c r="B44" s="67"/>
      <c r="C44" s="67"/>
      <c r="D44" s="58" t="str">
        <f aca="false">IF(C44="","",IF(COUNTIFS('MASTER BAHAN'!$A$5:$A$504,C44)=0,"BELUM ADA",INDEX('MASTER BAHAN'!$B$5:$B$504,MATCH(C44,'MASTER BAHAN'!$A$5:$A$504,0))))</f>
        <v/>
      </c>
      <c r="E44" s="58" t="str">
        <f aca="false">IF(C44="","",IF(COUNTIFS('MASTER BAHAN'!$A$5:$A$504,C44)=0,"BELUM ADA",INDEX('MASTER BAHAN'!$D$5:$D$504,MATCH(C44,'MASTER BAHAN'!$A$5:$A$504,0))))</f>
        <v/>
      </c>
      <c r="F44" s="58" t="str">
        <f aca="false">IF(C44="","",IF(COUNTIFS('RINGKASAN STOK'!$A$5:$A$504,C44)=0,"BELUM ADA",INDEX('RINGKASAN STOK'!$H$5:$H$504,MATCH(C44,'RINGKASAN STOK'!$A$5:$A$504,0))))</f>
        <v/>
      </c>
      <c r="G44" s="67"/>
      <c r="H44" s="58" t="str">
        <f aca="false">IF(A44="","",IF(NOT(ISNUMBER(G44)),"ISI STOK FISIK",G44-F44))</f>
        <v/>
      </c>
      <c r="I44" s="67"/>
      <c r="J44" s="67"/>
      <c r="K44" s="67"/>
      <c r="L44" s="67"/>
    </row>
    <row r="45" customFormat="false" ht="15" hidden="false" customHeight="false" outlineLevel="0" collapsed="false">
      <c r="A45" s="67"/>
      <c r="B45" s="67"/>
      <c r="C45" s="67"/>
      <c r="D45" s="58" t="str">
        <f aca="false">IF(C45="","",IF(COUNTIFS('MASTER BAHAN'!$A$5:$A$504,C45)=0,"BELUM ADA",INDEX('MASTER BAHAN'!$B$5:$B$504,MATCH(C45,'MASTER BAHAN'!$A$5:$A$504,0))))</f>
        <v/>
      </c>
      <c r="E45" s="58" t="str">
        <f aca="false">IF(C45="","",IF(COUNTIFS('MASTER BAHAN'!$A$5:$A$504,C45)=0,"BELUM ADA",INDEX('MASTER BAHAN'!$D$5:$D$504,MATCH(C45,'MASTER BAHAN'!$A$5:$A$504,0))))</f>
        <v/>
      </c>
      <c r="F45" s="58" t="str">
        <f aca="false">IF(C45="","",IF(COUNTIFS('RINGKASAN STOK'!$A$5:$A$504,C45)=0,"BELUM ADA",INDEX('RINGKASAN STOK'!$H$5:$H$504,MATCH(C45,'RINGKASAN STOK'!$A$5:$A$504,0))))</f>
        <v/>
      </c>
      <c r="G45" s="67"/>
      <c r="H45" s="58" t="str">
        <f aca="false">IF(A45="","",IF(NOT(ISNUMBER(G45)),"ISI STOK FISIK",G45-F45))</f>
        <v/>
      </c>
      <c r="I45" s="67"/>
      <c r="J45" s="67"/>
      <c r="K45" s="67"/>
      <c r="L45" s="67"/>
    </row>
    <row r="46" customFormat="false" ht="15" hidden="false" customHeight="false" outlineLevel="0" collapsed="false">
      <c r="A46" s="67"/>
      <c r="B46" s="67"/>
      <c r="C46" s="67"/>
      <c r="D46" s="58" t="str">
        <f aca="false">IF(C46="","",IF(COUNTIFS('MASTER BAHAN'!$A$5:$A$504,C46)=0,"BELUM ADA",INDEX('MASTER BAHAN'!$B$5:$B$504,MATCH(C46,'MASTER BAHAN'!$A$5:$A$504,0))))</f>
        <v/>
      </c>
      <c r="E46" s="58" t="str">
        <f aca="false">IF(C46="","",IF(COUNTIFS('MASTER BAHAN'!$A$5:$A$504,C46)=0,"BELUM ADA",INDEX('MASTER BAHAN'!$D$5:$D$504,MATCH(C46,'MASTER BAHAN'!$A$5:$A$504,0))))</f>
        <v/>
      </c>
      <c r="F46" s="58" t="str">
        <f aca="false">IF(C46="","",IF(COUNTIFS('RINGKASAN STOK'!$A$5:$A$504,C46)=0,"BELUM ADA",INDEX('RINGKASAN STOK'!$H$5:$H$504,MATCH(C46,'RINGKASAN STOK'!$A$5:$A$504,0))))</f>
        <v/>
      </c>
      <c r="G46" s="67"/>
      <c r="H46" s="58" t="str">
        <f aca="false">IF(A46="","",IF(NOT(ISNUMBER(G46)),"ISI STOK FISIK",G46-F46))</f>
        <v/>
      </c>
      <c r="I46" s="67"/>
      <c r="J46" s="67"/>
      <c r="K46" s="67"/>
      <c r="L46" s="67"/>
    </row>
    <row r="47" customFormat="false" ht="15" hidden="false" customHeight="false" outlineLevel="0" collapsed="false">
      <c r="A47" s="67"/>
      <c r="B47" s="67"/>
      <c r="C47" s="67"/>
      <c r="D47" s="58" t="str">
        <f aca="false">IF(C47="","",IF(COUNTIFS('MASTER BAHAN'!$A$5:$A$504,C47)=0,"BELUM ADA",INDEX('MASTER BAHAN'!$B$5:$B$504,MATCH(C47,'MASTER BAHAN'!$A$5:$A$504,0))))</f>
        <v/>
      </c>
      <c r="E47" s="58" t="str">
        <f aca="false">IF(C47="","",IF(COUNTIFS('MASTER BAHAN'!$A$5:$A$504,C47)=0,"BELUM ADA",INDEX('MASTER BAHAN'!$D$5:$D$504,MATCH(C47,'MASTER BAHAN'!$A$5:$A$504,0))))</f>
        <v/>
      </c>
      <c r="F47" s="58" t="str">
        <f aca="false">IF(C47="","",IF(COUNTIFS('RINGKASAN STOK'!$A$5:$A$504,C47)=0,"BELUM ADA",INDEX('RINGKASAN STOK'!$H$5:$H$504,MATCH(C47,'RINGKASAN STOK'!$A$5:$A$504,0))))</f>
        <v/>
      </c>
      <c r="G47" s="67"/>
      <c r="H47" s="58" t="str">
        <f aca="false">IF(A47="","",IF(NOT(ISNUMBER(G47)),"ISI STOK FISIK",G47-F47))</f>
        <v/>
      </c>
      <c r="I47" s="67"/>
      <c r="J47" s="67"/>
      <c r="K47" s="67"/>
      <c r="L47" s="67"/>
    </row>
    <row r="48" customFormat="false" ht="15" hidden="false" customHeight="false" outlineLevel="0" collapsed="false">
      <c r="A48" s="67"/>
      <c r="B48" s="67"/>
      <c r="C48" s="67"/>
      <c r="D48" s="58" t="str">
        <f aca="false">IF(C48="","",IF(COUNTIFS('MASTER BAHAN'!$A$5:$A$504,C48)=0,"BELUM ADA",INDEX('MASTER BAHAN'!$B$5:$B$504,MATCH(C48,'MASTER BAHAN'!$A$5:$A$504,0))))</f>
        <v/>
      </c>
      <c r="E48" s="58" t="str">
        <f aca="false">IF(C48="","",IF(COUNTIFS('MASTER BAHAN'!$A$5:$A$504,C48)=0,"BELUM ADA",INDEX('MASTER BAHAN'!$D$5:$D$504,MATCH(C48,'MASTER BAHAN'!$A$5:$A$504,0))))</f>
        <v/>
      </c>
      <c r="F48" s="58" t="str">
        <f aca="false">IF(C48="","",IF(COUNTIFS('RINGKASAN STOK'!$A$5:$A$504,C48)=0,"BELUM ADA",INDEX('RINGKASAN STOK'!$H$5:$H$504,MATCH(C48,'RINGKASAN STOK'!$A$5:$A$504,0))))</f>
        <v/>
      </c>
      <c r="G48" s="67"/>
      <c r="H48" s="58" t="str">
        <f aca="false">IF(A48="","",IF(NOT(ISNUMBER(G48)),"ISI STOK FISIK",G48-F48))</f>
        <v/>
      </c>
      <c r="I48" s="67"/>
      <c r="J48" s="67"/>
      <c r="K48" s="67"/>
      <c r="L48" s="67"/>
    </row>
    <row r="49" customFormat="false" ht="15" hidden="false" customHeight="false" outlineLevel="0" collapsed="false">
      <c r="A49" s="67"/>
      <c r="B49" s="67"/>
      <c r="C49" s="67"/>
      <c r="D49" s="58" t="str">
        <f aca="false">IF(C49="","",IF(COUNTIFS('MASTER BAHAN'!$A$5:$A$504,C49)=0,"BELUM ADA",INDEX('MASTER BAHAN'!$B$5:$B$504,MATCH(C49,'MASTER BAHAN'!$A$5:$A$504,0))))</f>
        <v/>
      </c>
      <c r="E49" s="58" t="str">
        <f aca="false">IF(C49="","",IF(COUNTIFS('MASTER BAHAN'!$A$5:$A$504,C49)=0,"BELUM ADA",INDEX('MASTER BAHAN'!$D$5:$D$504,MATCH(C49,'MASTER BAHAN'!$A$5:$A$504,0))))</f>
        <v/>
      </c>
      <c r="F49" s="58" t="str">
        <f aca="false">IF(C49="","",IF(COUNTIFS('RINGKASAN STOK'!$A$5:$A$504,C49)=0,"BELUM ADA",INDEX('RINGKASAN STOK'!$H$5:$H$504,MATCH(C49,'RINGKASAN STOK'!$A$5:$A$504,0))))</f>
        <v/>
      </c>
      <c r="G49" s="67"/>
      <c r="H49" s="58" t="str">
        <f aca="false">IF(A49="","",IF(NOT(ISNUMBER(G49)),"ISI STOK FISIK",G49-F49))</f>
        <v/>
      </c>
      <c r="I49" s="67"/>
      <c r="J49" s="67"/>
      <c r="K49" s="67"/>
      <c r="L49" s="67"/>
    </row>
    <row r="50" customFormat="false" ht="15" hidden="false" customHeight="false" outlineLevel="0" collapsed="false">
      <c r="A50" s="67"/>
      <c r="B50" s="67"/>
      <c r="C50" s="67"/>
      <c r="D50" s="58" t="str">
        <f aca="false">IF(C50="","",IF(COUNTIFS('MASTER BAHAN'!$A$5:$A$504,C50)=0,"BELUM ADA",INDEX('MASTER BAHAN'!$B$5:$B$504,MATCH(C50,'MASTER BAHAN'!$A$5:$A$504,0))))</f>
        <v/>
      </c>
      <c r="E50" s="58" t="str">
        <f aca="false">IF(C50="","",IF(COUNTIFS('MASTER BAHAN'!$A$5:$A$504,C50)=0,"BELUM ADA",INDEX('MASTER BAHAN'!$D$5:$D$504,MATCH(C50,'MASTER BAHAN'!$A$5:$A$504,0))))</f>
        <v/>
      </c>
      <c r="F50" s="58" t="str">
        <f aca="false">IF(C50="","",IF(COUNTIFS('RINGKASAN STOK'!$A$5:$A$504,C50)=0,"BELUM ADA",INDEX('RINGKASAN STOK'!$H$5:$H$504,MATCH(C50,'RINGKASAN STOK'!$A$5:$A$504,0))))</f>
        <v/>
      </c>
      <c r="G50" s="67"/>
      <c r="H50" s="58" t="str">
        <f aca="false">IF(A50="","",IF(NOT(ISNUMBER(G50)),"ISI STOK FISIK",G50-F50))</f>
        <v/>
      </c>
      <c r="I50" s="67"/>
      <c r="J50" s="67"/>
      <c r="K50" s="67"/>
      <c r="L50" s="67"/>
    </row>
    <row r="51" customFormat="false" ht="15" hidden="false" customHeight="false" outlineLevel="0" collapsed="false">
      <c r="A51" s="67"/>
      <c r="B51" s="67"/>
      <c r="C51" s="67"/>
      <c r="D51" s="58" t="str">
        <f aca="false">IF(C51="","",IF(COUNTIFS('MASTER BAHAN'!$A$5:$A$504,C51)=0,"BELUM ADA",INDEX('MASTER BAHAN'!$B$5:$B$504,MATCH(C51,'MASTER BAHAN'!$A$5:$A$504,0))))</f>
        <v/>
      </c>
      <c r="E51" s="58" t="str">
        <f aca="false">IF(C51="","",IF(COUNTIFS('MASTER BAHAN'!$A$5:$A$504,C51)=0,"BELUM ADA",INDEX('MASTER BAHAN'!$D$5:$D$504,MATCH(C51,'MASTER BAHAN'!$A$5:$A$504,0))))</f>
        <v/>
      </c>
      <c r="F51" s="58" t="str">
        <f aca="false">IF(C51="","",IF(COUNTIFS('RINGKASAN STOK'!$A$5:$A$504,C51)=0,"BELUM ADA",INDEX('RINGKASAN STOK'!$H$5:$H$504,MATCH(C51,'RINGKASAN STOK'!$A$5:$A$504,0))))</f>
        <v/>
      </c>
      <c r="G51" s="67"/>
      <c r="H51" s="58" t="str">
        <f aca="false">IF(A51="","",IF(NOT(ISNUMBER(G51)),"ISI STOK FISIK",G51-F51))</f>
        <v/>
      </c>
      <c r="I51" s="67"/>
      <c r="J51" s="67"/>
      <c r="K51" s="67"/>
      <c r="L51" s="67"/>
    </row>
    <row r="52" customFormat="false" ht="15" hidden="false" customHeight="false" outlineLevel="0" collapsed="false">
      <c r="A52" s="67"/>
      <c r="B52" s="67"/>
      <c r="C52" s="67"/>
      <c r="D52" s="58" t="str">
        <f aca="false">IF(C52="","",IF(COUNTIFS('MASTER BAHAN'!$A$5:$A$504,C52)=0,"BELUM ADA",INDEX('MASTER BAHAN'!$B$5:$B$504,MATCH(C52,'MASTER BAHAN'!$A$5:$A$504,0))))</f>
        <v/>
      </c>
      <c r="E52" s="58" t="str">
        <f aca="false">IF(C52="","",IF(COUNTIFS('MASTER BAHAN'!$A$5:$A$504,C52)=0,"BELUM ADA",INDEX('MASTER BAHAN'!$D$5:$D$504,MATCH(C52,'MASTER BAHAN'!$A$5:$A$504,0))))</f>
        <v/>
      </c>
      <c r="F52" s="58" t="str">
        <f aca="false">IF(C52="","",IF(COUNTIFS('RINGKASAN STOK'!$A$5:$A$504,C52)=0,"BELUM ADA",INDEX('RINGKASAN STOK'!$H$5:$H$504,MATCH(C52,'RINGKASAN STOK'!$A$5:$A$504,0))))</f>
        <v/>
      </c>
      <c r="G52" s="67"/>
      <c r="H52" s="58" t="str">
        <f aca="false">IF(A52="","",IF(NOT(ISNUMBER(G52)),"ISI STOK FISIK",G52-F52))</f>
        <v/>
      </c>
      <c r="I52" s="67"/>
      <c r="J52" s="67"/>
      <c r="K52" s="67"/>
      <c r="L52" s="67"/>
    </row>
    <row r="53" customFormat="false" ht="15" hidden="false" customHeight="false" outlineLevel="0" collapsed="false">
      <c r="A53" s="67"/>
      <c r="B53" s="67"/>
      <c r="C53" s="67"/>
      <c r="D53" s="58" t="str">
        <f aca="false">IF(C53="","",IF(COUNTIFS('MASTER BAHAN'!$A$5:$A$504,C53)=0,"BELUM ADA",INDEX('MASTER BAHAN'!$B$5:$B$504,MATCH(C53,'MASTER BAHAN'!$A$5:$A$504,0))))</f>
        <v/>
      </c>
      <c r="E53" s="58" t="str">
        <f aca="false">IF(C53="","",IF(COUNTIFS('MASTER BAHAN'!$A$5:$A$504,C53)=0,"BELUM ADA",INDEX('MASTER BAHAN'!$D$5:$D$504,MATCH(C53,'MASTER BAHAN'!$A$5:$A$504,0))))</f>
        <v/>
      </c>
      <c r="F53" s="58" t="str">
        <f aca="false">IF(C53="","",IF(COUNTIFS('RINGKASAN STOK'!$A$5:$A$504,C53)=0,"BELUM ADA",INDEX('RINGKASAN STOK'!$H$5:$H$504,MATCH(C53,'RINGKASAN STOK'!$A$5:$A$504,0))))</f>
        <v/>
      </c>
      <c r="G53" s="67"/>
      <c r="H53" s="58" t="str">
        <f aca="false">IF(A53="","",IF(NOT(ISNUMBER(G53)),"ISI STOK FISIK",G53-F53))</f>
        <v/>
      </c>
      <c r="I53" s="67"/>
      <c r="J53" s="67"/>
      <c r="K53" s="67"/>
      <c r="L53" s="67"/>
    </row>
    <row r="54" customFormat="false" ht="15" hidden="false" customHeight="false" outlineLevel="0" collapsed="false">
      <c r="A54" s="67"/>
      <c r="B54" s="67"/>
      <c r="C54" s="67"/>
      <c r="D54" s="58" t="str">
        <f aca="false">IF(C54="","",IF(COUNTIFS('MASTER BAHAN'!$A$5:$A$504,C54)=0,"BELUM ADA",INDEX('MASTER BAHAN'!$B$5:$B$504,MATCH(C54,'MASTER BAHAN'!$A$5:$A$504,0))))</f>
        <v/>
      </c>
      <c r="E54" s="58" t="str">
        <f aca="false">IF(C54="","",IF(COUNTIFS('MASTER BAHAN'!$A$5:$A$504,C54)=0,"BELUM ADA",INDEX('MASTER BAHAN'!$D$5:$D$504,MATCH(C54,'MASTER BAHAN'!$A$5:$A$504,0))))</f>
        <v/>
      </c>
      <c r="F54" s="58" t="str">
        <f aca="false">IF(C54="","",IF(COUNTIFS('RINGKASAN STOK'!$A$5:$A$504,C54)=0,"BELUM ADA",INDEX('RINGKASAN STOK'!$H$5:$H$504,MATCH(C54,'RINGKASAN STOK'!$A$5:$A$504,0))))</f>
        <v/>
      </c>
      <c r="G54" s="67"/>
      <c r="H54" s="58" t="str">
        <f aca="false">IF(A54="","",IF(NOT(ISNUMBER(G54)),"ISI STOK FISIK",G54-F54))</f>
        <v/>
      </c>
      <c r="I54" s="67"/>
      <c r="J54" s="67"/>
      <c r="K54" s="67"/>
      <c r="L54" s="67"/>
    </row>
    <row r="55" customFormat="false" ht="15" hidden="false" customHeight="false" outlineLevel="0" collapsed="false">
      <c r="A55" s="67"/>
      <c r="B55" s="67"/>
      <c r="C55" s="67"/>
      <c r="D55" s="58" t="str">
        <f aca="false">IF(C55="","",IF(COUNTIFS('MASTER BAHAN'!$A$5:$A$504,C55)=0,"BELUM ADA",INDEX('MASTER BAHAN'!$B$5:$B$504,MATCH(C55,'MASTER BAHAN'!$A$5:$A$504,0))))</f>
        <v/>
      </c>
      <c r="E55" s="58" t="str">
        <f aca="false">IF(C55="","",IF(COUNTIFS('MASTER BAHAN'!$A$5:$A$504,C55)=0,"BELUM ADA",INDEX('MASTER BAHAN'!$D$5:$D$504,MATCH(C55,'MASTER BAHAN'!$A$5:$A$504,0))))</f>
        <v/>
      </c>
      <c r="F55" s="58" t="str">
        <f aca="false">IF(C55="","",IF(COUNTIFS('RINGKASAN STOK'!$A$5:$A$504,C55)=0,"BELUM ADA",INDEX('RINGKASAN STOK'!$H$5:$H$504,MATCH(C55,'RINGKASAN STOK'!$A$5:$A$504,0))))</f>
        <v/>
      </c>
      <c r="G55" s="67"/>
      <c r="H55" s="58" t="str">
        <f aca="false">IF(A55="","",IF(NOT(ISNUMBER(G55)),"ISI STOK FISIK",G55-F55))</f>
        <v/>
      </c>
      <c r="I55" s="67"/>
      <c r="J55" s="67"/>
      <c r="K55" s="67"/>
      <c r="L55" s="67"/>
    </row>
    <row r="56" customFormat="false" ht="15" hidden="false" customHeight="false" outlineLevel="0" collapsed="false">
      <c r="A56" s="67"/>
      <c r="B56" s="67"/>
      <c r="C56" s="67"/>
      <c r="D56" s="58" t="str">
        <f aca="false">IF(C56="","",IF(COUNTIFS('MASTER BAHAN'!$A$5:$A$504,C56)=0,"BELUM ADA",INDEX('MASTER BAHAN'!$B$5:$B$504,MATCH(C56,'MASTER BAHAN'!$A$5:$A$504,0))))</f>
        <v/>
      </c>
      <c r="E56" s="58" t="str">
        <f aca="false">IF(C56="","",IF(COUNTIFS('MASTER BAHAN'!$A$5:$A$504,C56)=0,"BELUM ADA",INDEX('MASTER BAHAN'!$D$5:$D$504,MATCH(C56,'MASTER BAHAN'!$A$5:$A$504,0))))</f>
        <v/>
      </c>
      <c r="F56" s="58" t="str">
        <f aca="false">IF(C56="","",IF(COUNTIFS('RINGKASAN STOK'!$A$5:$A$504,C56)=0,"BELUM ADA",INDEX('RINGKASAN STOK'!$H$5:$H$504,MATCH(C56,'RINGKASAN STOK'!$A$5:$A$504,0))))</f>
        <v/>
      </c>
      <c r="G56" s="67"/>
      <c r="H56" s="58" t="str">
        <f aca="false">IF(A56="","",IF(NOT(ISNUMBER(G56)),"ISI STOK FISIK",G56-F56))</f>
        <v/>
      </c>
      <c r="I56" s="67"/>
      <c r="J56" s="67"/>
      <c r="K56" s="67"/>
      <c r="L56" s="67"/>
    </row>
    <row r="57" customFormat="false" ht="15" hidden="false" customHeight="false" outlineLevel="0" collapsed="false">
      <c r="A57" s="67"/>
      <c r="B57" s="67"/>
      <c r="C57" s="67"/>
      <c r="D57" s="58" t="str">
        <f aca="false">IF(C57="","",IF(COUNTIFS('MASTER BAHAN'!$A$5:$A$504,C57)=0,"BELUM ADA",INDEX('MASTER BAHAN'!$B$5:$B$504,MATCH(C57,'MASTER BAHAN'!$A$5:$A$504,0))))</f>
        <v/>
      </c>
      <c r="E57" s="58" t="str">
        <f aca="false">IF(C57="","",IF(COUNTIFS('MASTER BAHAN'!$A$5:$A$504,C57)=0,"BELUM ADA",INDEX('MASTER BAHAN'!$D$5:$D$504,MATCH(C57,'MASTER BAHAN'!$A$5:$A$504,0))))</f>
        <v/>
      </c>
      <c r="F57" s="58" t="str">
        <f aca="false">IF(C57="","",IF(COUNTIFS('RINGKASAN STOK'!$A$5:$A$504,C57)=0,"BELUM ADA",INDEX('RINGKASAN STOK'!$H$5:$H$504,MATCH(C57,'RINGKASAN STOK'!$A$5:$A$504,0))))</f>
        <v/>
      </c>
      <c r="G57" s="67"/>
      <c r="H57" s="58" t="str">
        <f aca="false">IF(A57="","",IF(NOT(ISNUMBER(G57)),"ISI STOK FISIK",G57-F57))</f>
        <v/>
      </c>
      <c r="I57" s="67"/>
      <c r="J57" s="67"/>
      <c r="K57" s="67"/>
      <c r="L57" s="67"/>
    </row>
    <row r="58" customFormat="false" ht="15" hidden="false" customHeight="false" outlineLevel="0" collapsed="false">
      <c r="A58" s="67"/>
      <c r="B58" s="67"/>
      <c r="C58" s="67"/>
      <c r="D58" s="58" t="str">
        <f aca="false">IF(C58="","",IF(COUNTIFS('MASTER BAHAN'!$A$5:$A$504,C58)=0,"BELUM ADA",INDEX('MASTER BAHAN'!$B$5:$B$504,MATCH(C58,'MASTER BAHAN'!$A$5:$A$504,0))))</f>
        <v/>
      </c>
      <c r="E58" s="58" t="str">
        <f aca="false">IF(C58="","",IF(COUNTIFS('MASTER BAHAN'!$A$5:$A$504,C58)=0,"BELUM ADA",INDEX('MASTER BAHAN'!$D$5:$D$504,MATCH(C58,'MASTER BAHAN'!$A$5:$A$504,0))))</f>
        <v/>
      </c>
      <c r="F58" s="58" t="str">
        <f aca="false">IF(C58="","",IF(COUNTIFS('RINGKASAN STOK'!$A$5:$A$504,C58)=0,"BELUM ADA",INDEX('RINGKASAN STOK'!$H$5:$H$504,MATCH(C58,'RINGKASAN STOK'!$A$5:$A$504,0))))</f>
        <v/>
      </c>
      <c r="G58" s="67"/>
      <c r="H58" s="58" t="str">
        <f aca="false">IF(A58="","",IF(NOT(ISNUMBER(G58)),"ISI STOK FISIK",G58-F58))</f>
        <v/>
      </c>
      <c r="I58" s="67"/>
      <c r="J58" s="67"/>
      <c r="K58" s="67"/>
      <c r="L58" s="67"/>
    </row>
    <row r="59" customFormat="false" ht="15" hidden="false" customHeight="false" outlineLevel="0" collapsed="false">
      <c r="A59" s="67"/>
      <c r="B59" s="67"/>
      <c r="C59" s="67"/>
      <c r="D59" s="58" t="str">
        <f aca="false">IF(C59="","",IF(COUNTIFS('MASTER BAHAN'!$A$5:$A$504,C59)=0,"BELUM ADA",INDEX('MASTER BAHAN'!$B$5:$B$504,MATCH(C59,'MASTER BAHAN'!$A$5:$A$504,0))))</f>
        <v/>
      </c>
      <c r="E59" s="58" t="str">
        <f aca="false">IF(C59="","",IF(COUNTIFS('MASTER BAHAN'!$A$5:$A$504,C59)=0,"BELUM ADA",INDEX('MASTER BAHAN'!$D$5:$D$504,MATCH(C59,'MASTER BAHAN'!$A$5:$A$504,0))))</f>
        <v/>
      </c>
      <c r="F59" s="58" t="str">
        <f aca="false">IF(C59="","",IF(COUNTIFS('RINGKASAN STOK'!$A$5:$A$504,C59)=0,"BELUM ADA",INDEX('RINGKASAN STOK'!$H$5:$H$504,MATCH(C59,'RINGKASAN STOK'!$A$5:$A$504,0))))</f>
        <v/>
      </c>
      <c r="G59" s="67"/>
      <c r="H59" s="58" t="str">
        <f aca="false">IF(A59="","",IF(NOT(ISNUMBER(G59)),"ISI STOK FISIK",G59-F59))</f>
        <v/>
      </c>
      <c r="I59" s="67"/>
      <c r="J59" s="67"/>
      <c r="K59" s="67"/>
      <c r="L59" s="67"/>
    </row>
    <row r="60" customFormat="false" ht="15" hidden="false" customHeight="false" outlineLevel="0" collapsed="false">
      <c r="A60" s="67"/>
      <c r="B60" s="67"/>
      <c r="C60" s="67"/>
      <c r="D60" s="58" t="str">
        <f aca="false">IF(C60="","",IF(COUNTIFS('MASTER BAHAN'!$A$5:$A$504,C60)=0,"BELUM ADA",INDEX('MASTER BAHAN'!$B$5:$B$504,MATCH(C60,'MASTER BAHAN'!$A$5:$A$504,0))))</f>
        <v/>
      </c>
      <c r="E60" s="58" t="str">
        <f aca="false">IF(C60="","",IF(COUNTIFS('MASTER BAHAN'!$A$5:$A$504,C60)=0,"BELUM ADA",INDEX('MASTER BAHAN'!$D$5:$D$504,MATCH(C60,'MASTER BAHAN'!$A$5:$A$504,0))))</f>
        <v/>
      </c>
      <c r="F60" s="58" t="str">
        <f aca="false">IF(C60="","",IF(COUNTIFS('RINGKASAN STOK'!$A$5:$A$504,C60)=0,"BELUM ADA",INDEX('RINGKASAN STOK'!$H$5:$H$504,MATCH(C60,'RINGKASAN STOK'!$A$5:$A$504,0))))</f>
        <v/>
      </c>
      <c r="G60" s="67"/>
      <c r="H60" s="58" t="str">
        <f aca="false">IF(A60="","",IF(NOT(ISNUMBER(G60)),"ISI STOK FISIK",G60-F60))</f>
        <v/>
      </c>
      <c r="I60" s="67"/>
      <c r="J60" s="67"/>
      <c r="K60" s="67"/>
      <c r="L60" s="67"/>
    </row>
    <row r="61" customFormat="false" ht="15" hidden="false" customHeight="false" outlineLevel="0" collapsed="false">
      <c r="A61" s="67"/>
      <c r="B61" s="67"/>
      <c r="C61" s="67"/>
      <c r="D61" s="58" t="str">
        <f aca="false">IF(C61="","",IF(COUNTIFS('MASTER BAHAN'!$A$5:$A$504,C61)=0,"BELUM ADA",INDEX('MASTER BAHAN'!$B$5:$B$504,MATCH(C61,'MASTER BAHAN'!$A$5:$A$504,0))))</f>
        <v/>
      </c>
      <c r="E61" s="58" t="str">
        <f aca="false">IF(C61="","",IF(COUNTIFS('MASTER BAHAN'!$A$5:$A$504,C61)=0,"BELUM ADA",INDEX('MASTER BAHAN'!$D$5:$D$504,MATCH(C61,'MASTER BAHAN'!$A$5:$A$504,0))))</f>
        <v/>
      </c>
      <c r="F61" s="58" t="str">
        <f aca="false">IF(C61="","",IF(COUNTIFS('RINGKASAN STOK'!$A$5:$A$504,C61)=0,"BELUM ADA",INDEX('RINGKASAN STOK'!$H$5:$H$504,MATCH(C61,'RINGKASAN STOK'!$A$5:$A$504,0))))</f>
        <v/>
      </c>
      <c r="G61" s="67"/>
      <c r="H61" s="58" t="str">
        <f aca="false">IF(A61="","",IF(NOT(ISNUMBER(G61)),"ISI STOK FISIK",G61-F61))</f>
        <v/>
      </c>
      <c r="I61" s="67"/>
      <c r="J61" s="67"/>
      <c r="K61" s="67"/>
      <c r="L61" s="67"/>
    </row>
    <row r="62" customFormat="false" ht="15" hidden="false" customHeight="false" outlineLevel="0" collapsed="false">
      <c r="A62" s="67"/>
      <c r="B62" s="67"/>
      <c r="C62" s="67"/>
      <c r="D62" s="58" t="str">
        <f aca="false">IF(C62="","",IF(COUNTIFS('MASTER BAHAN'!$A$5:$A$504,C62)=0,"BELUM ADA",INDEX('MASTER BAHAN'!$B$5:$B$504,MATCH(C62,'MASTER BAHAN'!$A$5:$A$504,0))))</f>
        <v/>
      </c>
      <c r="E62" s="58" t="str">
        <f aca="false">IF(C62="","",IF(COUNTIFS('MASTER BAHAN'!$A$5:$A$504,C62)=0,"BELUM ADA",INDEX('MASTER BAHAN'!$D$5:$D$504,MATCH(C62,'MASTER BAHAN'!$A$5:$A$504,0))))</f>
        <v/>
      </c>
      <c r="F62" s="58" t="str">
        <f aca="false">IF(C62="","",IF(COUNTIFS('RINGKASAN STOK'!$A$5:$A$504,C62)=0,"BELUM ADA",INDEX('RINGKASAN STOK'!$H$5:$H$504,MATCH(C62,'RINGKASAN STOK'!$A$5:$A$504,0))))</f>
        <v/>
      </c>
      <c r="G62" s="67"/>
      <c r="H62" s="58" t="str">
        <f aca="false">IF(A62="","",IF(NOT(ISNUMBER(G62)),"ISI STOK FISIK",G62-F62))</f>
        <v/>
      </c>
      <c r="I62" s="67"/>
      <c r="J62" s="67"/>
      <c r="K62" s="67"/>
      <c r="L62" s="67"/>
    </row>
    <row r="63" customFormat="false" ht="15" hidden="false" customHeight="false" outlineLevel="0" collapsed="false">
      <c r="A63" s="67"/>
      <c r="B63" s="67"/>
      <c r="C63" s="67"/>
      <c r="D63" s="58" t="str">
        <f aca="false">IF(C63="","",IF(COUNTIFS('MASTER BAHAN'!$A$5:$A$504,C63)=0,"BELUM ADA",INDEX('MASTER BAHAN'!$B$5:$B$504,MATCH(C63,'MASTER BAHAN'!$A$5:$A$504,0))))</f>
        <v/>
      </c>
      <c r="E63" s="58" t="str">
        <f aca="false">IF(C63="","",IF(COUNTIFS('MASTER BAHAN'!$A$5:$A$504,C63)=0,"BELUM ADA",INDEX('MASTER BAHAN'!$D$5:$D$504,MATCH(C63,'MASTER BAHAN'!$A$5:$A$504,0))))</f>
        <v/>
      </c>
      <c r="F63" s="58" t="str">
        <f aca="false">IF(C63="","",IF(COUNTIFS('RINGKASAN STOK'!$A$5:$A$504,C63)=0,"BELUM ADA",INDEX('RINGKASAN STOK'!$H$5:$H$504,MATCH(C63,'RINGKASAN STOK'!$A$5:$A$504,0))))</f>
        <v/>
      </c>
      <c r="G63" s="67"/>
      <c r="H63" s="58" t="str">
        <f aca="false">IF(A63="","",IF(NOT(ISNUMBER(G63)),"ISI STOK FISIK",G63-F63))</f>
        <v/>
      </c>
      <c r="I63" s="67"/>
      <c r="J63" s="67"/>
      <c r="K63" s="67"/>
      <c r="L63" s="67"/>
    </row>
    <row r="64" customFormat="false" ht="15" hidden="false" customHeight="false" outlineLevel="0" collapsed="false">
      <c r="A64" s="67"/>
      <c r="B64" s="67"/>
      <c r="C64" s="67"/>
      <c r="D64" s="58" t="str">
        <f aca="false">IF(C64="","",IF(COUNTIFS('MASTER BAHAN'!$A$5:$A$504,C64)=0,"BELUM ADA",INDEX('MASTER BAHAN'!$B$5:$B$504,MATCH(C64,'MASTER BAHAN'!$A$5:$A$504,0))))</f>
        <v/>
      </c>
      <c r="E64" s="58" t="str">
        <f aca="false">IF(C64="","",IF(COUNTIFS('MASTER BAHAN'!$A$5:$A$504,C64)=0,"BELUM ADA",INDEX('MASTER BAHAN'!$D$5:$D$504,MATCH(C64,'MASTER BAHAN'!$A$5:$A$504,0))))</f>
        <v/>
      </c>
      <c r="F64" s="58" t="str">
        <f aca="false">IF(C64="","",IF(COUNTIFS('RINGKASAN STOK'!$A$5:$A$504,C64)=0,"BELUM ADA",INDEX('RINGKASAN STOK'!$H$5:$H$504,MATCH(C64,'RINGKASAN STOK'!$A$5:$A$504,0))))</f>
        <v/>
      </c>
      <c r="G64" s="67"/>
      <c r="H64" s="58" t="str">
        <f aca="false">IF(A64="","",IF(NOT(ISNUMBER(G64)),"ISI STOK FISIK",G64-F64))</f>
        <v/>
      </c>
      <c r="I64" s="67"/>
      <c r="J64" s="67"/>
      <c r="K64" s="67"/>
      <c r="L64" s="67"/>
    </row>
    <row r="65" customFormat="false" ht="15" hidden="false" customHeight="false" outlineLevel="0" collapsed="false">
      <c r="A65" s="67"/>
      <c r="B65" s="67"/>
      <c r="C65" s="67"/>
      <c r="D65" s="58" t="str">
        <f aca="false">IF(C65="","",IF(COUNTIFS('MASTER BAHAN'!$A$5:$A$504,C65)=0,"BELUM ADA",INDEX('MASTER BAHAN'!$B$5:$B$504,MATCH(C65,'MASTER BAHAN'!$A$5:$A$504,0))))</f>
        <v/>
      </c>
      <c r="E65" s="58" t="str">
        <f aca="false">IF(C65="","",IF(COUNTIFS('MASTER BAHAN'!$A$5:$A$504,C65)=0,"BELUM ADA",INDEX('MASTER BAHAN'!$D$5:$D$504,MATCH(C65,'MASTER BAHAN'!$A$5:$A$504,0))))</f>
        <v/>
      </c>
      <c r="F65" s="58" t="str">
        <f aca="false">IF(C65="","",IF(COUNTIFS('RINGKASAN STOK'!$A$5:$A$504,C65)=0,"BELUM ADA",INDEX('RINGKASAN STOK'!$H$5:$H$504,MATCH(C65,'RINGKASAN STOK'!$A$5:$A$504,0))))</f>
        <v/>
      </c>
      <c r="G65" s="67"/>
      <c r="H65" s="58" t="str">
        <f aca="false">IF(A65="","",IF(NOT(ISNUMBER(G65)),"ISI STOK FISIK",G65-F65))</f>
        <v/>
      </c>
      <c r="I65" s="67"/>
      <c r="J65" s="67"/>
      <c r="K65" s="67"/>
      <c r="L65" s="67"/>
    </row>
    <row r="66" customFormat="false" ht="15" hidden="false" customHeight="false" outlineLevel="0" collapsed="false">
      <c r="A66" s="67"/>
      <c r="B66" s="67"/>
      <c r="C66" s="67"/>
      <c r="D66" s="58" t="str">
        <f aca="false">IF(C66="","",IF(COUNTIFS('MASTER BAHAN'!$A$5:$A$504,C66)=0,"BELUM ADA",INDEX('MASTER BAHAN'!$B$5:$B$504,MATCH(C66,'MASTER BAHAN'!$A$5:$A$504,0))))</f>
        <v/>
      </c>
      <c r="E66" s="58" t="str">
        <f aca="false">IF(C66="","",IF(COUNTIFS('MASTER BAHAN'!$A$5:$A$504,C66)=0,"BELUM ADA",INDEX('MASTER BAHAN'!$D$5:$D$504,MATCH(C66,'MASTER BAHAN'!$A$5:$A$504,0))))</f>
        <v/>
      </c>
      <c r="F66" s="58" t="str">
        <f aca="false">IF(C66="","",IF(COUNTIFS('RINGKASAN STOK'!$A$5:$A$504,C66)=0,"BELUM ADA",INDEX('RINGKASAN STOK'!$H$5:$H$504,MATCH(C66,'RINGKASAN STOK'!$A$5:$A$504,0))))</f>
        <v/>
      </c>
      <c r="G66" s="67"/>
      <c r="H66" s="58" t="str">
        <f aca="false">IF(A66="","",IF(NOT(ISNUMBER(G66)),"ISI STOK FISIK",G66-F66))</f>
        <v/>
      </c>
      <c r="I66" s="67"/>
      <c r="J66" s="67"/>
      <c r="K66" s="67"/>
      <c r="L66" s="67"/>
    </row>
    <row r="67" customFormat="false" ht="15" hidden="false" customHeight="false" outlineLevel="0" collapsed="false">
      <c r="A67" s="67"/>
      <c r="B67" s="67"/>
      <c r="C67" s="67"/>
      <c r="D67" s="58" t="str">
        <f aca="false">IF(C67="","",IF(COUNTIFS('MASTER BAHAN'!$A$5:$A$504,C67)=0,"BELUM ADA",INDEX('MASTER BAHAN'!$B$5:$B$504,MATCH(C67,'MASTER BAHAN'!$A$5:$A$504,0))))</f>
        <v/>
      </c>
      <c r="E67" s="58" t="str">
        <f aca="false">IF(C67="","",IF(COUNTIFS('MASTER BAHAN'!$A$5:$A$504,C67)=0,"BELUM ADA",INDEX('MASTER BAHAN'!$D$5:$D$504,MATCH(C67,'MASTER BAHAN'!$A$5:$A$504,0))))</f>
        <v/>
      </c>
      <c r="F67" s="58" t="str">
        <f aca="false">IF(C67="","",IF(COUNTIFS('RINGKASAN STOK'!$A$5:$A$504,C67)=0,"BELUM ADA",INDEX('RINGKASAN STOK'!$H$5:$H$504,MATCH(C67,'RINGKASAN STOK'!$A$5:$A$504,0))))</f>
        <v/>
      </c>
      <c r="G67" s="67"/>
      <c r="H67" s="58" t="str">
        <f aca="false">IF(A67="","",IF(NOT(ISNUMBER(G67)),"ISI STOK FISIK",G67-F67))</f>
        <v/>
      </c>
      <c r="I67" s="67"/>
      <c r="J67" s="67"/>
      <c r="K67" s="67"/>
      <c r="L67" s="67"/>
    </row>
    <row r="68" customFormat="false" ht="15" hidden="false" customHeight="false" outlineLevel="0" collapsed="false">
      <c r="A68" s="67"/>
      <c r="B68" s="67"/>
      <c r="C68" s="67"/>
      <c r="D68" s="58" t="str">
        <f aca="false">IF(C68="","",IF(COUNTIFS('MASTER BAHAN'!$A$5:$A$504,C68)=0,"BELUM ADA",INDEX('MASTER BAHAN'!$B$5:$B$504,MATCH(C68,'MASTER BAHAN'!$A$5:$A$504,0))))</f>
        <v/>
      </c>
      <c r="E68" s="58" t="str">
        <f aca="false">IF(C68="","",IF(COUNTIFS('MASTER BAHAN'!$A$5:$A$504,C68)=0,"BELUM ADA",INDEX('MASTER BAHAN'!$D$5:$D$504,MATCH(C68,'MASTER BAHAN'!$A$5:$A$504,0))))</f>
        <v/>
      </c>
      <c r="F68" s="58" t="str">
        <f aca="false">IF(C68="","",IF(COUNTIFS('RINGKASAN STOK'!$A$5:$A$504,C68)=0,"BELUM ADA",INDEX('RINGKASAN STOK'!$H$5:$H$504,MATCH(C68,'RINGKASAN STOK'!$A$5:$A$504,0))))</f>
        <v/>
      </c>
      <c r="G68" s="67"/>
      <c r="H68" s="58" t="str">
        <f aca="false">IF(A68="","",IF(NOT(ISNUMBER(G68)),"ISI STOK FISIK",G68-F68))</f>
        <v/>
      </c>
      <c r="I68" s="67"/>
      <c r="J68" s="67"/>
      <c r="K68" s="67"/>
      <c r="L68" s="67"/>
    </row>
    <row r="69" customFormat="false" ht="15" hidden="false" customHeight="false" outlineLevel="0" collapsed="false">
      <c r="A69" s="67"/>
      <c r="B69" s="67"/>
      <c r="C69" s="67"/>
      <c r="D69" s="58" t="str">
        <f aca="false">IF(C69="","",IF(COUNTIFS('MASTER BAHAN'!$A$5:$A$504,C69)=0,"BELUM ADA",INDEX('MASTER BAHAN'!$B$5:$B$504,MATCH(C69,'MASTER BAHAN'!$A$5:$A$504,0))))</f>
        <v/>
      </c>
      <c r="E69" s="58" t="str">
        <f aca="false">IF(C69="","",IF(COUNTIFS('MASTER BAHAN'!$A$5:$A$504,C69)=0,"BELUM ADA",INDEX('MASTER BAHAN'!$D$5:$D$504,MATCH(C69,'MASTER BAHAN'!$A$5:$A$504,0))))</f>
        <v/>
      </c>
      <c r="F69" s="58" t="str">
        <f aca="false">IF(C69="","",IF(COUNTIFS('RINGKASAN STOK'!$A$5:$A$504,C69)=0,"BELUM ADA",INDEX('RINGKASAN STOK'!$H$5:$H$504,MATCH(C69,'RINGKASAN STOK'!$A$5:$A$504,0))))</f>
        <v/>
      </c>
      <c r="G69" s="67"/>
      <c r="H69" s="58" t="str">
        <f aca="false">IF(A69="","",IF(NOT(ISNUMBER(G69)),"ISI STOK FISIK",G69-F69))</f>
        <v/>
      </c>
      <c r="I69" s="67"/>
      <c r="J69" s="67"/>
      <c r="K69" s="67"/>
      <c r="L69" s="67"/>
    </row>
    <row r="70" customFormat="false" ht="15" hidden="false" customHeight="false" outlineLevel="0" collapsed="false">
      <c r="A70" s="67"/>
      <c r="B70" s="67"/>
      <c r="C70" s="67"/>
      <c r="D70" s="58" t="str">
        <f aca="false">IF(C70="","",IF(COUNTIFS('MASTER BAHAN'!$A$5:$A$504,C70)=0,"BELUM ADA",INDEX('MASTER BAHAN'!$B$5:$B$504,MATCH(C70,'MASTER BAHAN'!$A$5:$A$504,0))))</f>
        <v/>
      </c>
      <c r="E70" s="58" t="str">
        <f aca="false">IF(C70="","",IF(COUNTIFS('MASTER BAHAN'!$A$5:$A$504,C70)=0,"BELUM ADA",INDEX('MASTER BAHAN'!$D$5:$D$504,MATCH(C70,'MASTER BAHAN'!$A$5:$A$504,0))))</f>
        <v/>
      </c>
      <c r="F70" s="58" t="str">
        <f aca="false">IF(C70="","",IF(COUNTIFS('RINGKASAN STOK'!$A$5:$A$504,C70)=0,"BELUM ADA",INDEX('RINGKASAN STOK'!$H$5:$H$504,MATCH(C70,'RINGKASAN STOK'!$A$5:$A$504,0))))</f>
        <v/>
      </c>
      <c r="G70" s="67"/>
      <c r="H70" s="58" t="str">
        <f aca="false">IF(A70="","",IF(NOT(ISNUMBER(G70)),"ISI STOK FISIK",G70-F70))</f>
        <v/>
      </c>
      <c r="I70" s="67"/>
      <c r="J70" s="67"/>
      <c r="K70" s="67"/>
      <c r="L70" s="67"/>
    </row>
    <row r="71" customFormat="false" ht="15" hidden="false" customHeight="false" outlineLevel="0" collapsed="false">
      <c r="A71" s="67"/>
      <c r="B71" s="67"/>
      <c r="C71" s="67"/>
      <c r="D71" s="58" t="str">
        <f aca="false">IF(C71="","",IF(COUNTIFS('MASTER BAHAN'!$A$5:$A$504,C71)=0,"BELUM ADA",INDEX('MASTER BAHAN'!$B$5:$B$504,MATCH(C71,'MASTER BAHAN'!$A$5:$A$504,0))))</f>
        <v/>
      </c>
      <c r="E71" s="58" t="str">
        <f aca="false">IF(C71="","",IF(COUNTIFS('MASTER BAHAN'!$A$5:$A$504,C71)=0,"BELUM ADA",INDEX('MASTER BAHAN'!$D$5:$D$504,MATCH(C71,'MASTER BAHAN'!$A$5:$A$504,0))))</f>
        <v/>
      </c>
      <c r="F71" s="58" t="str">
        <f aca="false">IF(C71="","",IF(COUNTIFS('RINGKASAN STOK'!$A$5:$A$504,C71)=0,"BELUM ADA",INDEX('RINGKASAN STOK'!$H$5:$H$504,MATCH(C71,'RINGKASAN STOK'!$A$5:$A$504,0))))</f>
        <v/>
      </c>
      <c r="G71" s="67"/>
      <c r="H71" s="58" t="str">
        <f aca="false">IF(A71="","",IF(NOT(ISNUMBER(G71)),"ISI STOK FISIK",G71-F71))</f>
        <v/>
      </c>
      <c r="I71" s="67"/>
      <c r="J71" s="67"/>
      <c r="K71" s="67"/>
      <c r="L71" s="67"/>
    </row>
    <row r="72" customFormat="false" ht="15" hidden="false" customHeight="false" outlineLevel="0" collapsed="false">
      <c r="A72" s="67"/>
      <c r="B72" s="67"/>
      <c r="C72" s="67"/>
      <c r="D72" s="58" t="str">
        <f aca="false">IF(C72="","",IF(COUNTIFS('MASTER BAHAN'!$A$5:$A$504,C72)=0,"BELUM ADA",INDEX('MASTER BAHAN'!$B$5:$B$504,MATCH(C72,'MASTER BAHAN'!$A$5:$A$504,0))))</f>
        <v/>
      </c>
      <c r="E72" s="58" t="str">
        <f aca="false">IF(C72="","",IF(COUNTIFS('MASTER BAHAN'!$A$5:$A$504,C72)=0,"BELUM ADA",INDEX('MASTER BAHAN'!$D$5:$D$504,MATCH(C72,'MASTER BAHAN'!$A$5:$A$504,0))))</f>
        <v/>
      </c>
      <c r="F72" s="58" t="str">
        <f aca="false">IF(C72="","",IF(COUNTIFS('RINGKASAN STOK'!$A$5:$A$504,C72)=0,"BELUM ADA",INDEX('RINGKASAN STOK'!$H$5:$H$504,MATCH(C72,'RINGKASAN STOK'!$A$5:$A$504,0))))</f>
        <v/>
      </c>
      <c r="G72" s="67"/>
      <c r="H72" s="58" t="str">
        <f aca="false">IF(A72="","",IF(NOT(ISNUMBER(G72)),"ISI STOK FISIK",G72-F72))</f>
        <v/>
      </c>
      <c r="I72" s="67"/>
      <c r="J72" s="67"/>
      <c r="K72" s="67"/>
      <c r="L72" s="67"/>
    </row>
    <row r="73" customFormat="false" ht="15" hidden="false" customHeight="false" outlineLevel="0" collapsed="false">
      <c r="A73" s="67"/>
      <c r="B73" s="67"/>
      <c r="C73" s="67"/>
      <c r="D73" s="58" t="str">
        <f aca="false">IF(C73="","",IF(COUNTIFS('MASTER BAHAN'!$A$5:$A$504,C73)=0,"BELUM ADA",INDEX('MASTER BAHAN'!$B$5:$B$504,MATCH(C73,'MASTER BAHAN'!$A$5:$A$504,0))))</f>
        <v/>
      </c>
      <c r="E73" s="58" t="str">
        <f aca="false">IF(C73="","",IF(COUNTIFS('MASTER BAHAN'!$A$5:$A$504,C73)=0,"BELUM ADA",INDEX('MASTER BAHAN'!$D$5:$D$504,MATCH(C73,'MASTER BAHAN'!$A$5:$A$504,0))))</f>
        <v/>
      </c>
      <c r="F73" s="58" t="str">
        <f aca="false">IF(C73="","",IF(COUNTIFS('RINGKASAN STOK'!$A$5:$A$504,C73)=0,"BELUM ADA",INDEX('RINGKASAN STOK'!$H$5:$H$504,MATCH(C73,'RINGKASAN STOK'!$A$5:$A$504,0))))</f>
        <v/>
      </c>
      <c r="G73" s="67"/>
      <c r="H73" s="58" t="str">
        <f aca="false">IF(A73="","",IF(NOT(ISNUMBER(G73)),"ISI STOK FISIK",G73-F73))</f>
        <v/>
      </c>
      <c r="I73" s="67"/>
      <c r="J73" s="67"/>
      <c r="K73" s="67"/>
      <c r="L73" s="67"/>
    </row>
    <row r="74" customFormat="false" ht="15" hidden="false" customHeight="false" outlineLevel="0" collapsed="false">
      <c r="A74" s="67"/>
      <c r="B74" s="67"/>
      <c r="C74" s="67"/>
      <c r="D74" s="58" t="str">
        <f aca="false">IF(C74="","",IF(COUNTIFS('MASTER BAHAN'!$A$5:$A$504,C74)=0,"BELUM ADA",INDEX('MASTER BAHAN'!$B$5:$B$504,MATCH(C74,'MASTER BAHAN'!$A$5:$A$504,0))))</f>
        <v/>
      </c>
      <c r="E74" s="58" t="str">
        <f aca="false">IF(C74="","",IF(COUNTIFS('MASTER BAHAN'!$A$5:$A$504,C74)=0,"BELUM ADA",INDEX('MASTER BAHAN'!$D$5:$D$504,MATCH(C74,'MASTER BAHAN'!$A$5:$A$504,0))))</f>
        <v/>
      </c>
      <c r="F74" s="58" t="str">
        <f aca="false">IF(C74="","",IF(COUNTIFS('RINGKASAN STOK'!$A$5:$A$504,C74)=0,"BELUM ADA",INDEX('RINGKASAN STOK'!$H$5:$H$504,MATCH(C74,'RINGKASAN STOK'!$A$5:$A$504,0))))</f>
        <v/>
      </c>
      <c r="G74" s="67"/>
      <c r="H74" s="58" t="str">
        <f aca="false">IF(A74="","",IF(NOT(ISNUMBER(G74)),"ISI STOK FISIK",G74-F74))</f>
        <v/>
      </c>
      <c r="I74" s="67"/>
      <c r="J74" s="67"/>
      <c r="K74" s="67"/>
      <c r="L74" s="67"/>
    </row>
    <row r="75" customFormat="false" ht="15" hidden="false" customHeight="false" outlineLevel="0" collapsed="false">
      <c r="A75" s="67"/>
      <c r="B75" s="67"/>
      <c r="C75" s="67"/>
      <c r="D75" s="58" t="str">
        <f aca="false">IF(C75="","",IF(COUNTIFS('MASTER BAHAN'!$A$5:$A$504,C75)=0,"BELUM ADA",INDEX('MASTER BAHAN'!$B$5:$B$504,MATCH(C75,'MASTER BAHAN'!$A$5:$A$504,0))))</f>
        <v/>
      </c>
      <c r="E75" s="58" t="str">
        <f aca="false">IF(C75="","",IF(COUNTIFS('MASTER BAHAN'!$A$5:$A$504,C75)=0,"BELUM ADA",INDEX('MASTER BAHAN'!$D$5:$D$504,MATCH(C75,'MASTER BAHAN'!$A$5:$A$504,0))))</f>
        <v/>
      </c>
      <c r="F75" s="58" t="str">
        <f aca="false">IF(C75="","",IF(COUNTIFS('RINGKASAN STOK'!$A$5:$A$504,C75)=0,"BELUM ADA",INDEX('RINGKASAN STOK'!$H$5:$H$504,MATCH(C75,'RINGKASAN STOK'!$A$5:$A$504,0))))</f>
        <v/>
      </c>
      <c r="G75" s="67"/>
      <c r="H75" s="58" t="str">
        <f aca="false">IF(A75="","",IF(NOT(ISNUMBER(G75)),"ISI STOK FISIK",G75-F75))</f>
        <v/>
      </c>
      <c r="I75" s="67"/>
      <c r="J75" s="67"/>
      <c r="K75" s="67"/>
      <c r="L75" s="67"/>
    </row>
    <row r="76" customFormat="false" ht="15" hidden="false" customHeight="false" outlineLevel="0" collapsed="false">
      <c r="A76" s="67"/>
      <c r="B76" s="67"/>
      <c r="C76" s="67"/>
      <c r="D76" s="58" t="str">
        <f aca="false">IF(C76="","",IF(COUNTIFS('MASTER BAHAN'!$A$5:$A$504,C76)=0,"BELUM ADA",INDEX('MASTER BAHAN'!$B$5:$B$504,MATCH(C76,'MASTER BAHAN'!$A$5:$A$504,0))))</f>
        <v/>
      </c>
      <c r="E76" s="58" t="str">
        <f aca="false">IF(C76="","",IF(COUNTIFS('MASTER BAHAN'!$A$5:$A$504,C76)=0,"BELUM ADA",INDEX('MASTER BAHAN'!$D$5:$D$504,MATCH(C76,'MASTER BAHAN'!$A$5:$A$504,0))))</f>
        <v/>
      </c>
      <c r="F76" s="58" t="str">
        <f aca="false">IF(C76="","",IF(COUNTIFS('RINGKASAN STOK'!$A$5:$A$504,C76)=0,"BELUM ADA",INDEX('RINGKASAN STOK'!$H$5:$H$504,MATCH(C76,'RINGKASAN STOK'!$A$5:$A$504,0))))</f>
        <v/>
      </c>
      <c r="G76" s="67"/>
      <c r="H76" s="58" t="str">
        <f aca="false">IF(A76="","",IF(NOT(ISNUMBER(G76)),"ISI STOK FISIK",G76-F76))</f>
        <v/>
      </c>
      <c r="I76" s="67"/>
      <c r="J76" s="67"/>
      <c r="K76" s="67"/>
      <c r="L76" s="67"/>
    </row>
    <row r="77" customFormat="false" ht="15" hidden="false" customHeight="false" outlineLevel="0" collapsed="false">
      <c r="A77" s="67"/>
      <c r="B77" s="67"/>
      <c r="C77" s="67"/>
      <c r="D77" s="58" t="str">
        <f aca="false">IF(C77="","",IF(COUNTIFS('MASTER BAHAN'!$A$5:$A$504,C77)=0,"BELUM ADA",INDEX('MASTER BAHAN'!$B$5:$B$504,MATCH(C77,'MASTER BAHAN'!$A$5:$A$504,0))))</f>
        <v/>
      </c>
      <c r="E77" s="58" t="str">
        <f aca="false">IF(C77="","",IF(COUNTIFS('MASTER BAHAN'!$A$5:$A$504,C77)=0,"BELUM ADA",INDEX('MASTER BAHAN'!$D$5:$D$504,MATCH(C77,'MASTER BAHAN'!$A$5:$A$504,0))))</f>
        <v/>
      </c>
      <c r="F77" s="58" t="str">
        <f aca="false">IF(C77="","",IF(COUNTIFS('RINGKASAN STOK'!$A$5:$A$504,C77)=0,"BELUM ADA",INDEX('RINGKASAN STOK'!$H$5:$H$504,MATCH(C77,'RINGKASAN STOK'!$A$5:$A$504,0))))</f>
        <v/>
      </c>
      <c r="G77" s="67"/>
      <c r="H77" s="58" t="str">
        <f aca="false">IF(A77="","",IF(NOT(ISNUMBER(G77)),"ISI STOK FISIK",G77-F77))</f>
        <v/>
      </c>
      <c r="I77" s="67"/>
      <c r="J77" s="67"/>
      <c r="K77" s="67"/>
      <c r="L77" s="67"/>
    </row>
    <row r="78" customFormat="false" ht="15" hidden="false" customHeight="false" outlineLevel="0" collapsed="false">
      <c r="A78" s="67"/>
      <c r="B78" s="67"/>
      <c r="C78" s="67"/>
      <c r="D78" s="58" t="str">
        <f aca="false">IF(C78="","",IF(COUNTIFS('MASTER BAHAN'!$A$5:$A$504,C78)=0,"BELUM ADA",INDEX('MASTER BAHAN'!$B$5:$B$504,MATCH(C78,'MASTER BAHAN'!$A$5:$A$504,0))))</f>
        <v/>
      </c>
      <c r="E78" s="58" t="str">
        <f aca="false">IF(C78="","",IF(COUNTIFS('MASTER BAHAN'!$A$5:$A$504,C78)=0,"BELUM ADA",INDEX('MASTER BAHAN'!$D$5:$D$504,MATCH(C78,'MASTER BAHAN'!$A$5:$A$504,0))))</f>
        <v/>
      </c>
      <c r="F78" s="58" t="str">
        <f aca="false">IF(C78="","",IF(COUNTIFS('RINGKASAN STOK'!$A$5:$A$504,C78)=0,"BELUM ADA",INDEX('RINGKASAN STOK'!$H$5:$H$504,MATCH(C78,'RINGKASAN STOK'!$A$5:$A$504,0))))</f>
        <v/>
      </c>
      <c r="G78" s="67"/>
      <c r="H78" s="58" t="str">
        <f aca="false">IF(A78="","",IF(NOT(ISNUMBER(G78)),"ISI STOK FISIK",G78-F78))</f>
        <v/>
      </c>
      <c r="I78" s="67"/>
      <c r="J78" s="67"/>
      <c r="K78" s="67"/>
      <c r="L78" s="67"/>
    </row>
    <row r="79" customFormat="false" ht="15" hidden="false" customHeight="false" outlineLevel="0" collapsed="false">
      <c r="A79" s="67"/>
      <c r="B79" s="67"/>
      <c r="C79" s="67"/>
      <c r="D79" s="58" t="str">
        <f aca="false">IF(C79="","",IF(COUNTIFS('MASTER BAHAN'!$A$5:$A$504,C79)=0,"BELUM ADA",INDEX('MASTER BAHAN'!$B$5:$B$504,MATCH(C79,'MASTER BAHAN'!$A$5:$A$504,0))))</f>
        <v/>
      </c>
      <c r="E79" s="58" t="str">
        <f aca="false">IF(C79="","",IF(COUNTIFS('MASTER BAHAN'!$A$5:$A$504,C79)=0,"BELUM ADA",INDEX('MASTER BAHAN'!$D$5:$D$504,MATCH(C79,'MASTER BAHAN'!$A$5:$A$504,0))))</f>
        <v/>
      </c>
      <c r="F79" s="58" t="str">
        <f aca="false">IF(C79="","",IF(COUNTIFS('RINGKASAN STOK'!$A$5:$A$504,C79)=0,"BELUM ADA",INDEX('RINGKASAN STOK'!$H$5:$H$504,MATCH(C79,'RINGKASAN STOK'!$A$5:$A$504,0))))</f>
        <v/>
      </c>
      <c r="G79" s="67"/>
      <c r="H79" s="58" t="str">
        <f aca="false">IF(A79="","",IF(NOT(ISNUMBER(G79)),"ISI STOK FISIK",G79-F79))</f>
        <v/>
      </c>
      <c r="I79" s="67"/>
      <c r="J79" s="67"/>
      <c r="K79" s="67"/>
      <c r="L79" s="67"/>
    </row>
    <row r="80" customFormat="false" ht="15" hidden="false" customHeight="false" outlineLevel="0" collapsed="false">
      <c r="A80" s="67"/>
      <c r="B80" s="67"/>
      <c r="C80" s="67"/>
      <c r="D80" s="58" t="str">
        <f aca="false">IF(C80="","",IF(COUNTIFS('MASTER BAHAN'!$A$5:$A$504,C80)=0,"BELUM ADA",INDEX('MASTER BAHAN'!$B$5:$B$504,MATCH(C80,'MASTER BAHAN'!$A$5:$A$504,0))))</f>
        <v/>
      </c>
      <c r="E80" s="58" t="str">
        <f aca="false">IF(C80="","",IF(COUNTIFS('MASTER BAHAN'!$A$5:$A$504,C80)=0,"BELUM ADA",INDEX('MASTER BAHAN'!$D$5:$D$504,MATCH(C80,'MASTER BAHAN'!$A$5:$A$504,0))))</f>
        <v/>
      </c>
      <c r="F80" s="58" t="str">
        <f aca="false">IF(C80="","",IF(COUNTIFS('RINGKASAN STOK'!$A$5:$A$504,C80)=0,"BELUM ADA",INDEX('RINGKASAN STOK'!$H$5:$H$504,MATCH(C80,'RINGKASAN STOK'!$A$5:$A$504,0))))</f>
        <v/>
      </c>
      <c r="G80" s="67"/>
      <c r="H80" s="58" t="str">
        <f aca="false">IF(A80="","",IF(NOT(ISNUMBER(G80)),"ISI STOK FISIK",G80-F80))</f>
        <v/>
      </c>
      <c r="I80" s="67"/>
      <c r="J80" s="67"/>
      <c r="K80" s="67"/>
      <c r="L80" s="67"/>
    </row>
    <row r="81" customFormat="false" ht="15" hidden="false" customHeight="false" outlineLevel="0" collapsed="false">
      <c r="A81" s="67"/>
      <c r="B81" s="67"/>
      <c r="C81" s="67"/>
      <c r="D81" s="58" t="str">
        <f aca="false">IF(C81="","",IF(COUNTIFS('MASTER BAHAN'!$A$5:$A$504,C81)=0,"BELUM ADA",INDEX('MASTER BAHAN'!$B$5:$B$504,MATCH(C81,'MASTER BAHAN'!$A$5:$A$504,0))))</f>
        <v/>
      </c>
      <c r="E81" s="58" t="str">
        <f aca="false">IF(C81="","",IF(COUNTIFS('MASTER BAHAN'!$A$5:$A$504,C81)=0,"BELUM ADA",INDEX('MASTER BAHAN'!$D$5:$D$504,MATCH(C81,'MASTER BAHAN'!$A$5:$A$504,0))))</f>
        <v/>
      </c>
      <c r="F81" s="58" t="str">
        <f aca="false">IF(C81="","",IF(COUNTIFS('RINGKASAN STOK'!$A$5:$A$504,C81)=0,"BELUM ADA",INDEX('RINGKASAN STOK'!$H$5:$H$504,MATCH(C81,'RINGKASAN STOK'!$A$5:$A$504,0))))</f>
        <v/>
      </c>
      <c r="G81" s="67"/>
      <c r="H81" s="58" t="str">
        <f aca="false">IF(A81="","",IF(NOT(ISNUMBER(G81)),"ISI STOK FISIK",G81-F81))</f>
        <v/>
      </c>
      <c r="I81" s="67"/>
      <c r="J81" s="67"/>
      <c r="K81" s="67"/>
      <c r="L81" s="67"/>
    </row>
    <row r="82" customFormat="false" ht="15" hidden="false" customHeight="false" outlineLevel="0" collapsed="false">
      <c r="A82" s="67"/>
      <c r="B82" s="67"/>
      <c r="C82" s="67"/>
      <c r="D82" s="58" t="str">
        <f aca="false">IF(C82="","",IF(COUNTIFS('MASTER BAHAN'!$A$5:$A$504,C82)=0,"BELUM ADA",INDEX('MASTER BAHAN'!$B$5:$B$504,MATCH(C82,'MASTER BAHAN'!$A$5:$A$504,0))))</f>
        <v/>
      </c>
      <c r="E82" s="58" t="str">
        <f aca="false">IF(C82="","",IF(COUNTIFS('MASTER BAHAN'!$A$5:$A$504,C82)=0,"BELUM ADA",INDEX('MASTER BAHAN'!$D$5:$D$504,MATCH(C82,'MASTER BAHAN'!$A$5:$A$504,0))))</f>
        <v/>
      </c>
      <c r="F82" s="58" t="str">
        <f aca="false">IF(C82="","",IF(COUNTIFS('RINGKASAN STOK'!$A$5:$A$504,C82)=0,"BELUM ADA",INDEX('RINGKASAN STOK'!$H$5:$H$504,MATCH(C82,'RINGKASAN STOK'!$A$5:$A$504,0))))</f>
        <v/>
      </c>
      <c r="G82" s="67"/>
      <c r="H82" s="58" t="str">
        <f aca="false">IF(A82="","",IF(NOT(ISNUMBER(G82)),"ISI STOK FISIK",G82-F82))</f>
        <v/>
      </c>
      <c r="I82" s="67"/>
      <c r="J82" s="67"/>
      <c r="K82" s="67"/>
      <c r="L82" s="67"/>
    </row>
    <row r="83" customFormat="false" ht="15" hidden="false" customHeight="false" outlineLevel="0" collapsed="false">
      <c r="A83" s="67"/>
      <c r="B83" s="67"/>
      <c r="C83" s="67"/>
      <c r="D83" s="58" t="str">
        <f aca="false">IF(C83="","",IF(COUNTIFS('MASTER BAHAN'!$A$5:$A$504,C83)=0,"BELUM ADA",INDEX('MASTER BAHAN'!$B$5:$B$504,MATCH(C83,'MASTER BAHAN'!$A$5:$A$504,0))))</f>
        <v/>
      </c>
      <c r="E83" s="58" t="str">
        <f aca="false">IF(C83="","",IF(COUNTIFS('MASTER BAHAN'!$A$5:$A$504,C83)=0,"BELUM ADA",INDEX('MASTER BAHAN'!$D$5:$D$504,MATCH(C83,'MASTER BAHAN'!$A$5:$A$504,0))))</f>
        <v/>
      </c>
      <c r="F83" s="58" t="str">
        <f aca="false">IF(C83="","",IF(COUNTIFS('RINGKASAN STOK'!$A$5:$A$504,C83)=0,"BELUM ADA",INDEX('RINGKASAN STOK'!$H$5:$H$504,MATCH(C83,'RINGKASAN STOK'!$A$5:$A$504,0))))</f>
        <v/>
      </c>
      <c r="G83" s="67"/>
      <c r="H83" s="58" t="str">
        <f aca="false">IF(A83="","",IF(NOT(ISNUMBER(G83)),"ISI STOK FISIK",G83-F83))</f>
        <v/>
      </c>
      <c r="I83" s="67"/>
      <c r="J83" s="67"/>
      <c r="K83" s="67"/>
      <c r="L83" s="67"/>
    </row>
    <row r="84" customFormat="false" ht="15" hidden="false" customHeight="false" outlineLevel="0" collapsed="false">
      <c r="A84" s="67"/>
      <c r="B84" s="67"/>
      <c r="C84" s="67"/>
      <c r="D84" s="58" t="str">
        <f aca="false">IF(C84="","",IF(COUNTIFS('MASTER BAHAN'!$A$5:$A$504,C84)=0,"BELUM ADA",INDEX('MASTER BAHAN'!$B$5:$B$504,MATCH(C84,'MASTER BAHAN'!$A$5:$A$504,0))))</f>
        <v/>
      </c>
      <c r="E84" s="58" t="str">
        <f aca="false">IF(C84="","",IF(COUNTIFS('MASTER BAHAN'!$A$5:$A$504,C84)=0,"BELUM ADA",INDEX('MASTER BAHAN'!$D$5:$D$504,MATCH(C84,'MASTER BAHAN'!$A$5:$A$504,0))))</f>
        <v/>
      </c>
      <c r="F84" s="58" t="str">
        <f aca="false">IF(C84="","",IF(COUNTIFS('RINGKASAN STOK'!$A$5:$A$504,C84)=0,"BELUM ADA",INDEX('RINGKASAN STOK'!$H$5:$H$504,MATCH(C84,'RINGKASAN STOK'!$A$5:$A$504,0))))</f>
        <v/>
      </c>
      <c r="G84" s="67"/>
      <c r="H84" s="58" t="str">
        <f aca="false">IF(A84="","",IF(NOT(ISNUMBER(G84)),"ISI STOK FISIK",G84-F84))</f>
        <v/>
      </c>
      <c r="I84" s="67"/>
      <c r="J84" s="67"/>
      <c r="K84" s="67"/>
      <c r="L84" s="67"/>
    </row>
    <row r="85" customFormat="false" ht="15" hidden="false" customHeight="false" outlineLevel="0" collapsed="false">
      <c r="A85" s="67"/>
      <c r="B85" s="67"/>
      <c r="C85" s="67"/>
      <c r="D85" s="58" t="str">
        <f aca="false">IF(C85="","",IF(COUNTIFS('MASTER BAHAN'!$A$5:$A$504,C85)=0,"BELUM ADA",INDEX('MASTER BAHAN'!$B$5:$B$504,MATCH(C85,'MASTER BAHAN'!$A$5:$A$504,0))))</f>
        <v/>
      </c>
      <c r="E85" s="58" t="str">
        <f aca="false">IF(C85="","",IF(COUNTIFS('MASTER BAHAN'!$A$5:$A$504,C85)=0,"BELUM ADA",INDEX('MASTER BAHAN'!$D$5:$D$504,MATCH(C85,'MASTER BAHAN'!$A$5:$A$504,0))))</f>
        <v/>
      </c>
      <c r="F85" s="58" t="str">
        <f aca="false">IF(C85="","",IF(COUNTIFS('RINGKASAN STOK'!$A$5:$A$504,C85)=0,"BELUM ADA",INDEX('RINGKASAN STOK'!$H$5:$H$504,MATCH(C85,'RINGKASAN STOK'!$A$5:$A$504,0))))</f>
        <v/>
      </c>
      <c r="G85" s="67"/>
      <c r="H85" s="58" t="str">
        <f aca="false">IF(A85="","",IF(NOT(ISNUMBER(G85)),"ISI STOK FISIK",G85-F85))</f>
        <v/>
      </c>
      <c r="I85" s="67"/>
      <c r="J85" s="67"/>
      <c r="K85" s="67"/>
      <c r="L85" s="67"/>
    </row>
    <row r="86" customFormat="false" ht="15" hidden="false" customHeight="false" outlineLevel="0" collapsed="false">
      <c r="A86" s="67"/>
      <c r="B86" s="67"/>
      <c r="C86" s="67"/>
      <c r="D86" s="58" t="str">
        <f aca="false">IF(C86="","",IF(COUNTIFS('MASTER BAHAN'!$A$5:$A$504,C86)=0,"BELUM ADA",INDEX('MASTER BAHAN'!$B$5:$B$504,MATCH(C86,'MASTER BAHAN'!$A$5:$A$504,0))))</f>
        <v/>
      </c>
      <c r="E86" s="58" t="str">
        <f aca="false">IF(C86="","",IF(COUNTIFS('MASTER BAHAN'!$A$5:$A$504,C86)=0,"BELUM ADA",INDEX('MASTER BAHAN'!$D$5:$D$504,MATCH(C86,'MASTER BAHAN'!$A$5:$A$504,0))))</f>
        <v/>
      </c>
      <c r="F86" s="58" t="str">
        <f aca="false">IF(C86="","",IF(COUNTIFS('RINGKASAN STOK'!$A$5:$A$504,C86)=0,"BELUM ADA",INDEX('RINGKASAN STOK'!$H$5:$H$504,MATCH(C86,'RINGKASAN STOK'!$A$5:$A$504,0))))</f>
        <v/>
      </c>
      <c r="G86" s="67"/>
      <c r="H86" s="58" t="str">
        <f aca="false">IF(A86="","",IF(NOT(ISNUMBER(G86)),"ISI STOK FISIK",G86-F86))</f>
        <v/>
      </c>
      <c r="I86" s="67"/>
      <c r="J86" s="67"/>
      <c r="K86" s="67"/>
      <c r="L86" s="67"/>
    </row>
    <row r="87" customFormat="false" ht="15" hidden="false" customHeight="false" outlineLevel="0" collapsed="false">
      <c r="A87" s="67"/>
      <c r="B87" s="67"/>
      <c r="C87" s="67"/>
      <c r="D87" s="58" t="str">
        <f aca="false">IF(C87="","",IF(COUNTIFS('MASTER BAHAN'!$A$5:$A$504,C87)=0,"BELUM ADA",INDEX('MASTER BAHAN'!$B$5:$B$504,MATCH(C87,'MASTER BAHAN'!$A$5:$A$504,0))))</f>
        <v/>
      </c>
      <c r="E87" s="58" t="str">
        <f aca="false">IF(C87="","",IF(COUNTIFS('MASTER BAHAN'!$A$5:$A$504,C87)=0,"BELUM ADA",INDEX('MASTER BAHAN'!$D$5:$D$504,MATCH(C87,'MASTER BAHAN'!$A$5:$A$504,0))))</f>
        <v/>
      </c>
      <c r="F87" s="58" t="str">
        <f aca="false">IF(C87="","",IF(COUNTIFS('RINGKASAN STOK'!$A$5:$A$504,C87)=0,"BELUM ADA",INDEX('RINGKASAN STOK'!$H$5:$H$504,MATCH(C87,'RINGKASAN STOK'!$A$5:$A$504,0))))</f>
        <v/>
      </c>
      <c r="G87" s="67"/>
      <c r="H87" s="58" t="str">
        <f aca="false">IF(A87="","",IF(NOT(ISNUMBER(G87)),"ISI STOK FISIK",G87-F87))</f>
        <v/>
      </c>
      <c r="I87" s="67"/>
      <c r="J87" s="67"/>
      <c r="K87" s="67"/>
      <c r="L87" s="67"/>
    </row>
    <row r="88" customFormat="false" ht="15" hidden="false" customHeight="false" outlineLevel="0" collapsed="false">
      <c r="A88" s="67"/>
      <c r="B88" s="67"/>
      <c r="C88" s="67"/>
      <c r="D88" s="58" t="str">
        <f aca="false">IF(C88="","",IF(COUNTIFS('MASTER BAHAN'!$A$5:$A$504,C88)=0,"BELUM ADA",INDEX('MASTER BAHAN'!$B$5:$B$504,MATCH(C88,'MASTER BAHAN'!$A$5:$A$504,0))))</f>
        <v/>
      </c>
      <c r="E88" s="58" t="str">
        <f aca="false">IF(C88="","",IF(COUNTIFS('MASTER BAHAN'!$A$5:$A$504,C88)=0,"BELUM ADA",INDEX('MASTER BAHAN'!$D$5:$D$504,MATCH(C88,'MASTER BAHAN'!$A$5:$A$504,0))))</f>
        <v/>
      </c>
      <c r="F88" s="58" t="str">
        <f aca="false">IF(C88="","",IF(COUNTIFS('RINGKASAN STOK'!$A$5:$A$504,C88)=0,"BELUM ADA",INDEX('RINGKASAN STOK'!$H$5:$H$504,MATCH(C88,'RINGKASAN STOK'!$A$5:$A$504,0))))</f>
        <v/>
      </c>
      <c r="G88" s="67"/>
      <c r="H88" s="58" t="str">
        <f aca="false">IF(A88="","",IF(NOT(ISNUMBER(G88)),"ISI STOK FISIK",G88-F88))</f>
        <v/>
      </c>
      <c r="I88" s="67"/>
      <c r="J88" s="67"/>
      <c r="K88" s="67"/>
      <c r="L88" s="67"/>
    </row>
    <row r="89" customFormat="false" ht="15" hidden="false" customHeight="false" outlineLevel="0" collapsed="false">
      <c r="A89" s="67"/>
      <c r="B89" s="67"/>
      <c r="C89" s="67"/>
      <c r="D89" s="58" t="str">
        <f aca="false">IF(C89="","",IF(COUNTIFS('MASTER BAHAN'!$A$5:$A$504,C89)=0,"BELUM ADA",INDEX('MASTER BAHAN'!$B$5:$B$504,MATCH(C89,'MASTER BAHAN'!$A$5:$A$504,0))))</f>
        <v/>
      </c>
      <c r="E89" s="58" t="str">
        <f aca="false">IF(C89="","",IF(COUNTIFS('MASTER BAHAN'!$A$5:$A$504,C89)=0,"BELUM ADA",INDEX('MASTER BAHAN'!$D$5:$D$504,MATCH(C89,'MASTER BAHAN'!$A$5:$A$504,0))))</f>
        <v/>
      </c>
      <c r="F89" s="58" t="str">
        <f aca="false">IF(C89="","",IF(COUNTIFS('RINGKASAN STOK'!$A$5:$A$504,C89)=0,"BELUM ADA",INDEX('RINGKASAN STOK'!$H$5:$H$504,MATCH(C89,'RINGKASAN STOK'!$A$5:$A$504,0))))</f>
        <v/>
      </c>
      <c r="G89" s="67"/>
      <c r="H89" s="58" t="str">
        <f aca="false">IF(A89="","",IF(NOT(ISNUMBER(G89)),"ISI STOK FISIK",G89-F89))</f>
        <v/>
      </c>
      <c r="I89" s="67"/>
      <c r="J89" s="67"/>
      <c r="K89" s="67"/>
      <c r="L89" s="67"/>
    </row>
    <row r="90" customFormat="false" ht="15" hidden="false" customHeight="false" outlineLevel="0" collapsed="false">
      <c r="A90" s="67"/>
      <c r="B90" s="67"/>
      <c r="C90" s="67"/>
      <c r="D90" s="58" t="str">
        <f aca="false">IF(C90="","",IF(COUNTIFS('MASTER BAHAN'!$A$5:$A$504,C90)=0,"BELUM ADA",INDEX('MASTER BAHAN'!$B$5:$B$504,MATCH(C90,'MASTER BAHAN'!$A$5:$A$504,0))))</f>
        <v/>
      </c>
      <c r="E90" s="58" t="str">
        <f aca="false">IF(C90="","",IF(COUNTIFS('MASTER BAHAN'!$A$5:$A$504,C90)=0,"BELUM ADA",INDEX('MASTER BAHAN'!$D$5:$D$504,MATCH(C90,'MASTER BAHAN'!$A$5:$A$504,0))))</f>
        <v/>
      </c>
      <c r="F90" s="58" t="str">
        <f aca="false">IF(C90="","",IF(COUNTIFS('RINGKASAN STOK'!$A$5:$A$504,C90)=0,"BELUM ADA",INDEX('RINGKASAN STOK'!$H$5:$H$504,MATCH(C90,'RINGKASAN STOK'!$A$5:$A$504,0))))</f>
        <v/>
      </c>
      <c r="G90" s="67"/>
      <c r="H90" s="58" t="str">
        <f aca="false">IF(A90="","",IF(NOT(ISNUMBER(G90)),"ISI STOK FISIK",G90-F90))</f>
        <v/>
      </c>
      <c r="I90" s="67"/>
      <c r="J90" s="67"/>
      <c r="K90" s="67"/>
      <c r="L90" s="67"/>
    </row>
    <row r="91" customFormat="false" ht="15" hidden="false" customHeight="false" outlineLevel="0" collapsed="false">
      <c r="A91" s="67"/>
      <c r="B91" s="67"/>
      <c r="C91" s="67"/>
      <c r="D91" s="58" t="str">
        <f aca="false">IF(C91="","",IF(COUNTIFS('MASTER BAHAN'!$A$5:$A$504,C91)=0,"BELUM ADA",INDEX('MASTER BAHAN'!$B$5:$B$504,MATCH(C91,'MASTER BAHAN'!$A$5:$A$504,0))))</f>
        <v/>
      </c>
      <c r="E91" s="58" t="str">
        <f aca="false">IF(C91="","",IF(COUNTIFS('MASTER BAHAN'!$A$5:$A$504,C91)=0,"BELUM ADA",INDEX('MASTER BAHAN'!$D$5:$D$504,MATCH(C91,'MASTER BAHAN'!$A$5:$A$504,0))))</f>
        <v/>
      </c>
      <c r="F91" s="58" t="str">
        <f aca="false">IF(C91="","",IF(COUNTIFS('RINGKASAN STOK'!$A$5:$A$504,C91)=0,"BELUM ADA",INDEX('RINGKASAN STOK'!$H$5:$H$504,MATCH(C91,'RINGKASAN STOK'!$A$5:$A$504,0))))</f>
        <v/>
      </c>
      <c r="G91" s="67"/>
      <c r="H91" s="58" t="str">
        <f aca="false">IF(A91="","",IF(NOT(ISNUMBER(G91)),"ISI STOK FISIK",G91-F91))</f>
        <v/>
      </c>
      <c r="I91" s="67"/>
      <c r="J91" s="67"/>
      <c r="K91" s="67"/>
      <c r="L91" s="67"/>
    </row>
    <row r="92" customFormat="false" ht="15" hidden="false" customHeight="false" outlineLevel="0" collapsed="false">
      <c r="A92" s="67"/>
      <c r="B92" s="67"/>
      <c r="C92" s="67"/>
      <c r="D92" s="58" t="str">
        <f aca="false">IF(C92="","",IF(COUNTIFS('MASTER BAHAN'!$A$5:$A$504,C92)=0,"BELUM ADA",INDEX('MASTER BAHAN'!$B$5:$B$504,MATCH(C92,'MASTER BAHAN'!$A$5:$A$504,0))))</f>
        <v/>
      </c>
      <c r="E92" s="58" t="str">
        <f aca="false">IF(C92="","",IF(COUNTIFS('MASTER BAHAN'!$A$5:$A$504,C92)=0,"BELUM ADA",INDEX('MASTER BAHAN'!$D$5:$D$504,MATCH(C92,'MASTER BAHAN'!$A$5:$A$504,0))))</f>
        <v/>
      </c>
      <c r="F92" s="58" t="str">
        <f aca="false">IF(C92="","",IF(COUNTIFS('RINGKASAN STOK'!$A$5:$A$504,C92)=0,"BELUM ADA",INDEX('RINGKASAN STOK'!$H$5:$H$504,MATCH(C92,'RINGKASAN STOK'!$A$5:$A$504,0))))</f>
        <v/>
      </c>
      <c r="G92" s="67"/>
      <c r="H92" s="58" t="str">
        <f aca="false">IF(A92="","",IF(NOT(ISNUMBER(G92)),"ISI STOK FISIK",G92-F92))</f>
        <v/>
      </c>
      <c r="I92" s="67"/>
      <c r="J92" s="67"/>
      <c r="K92" s="67"/>
      <c r="L92" s="67"/>
    </row>
    <row r="93" customFormat="false" ht="15" hidden="false" customHeight="false" outlineLevel="0" collapsed="false">
      <c r="A93" s="67"/>
      <c r="B93" s="67"/>
      <c r="C93" s="67"/>
      <c r="D93" s="58" t="str">
        <f aca="false">IF(C93="","",IF(COUNTIFS('MASTER BAHAN'!$A$5:$A$504,C93)=0,"BELUM ADA",INDEX('MASTER BAHAN'!$B$5:$B$504,MATCH(C93,'MASTER BAHAN'!$A$5:$A$504,0))))</f>
        <v/>
      </c>
      <c r="E93" s="58" t="str">
        <f aca="false">IF(C93="","",IF(COUNTIFS('MASTER BAHAN'!$A$5:$A$504,C93)=0,"BELUM ADA",INDEX('MASTER BAHAN'!$D$5:$D$504,MATCH(C93,'MASTER BAHAN'!$A$5:$A$504,0))))</f>
        <v/>
      </c>
      <c r="F93" s="58" t="str">
        <f aca="false">IF(C93="","",IF(COUNTIFS('RINGKASAN STOK'!$A$5:$A$504,C93)=0,"BELUM ADA",INDEX('RINGKASAN STOK'!$H$5:$H$504,MATCH(C93,'RINGKASAN STOK'!$A$5:$A$504,0))))</f>
        <v/>
      </c>
      <c r="G93" s="67"/>
      <c r="H93" s="58" t="str">
        <f aca="false">IF(A93="","",IF(NOT(ISNUMBER(G93)),"ISI STOK FISIK",G93-F93))</f>
        <v/>
      </c>
      <c r="I93" s="67"/>
      <c r="J93" s="67"/>
      <c r="K93" s="67"/>
      <c r="L93" s="67"/>
    </row>
    <row r="94" customFormat="false" ht="15" hidden="false" customHeight="false" outlineLevel="0" collapsed="false">
      <c r="A94" s="67"/>
      <c r="B94" s="67"/>
      <c r="C94" s="67"/>
      <c r="D94" s="58" t="str">
        <f aca="false">IF(C94="","",IF(COUNTIFS('MASTER BAHAN'!$A$5:$A$504,C94)=0,"BELUM ADA",INDEX('MASTER BAHAN'!$B$5:$B$504,MATCH(C94,'MASTER BAHAN'!$A$5:$A$504,0))))</f>
        <v/>
      </c>
      <c r="E94" s="58" t="str">
        <f aca="false">IF(C94="","",IF(COUNTIFS('MASTER BAHAN'!$A$5:$A$504,C94)=0,"BELUM ADA",INDEX('MASTER BAHAN'!$D$5:$D$504,MATCH(C94,'MASTER BAHAN'!$A$5:$A$504,0))))</f>
        <v/>
      </c>
      <c r="F94" s="58" t="str">
        <f aca="false">IF(C94="","",IF(COUNTIFS('RINGKASAN STOK'!$A$5:$A$504,C94)=0,"BELUM ADA",INDEX('RINGKASAN STOK'!$H$5:$H$504,MATCH(C94,'RINGKASAN STOK'!$A$5:$A$504,0))))</f>
        <v/>
      </c>
      <c r="G94" s="67"/>
      <c r="H94" s="58" t="str">
        <f aca="false">IF(A94="","",IF(NOT(ISNUMBER(G94)),"ISI STOK FISIK",G94-F94))</f>
        <v/>
      </c>
      <c r="I94" s="67"/>
      <c r="J94" s="67"/>
      <c r="K94" s="67"/>
      <c r="L94" s="67"/>
    </row>
    <row r="95" customFormat="false" ht="15" hidden="false" customHeight="false" outlineLevel="0" collapsed="false">
      <c r="A95" s="67"/>
      <c r="B95" s="67"/>
      <c r="C95" s="67"/>
      <c r="D95" s="58" t="str">
        <f aca="false">IF(C95="","",IF(COUNTIFS('MASTER BAHAN'!$A$5:$A$504,C95)=0,"BELUM ADA",INDEX('MASTER BAHAN'!$B$5:$B$504,MATCH(C95,'MASTER BAHAN'!$A$5:$A$504,0))))</f>
        <v/>
      </c>
      <c r="E95" s="58" t="str">
        <f aca="false">IF(C95="","",IF(COUNTIFS('MASTER BAHAN'!$A$5:$A$504,C95)=0,"BELUM ADA",INDEX('MASTER BAHAN'!$D$5:$D$504,MATCH(C95,'MASTER BAHAN'!$A$5:$A$504,0))))</f>
        <v/>
      </c>
      <c r="F95" s="58" t="str">
        <f aca="false">IF(C95="","",IF(COUNTIFS('RINGKASAN STOK'!$A$5:$A$504,C95)=0,"BELUM ADA",INDEX('RINGKASAN STOK'!$H$5:$H$504,MATCH(C95,'RINGKASAN STOK'!$A$5:$A$504,0))))</f>
        <v/>
      </c>
      <c r="G95" s="67"/>
      <c r="H95" s="58" t="str">
        <f aca="false">IF(A95="","",IF(NOT(ISNUMBER(G95)),"ISI STOK FISIK",G95-F95))</f>
        <v/>
      </c>
      <c r="I95" s="67"/>
      <c r="J95" s="67"/>
      <c r="K95" s="67"/>
      <c r="L95" s="67"/>
    </row>
    <row r="96" customFormat="false" ht="15" hidden="false" customHeight="false" outlineLevel="0" collapsed="false">
      <c r="A96" s="67"/>
      <c r="B96" s="67"/>
      <c r="C96" s="67"/>
      <c r="D96" s="58" t="str">
        <f aca="false">IF(C96="","",IF(COUNTIFS('MASTER BAHAN'!$A$5:$A$504,C96)=0,"BELUM ADA",INDEX('MASTER BAHAN'!$B$5:$B$504,MATCH(C96,'MASTER BAHAN'!$A$5:$A$504,0))))</f>
        <v/>
      </c>
      <c r="E96" s="58" t="str">
        <f aca="false">IF(C96="","",IF(COUNTIFS('MASTER BAHAN'!$A$5:$A$504,C96)=0,"BELUM ADA",INDEX('MASTER BAHAN'!$D$5:$D$504,MATCH(C96,'MASTER BAHAN'!$A$5:$A$504,0))))</f>
        <v/>
      </c>
      <c r="F96" s="58" t="str">
        <f aca="false">IF(C96="","",IF(COUNTIFS('RINGKASAN STOK'!$A$5:$A$504,C96)=0,"BELUM ADA",INDEX('RINGKASAN STOK'!$H$5:$H$504,MATCH(C96,'RINGKASAN STOK'!$A$5:$A$504,0))))</f>
        <v/>
      </c>
      <c r="G96" s="67"/>
      <c r="H96" s="58" t="str">
        <f aca="false">IF(A96="","",IF(NOT(ISNUMBER(G96)),"ISI STOK FISIK",G96-F96))</f>
        <v/>
      </c>
      <c r="I96" s="67"/>
      <c r="J96" s="67"/>
      <c r="K96" s="67"/>
      <c r="L96" s="67"/>
    </row>
    <row r="97" customFormat="false" ht="15" hidden="false" customHeight="false" outlineLevel="0" collapsed="false">
      <c r="A97" s="67"/>
      <c r="B97" s="67"/>
      <c r="C97" s="67"/>
      <c r="D97" s="58" t="str">
        <f aca="false">IF(C97="","",IF(COUNTIFS('MASTER BAHAN'!$A$5:$A$504,C97)=0,"BELUM ADA",INDEX('MASTER BAHAN'!$B$5:$B$504,MATCH(C97,'MASTER BAHAN'!$A$5:$A$504,0))))</f>
        <v/>
      </c>
      <c r="E97" s="58" t="str">
        <f aca="false">IF(C97="","",IF(COUNTIFS('MASTER BAHAN'!$A$5:$A$504,C97)=0,"BELUM ADA",INDEX('MASTER BAHAN'!$D$5:$D$504,MATCH(C97,'MASTER BAHAN'!$A$5:$A$504,0))))</f>
        <v/>
      </c>
      <c r="F97" s="58" t="str">
        <f aca="false">IF(C97="","",IF(COUNTIFS('RINGKASAN STOK'!$A$5:$A$504,C97)=0,"BELUM ADA",INDEX('RINGKASAN STOK'!$H$5:$H$504,MATCH(C97,'RINGKASAN STOK'!$A$5:$A$504,0))))</f>
        <v/>
      </c>
      <c r="G97" s="67"/>
      <c r="H97" s="58" t="str">
        <f aca="false">IF(A97="","",IF(NOT(ISNUMBER(G97)),"ISI STOK FISIK",G97-F97))</f>
        <v/>
      </c>
      <c r="I97" s="67"/>
      <c r="J97" s="67"/>
      <c r="K97" s="67"/>
      <c r="L97" s="67"/>
    </row>
    <row r="98" customFormat="false" ht="15" hidden="false" customHeight="false" outlineLevel="0" collapsed="false">
      <c r="A98" s="67"/>
      <c r="B98" s="67"/>
      <c r="C98" s="67"/>
      <c r="D98" s="58" t="str">
        <f aca="false">IF(C98="","",IF(COUNTIFS('MASTER BAHAN'!$A$5:$A$504,C98)=0,"BELUM ADA",INDEX('MASTER BAHAN'!$B$5:$B$504,MATCH(C98,'MASTER BAHAN'!$A$5:$A$504,0))))</f>
        <v/>
      </c>
      <c r="E98" s="58" t="str">
        <f aca="false">IF(C98="","",IF(COUNTIFS('MASTER BAHAN'!$A$5:$A$504,C98)=0,"BELUM ADA",INDEX('MASTER BAHAN'!$D$5:$D$504,MATCH(C98,'MASTER BAHAN'!$A$5:$A$504,0))))</f>
        <v/>
      </c>
      <c r="F98" s="58" t="str">
        <f aca="false">IF(C98="","",IF(COUNTIFS('RINGKASAN STOK'!$A$5:$A$504,C98)=0,"BELUM ADA",INDEX('RINGKASAN STOK'!$H$5:$H$504,MATCH(C98,'RINGKASAN STOK'!$A$5:$A$504,0))))</f>
        <v/>
      </c>
      <c r="G98" s="67"/>
      <c r="H98" s="58" t="str">
        <f aca="false">IF(A98="","",IF(NOT(ISNUMBER(G98)),"ISI STOK FISIK",G98-F98))</f>
        <v/>
      </c>
      <c r="I98" s="67"/>
      <c r="J98" s="67"/>
      <c r="K98" s="67"/>
      <c r="L98" s="67"/>
    </row>
    <row r="99" customFormat="false" ht="15" hidden="false" customHeight="false" outlineLevel="0" collapsed="false">
      <c r="A99" s="67"/>
      <c r="B99" s="67"/>
      <c r="C99" s="67"/>
      <c r="D99" s="58" t="str">
        <f aca="false">IF(C99="","",IF(COUNTIFS('MASTER BAHAN'!$A$5:$A$504,C99)=0,"BELUM ADA",INDEX('MASTER BAHAN'!$B$5:$B$504,MATCH(C99,'MASTER BAHAN'!$A$5:$A$504,0))))</f>
        <v/>
      </c>
      <c r="E99" s="58" t="str">
        <f aca="false">IF(C99="","",IF(COUNTIFS('MASTER BAHAN'!$A$5:$A$504,C99)=0,"BELUM ADA",INDEX('MASTER BAHAN'!$D$5:$D$504,MATCH(C99,'MASTER BAHAN'!$A$5:$A$504,0))))</f>
        <v/>
      </c>
      <c r="F99" s="58" t="str">
        <f aca="false">IF(C99="","",IF(COUNTIFS('RINGKASAN STOK'!$A$5:$A$504,C99)=0,"BELUM ADA",INDEX('RINGKASAN STOK'!$H$5:$H$504,MATCH(C99,'RINGKASAN STOK'!$A$5:$A$504,0))))</f>
        <v/>
      </c>
      <c r="G99" s="67"/>
      <c r="H99" s="58" t="str">
        <f aca="false">IF(A99="","",IF(NOT(ISNUMBER(G99)),"ISI STOK FISIK",G99-F99))</f>
        <v/>
      </c>
      <c r="I99" s="67"/>
      <c r="J99" s="67"/>
      <c r="K99" s="67"/>
      <c r="L99" s="67"/>
    </row>
    <row r="100" customFormat="false" ht="15" hidden="false" customHeight="false" outlineLevel="0" collapsed="false">
      <c r="A100" s="67"/>
      <c r="B100" s="67"/>
      <c r="C100" s="67"/>
      <c r="D100" s="58" t="str">
        <f aca="false">IF(C100="","",IF(COUNTIFS('MASTER BAHAN'!$A$5:$A$504,C100)=0,"BELUM ADA",INDEX('MASTER BAHAN'!$B$5:$B$504,MATCH(C100,'MASTER BAHAN'!$A$5:$A$504,0))))</f>
        <v/>
      </c>
      <c r="E100" s="58" t="str">
        <f aca="false">IF(C100="","",IF(COUNTIFS('MASTER BAHAN'!$A$5:$A$504,C100)=0,"BELUM ADA",INDEX('MASTER BAHAN'!$D$5:$D$504,MATCH(C100,'MASTER BAHAN'!$A$5:$A$504,0))))</f>
        <v/>
      </c>
      <c r="F100" s="58" t="str">
        <f aca="false">IF(C100="","",IF(COUNTIFS('RINGKASAN STOK'!$A$5:$A$504,C100)=0,"BELUM ADA",INDEX('RINGKASAN STOK'!$H$5:$H$504,MATCH(C100,'RINGKASAN STOK'!$A$5:$A$504,0))))</f>
        <v/>
      </c>
      <c r="G100" s="67"/>
      <c r="H100" s="58" t="str">
        <f aca="false">IF(A100="","",IF(NOT(ISNUMBER(G100)),"ISI STOK FISIK",G100-F100))</f>
        <v/>
      </c>
      <c r="I100" s="67"/>
      <c r="J100" s="67"/>
      <c r="K100" s="67"/>
      <c r="L100" s="67"/>
    </row>
    <row r="101" customFormat="false" ht="15" hidden="false" customHeight="false" outlineLevel="0" collapsed="false">
      <c r="A101" s="67"/>
      <c r="B101" s="67"/>
      <c r="C101" s="67"/>
      <c r="D101" s="58" t="str">
        <f aca="false">IF(C101="","",IF(COUNTIFS('MASTER BAHAN'!$A$5:$A$504,C101)=0,"BELUM ADA",INDEX('MASTER BAHAN'!$B$5:$B$504,MATCH(C101,'MASTER BAHAN'!$A$5:$A$504,0))))</f>
        <v/>
      </c>
      <c r="E101" s="58" t="str">
        <f aca="false">IF(C101="","",IF(COUNTIFS('MASTER BAHAN'!$A$5:$A$504,C101)=0,"BELUM ADA",INDEX('MASTER BAHAN'!$D$5:$D$504,MATCH(C101,'MASTER BAHAN'!$A$5:$A$504,0))))</f>
        <v/>
      </c>
      <c r="F101" s="58" t="str">
        <f aca="false">IF(C101="","",IF(COUNTIFS('RINGKASAN STOK'!$A$5:$A$504,C101)=0,"BELUM ADA",INDEX('RINGKASAN STOK'!$H$5:$H$504,MATCH(C101,'RINGKASAN STOK'!$A$5:$A$504,0))))</f>
        <v/>
      </c>
      <c r="G101" s="67"/>
      <c r="H101" s="58" t="str">
        <f aca="false">IF(A101="","",IF(NOT(ISNUMBER(G101)),"ISI STOK FISIK",G101-F101))</f>
        <v/>
      </c>
      <c r="I101" s="67"/>
      <c r="J101" s="67"/>
      <c r="K101" s="67"/>
      <c r="L101" s="67"/>
    </row>
    <row r="102" customFormat="false" ht="15" hidden="false" customHeight="false" outlineLevel="0" collapsed="false">
      <c r="A102" s="67"/>
      <c r="B102" s="67"/>
      <c r="C102" s="67"/>
      <c r="D102" s="58" t="str">
        <f aca="false">IF(C102="","",IF(COUNTIFS('MASTER BAHAN'!$A$5:$A$504,C102)=0,"BELUM ADA",INDEX('MASTER BAHAN'!$B$5:$B$504,MATCH(C102,'MASTER BAHAN'!$A$5:$A$504,0))))</f>
        <v/>
      </c>
      <c r="E102" s="58" t="str">
        <f aca="false">IF(C102="","",IF(COUNTIFS('MASTER BAHAN'!$A$5:$A$504,C102)=0,"BELUM ADA",INDEX('MASTER BAHAN'!$D$5:$D$504,MATCH(C102,'MASTER BAHAN'!$A$5:$A$504,0))))</f>
        <v/>
      </c>
      <c r="F102" s="58" t="str">
        <f aca="false">IF(C102="","",IF(COUNTIFS('RINGKASAN STOK'!$A$5:$A$504,C102)=0,"BELUM ADA",INDEX('RINGKASAN STOK'!$H$5:$H$504,MATCH(C102,'RINGKASAN STOK'!$A$5:$A$504,0))))</f>
        <v/>
      </c>
      <c r="G102" s="67"/>
      <c r="H102" s="58" t="str">
        <f aca="false">IF(A102="","",IF(NOT(ISNUMBER(G102)),"ISI STOK FISIK",G102-F102))</f>
        <v/>
      </c>
      <c r="I102" s="67"/>
      <c r="J102" s="67"/>
      <c r="K102" s="67"/>
      <c r="L102" s="67"/>
    </row>
    <row r="103" customFormat="false" ht="15" hidden="false" customHeight="false" outlineLevel="0" collapsed="false">
      <c r="A103" s="67"/>
      <c r="B103" s="67"/>
      <c r="C103" s="67"/>
      <c r="D103" s="58" t="str">
        <f aca="false">IF(C103="","",IF(COUNTIFS('MASTER BAHAN'!$A$5:$A$504,C103)=0,"BELUM ADA",INDEX('MASTER BAHAN'!$B$5:$B$504,MATCH(C103,'MASTER BAHAN'!$A$5:$A$504,0))))</f>
        <v/>
      </c>
      <c r="E103" s="58" t="str">
        <f aca="false">IF(C103="","",IF(COUNTIFS('MASTER BAHAN'!$A$5:$A$504,C103)=0,"BELUM ADA",INDEX('MASTER BAHAN'!$D$5:$D$504,MATCH(C103,'MASTER BAHAN'!$A$5:$A$504,0))))</f>
        <v/>
      </c>
      <c r="F103" s="58" t="str">
        <f aca="false">IF(C103="","",IF(COUNTIFS('RINGKASAN STOK'!$A$5:$A$504,C103)=0,"BELUM ADA",INDEX('RINGKASAN STOK'!$H$5:$H$504,MATCH(C103,'RINGKASAN STOK'!$A$5:$A$504,0))))</f>
        <v/>
      </c>
      <c r="G103" s="67"/>
      <c r="H103" s="58" t="str">
        <f aca="false">IF(A103="","",IF(NOT(ISNUMBER(G103)),"ISI STOK FISIK",G103-F103))</f>
        <v/>
      </c>
      <c r="I103" s="67"/>
      <c r="J103" s="67"/>
      <c r="K103" s="67"/>
      <c r="L103" s="67"/>
    </row>
    <row r="104" customFormat="false" ht="15" hidden="false" customHeight="false" outlineLevel="0" collapsed="false">
      <c r="A104" s="67"/>
      <c r="B104" s="67"/>
      <c r="C104" s="67"/>
      <c r="D104" s="58" t="str">
        <f aca="false">IF(C104="","",IF(COUNTIFS('MASTER BAHAN'!$A$5:$A$504,C104)=0,"BELUM ADA",INDEX('MASTER BAHAN'!$B$5:$B$504,MATCH(C104,'MASTER BAHAN'!$A$5:$A$504,0))))</f>
        <v/>
      </c>
      <c r="E104" s="58" t="str">
        <f aca="false">IF(C104="","",IF(COUNTIFS('MASTER BAHAN'!$A$5:$A$504,C104)=0,"BELUM ADA",INDEX('MASTER BAHAN'!$D$5:$D$504,MATCH(C104,'MASTER BAHAN'!$A$5:$A$504,0))))</f>
        <v/>
      </c>
      <c r="F104" s="58" t="str">
        <f aca="false">IF(C104="","",IF(COUNTIFS('RINGKASAN STOK'!$A$5:$A$504,C104)=0,"BELUM ADA",INDEX('RINGKASAN STOK'!$H$5:$H$504,MATCH(C104,'RINGKASAN STOK'!$A$5:$A$504,0))))</f>
        <v/>
      </c>
      <c r="G104" s="67"/>
      <c r="H104" s="58" t="str">
        <f aca="false">IF(A104="","",IF(NOT(ISNUMBER(G104)),"ISI STOK FISIK",G104-F104))</f>
        <v/>
      </c>
      <c r="I104" s="67"/>
      <c r="J104" s="67"/>
      <c r="K104" s="67"/>
      <c r="L104" s="67"/>
    </row>
  </sheetData>
  <mergeCells count="2">
    <mergeCell ref="A1:L1"/>
    <mergeCell ref="A2:L2"/>
  </mergeCells>
  <dataValidations count="2">
    <dataValidation allowBlank="false" errorStyle="stop" operator="between" showDropDown="false" showErrorMessage="false" showInputMessage="false" sqref="C5:C104" type="list">
      <formula1>'MASTER BAHAN'!$A$5:$A$64</formula1>
      <formula2>0</formula2>
    </dataValidation>
    <dataValidation allowBlank="false" errorStyle="stop" operator="between" showDropDown="false" showErrorMessage="false" showInputMessage="false" sqref="L5:L104" type="list">
      <formula1>"Menunggu,Disetujui,Ditolak,Sudah diposting"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5D3C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2"/>
    <col collapsed="false" customWidth="true" hidden="false" outlineLevel="0" max="8" min="7" style="0" width="22"/>
  </cols>
  <sheetData>
    <row r="1" customFormat="false" ht="34" hidden="false" customHeight="true" outlineLevel="0" collapsed="false">
      <c r="A1" s="64" t="s">
        <v>61</v>
      </c>
      <c r="B1" s="64"/>
      <c r="C1" s="64"/>
      <c r="D1" s="64"/>
      <c r="E1" s="64"/>
      <c r="F1" s="64"/>
      <c r="G1" s="64"/>
      <c r="H1" s="64"/>
    </row>
    <row r="2" customFormat="false" ht="22" hidden="false" customHeight="true" outlineLevel="0" collapsed="false">
      <c r="A2" s="65" t="s">
        <v>412</v>
      </c>
      <c r="B2" s="65"/>
      <c r="C2" s="65"/>
      <c r="D2" s="65"/>
      <c r="E2" s="65"/>
      <c r="F2" s="65"/>
      <c r="G2" s="65"/>
      <c r="H2" s="65"/>
    </row>
    <row r="3" customFormat="false" ht="15" hidden="false" customHeight="false" outlineLevel="0" collapsed="false">
      <c r="A3" s="66" t="s">
        <v>205</v>
      </c>
      <c r="B3" s="67" t="s">
        <v>216</v>
      </c>
      <c r="C3" s="67"/>
      <c r="D3" s="67"/>
    </row>
    <row r="5" customFormat="false" ht="15" hidden="false" customHeight="false" outlineLevel="0" collapsed="false">
      <c r="A5" s="68" t="s">
        <v>413</v>
      </c>
      <c r="B5" s="68"/>
      <c r="C5" s="68"/>
      <c r="D5" s="68"/>
      <c r="E5" s="68"/>
      <c r="F5" s="68"/>
      <c r="G5" s="68"/>
      <c r="H5" s="68"/>
    </row>
    <row r="6" customFormat="false" ht="15" hidden="false" customHeight="false" outlineLevel="0" collapsed="false">
      <c r="A6" s="66" t="s">
        <v>414</v>
      </c>
      <c r="B6" s="66"/>
      <c r="C6" s="66"/>
      <c r="D6" s="70" t="n">
        <f aca="false">IF($B$3="","",IF(COUNTIFS('PERGERAKAN STOK'!$A$5:$A$504,$B$3)=0,"BELUM ADA",INDEX('PERGERAKAN STOK'!$B$5:$B$504,MATCH($B$3,'PERGERAKAN STOK'!$A$5:$A$504,0))))</f>
        <v>46325.4583333333</v>
      </c>
      <c r="E6" s="70"/>
      <c r="F6" s="70"/>
      <c r="G6" s="70"/>
      <c r="H6" s="70"/>
    </row>
    <row r="7" customFormat="false" ht="15" hidden="false" customHeight="false" outlineLevel="0" collapsed="false">
      <c r="A7" s="66" t="s">
        <v>117</v>
      </c>
      <c r="B7" s="66"/>
      <c r="C7" s="66"/>
      <c r="D7" s="58" t="str">
        <f aca="false">IF($B$3="","",IF(COUNTIFS('PERGERAKAN STOK'!$A$5:$A$504,$B$3)=0,"BELUM ADA",INDEX('PERGERAKAN STOK'!$C$5:$C$504,MATCH($B$3,'PERGERAKAN STOK'!$A$5:$A$504,0))))</f>
        <v>CONTOH-B02</v>
      </c>
      <c r="E7" s="58"/>
      <c r="F7" s="58"/>
      <c r="G7" s="58"/>
      <c r="H7" s="58"/>
    </row>
    <row r="8" customFormat="false" ht="15" hidden="false" customHeight="false" outlineLevel="0" collapsed="false">
      <c r="A8" s="66" t="s">
        <v>118</v>
      </c>
      <c r="B8" s="66"/>
      <c r="C8" s="66"/>
      <c r="D8" s="58" t="str">
        <f aca="false">IF($B$3="","",IF(COUNTIFS('PERGERAKAN STOK'!$A$5:$A$504,$B$3)=0,"BELUM ADA",INDEX('PERGERAKAN STOK'!$D$5:$D$504,MATCH($B$3,'PERGERAKAN STOK'!$A$5:$A$504,0))))</f>
        <v>Susu UHT</v>
      </c>
      <c r="E8" s="58"/>
      <c r="F8" s="58"/>
      <c r="G8" s="58"/>
      <c r="H8" s="58"/>
    </row>
    <row r="9" customFormat="false" ht="15" hidden="false" customHeight="false" outlineLevel="0" collapsed="false">
      <c r="A9" s="66" t="s">
        <v>74</v>
      </c>
      <c r="B9" s="66"/>
      <c r="C9" s="66"/>
      <c r="D9" s="58" t="str">
        <f aca="false">IF($B$3="","",IF(COUNTIFS('PERGERAKAN STOK'!$A$5:$A$504,$B$3)=0,"BELUM ADA",INDEX('PERGERAKAN STOK'!$E$5:$E$504,MATCH($B$3,'PERGERAKAN STOK'!$A$5:$A$504,0))))</f>
        <v>Waste</v>
      </c>
      <c r="E9" s="58"/>
      <c r="F9" s="58"/>
      <c r="G9" s="58"/>
      <c r="H9" s="58"/>
    </row>
    <row r="10" customFormat="false" ht="15" hidden="false" customHeight="false" outlineLevel="0" collapsed="false">
      <c r="A10" s="66" t="s">
        <v>176</v>
      </c>
      <c r="B10" s="66"/>
      <c r="C10" s="66"/>
      <c r="D10" s="58" t="n">
        <f aca="false">IF($B$3="","",IF(COUNTIFS('PERGERAKAN STOK'!$A$5:$A$504,$B$3)=0,"BELUM ADA",INDEX('PERGERAKAN STOK'!$F$5:$F$504,MATCH($B$3,'PERGERAKAN STOK'!$A$5:$A$504,0))))</f>
        <v>20</v>
      </c>
      <c r="E10" s="58"/>
      <c r="F10" s="58"/>
      <c r="G10" s="58"/>
      <c r="H10" s="58"/>
    </row>
    <row r="11" customFormat="false" ht="15" hidden="false" customHeight="false" outlineLevel="0" collapsed="false">
      <c r="A11" s="66" t="s">
        <v>164</v>
      </c>
      <c r="B11" s="66"/>
      <c r="C11" s="66"/>
      <c r="D11" s="58" t="str">
        <f aca="false">IF($B$3="","",IF(COUNTIFS('PERGERAKAN STOK'!$A$5:$A$504,$B$3)=0,"BELUM ADA",INDEX('PERGERAKAN STOK'!$G$5:$G$504,MATCH($B$3,'PERGERAKAN STOK'!$A$5:$A$504,0))))</f>
        <v>ml</v>
      </c>
      <c r="E11" s="58"/>
      <c r="F11" s="58"/>
      <c r="G11" s="58"/>
      <c r="H11" s="58"/>
    </row>
    <row r="12" customFormat="false" ht="15" hidden="false" customHeight="false" outlineLevel="0" collapsed="false">
      <c r="A12" s="66" t="s">
        <v>206</v>
      </c>
      <c r="B12" s="66"/>
      <c r="C12" s="66"/>
      <c r="D12" s="58" t="str">
        <f aca="false">IF($B$3="","",IF(COUNTIFS('PERGERAKAN STOK'!$A$5:$A$504,$B$3)=0,"BELUM ADA",INDEX('PERGERAKAN STOK'!$H$5:$H$504,MATCH($B$3,'PERGERAKAN STOK'!$A$5:$A$504,0))))</f>
        <v>CONTOH - tumpah</v>
      </c>
      <c r="E12" s="58"/>
      <c r="F12" s="58"/>
      <c r="G12" s="58"/>
      <c r="H12" s="58"/>
    </row>
    <row r="13" customFormat="false" ht="15" hidden="false" customHeight="false" outlineLevel="0" collapsed="false">
      <c r="A13" s="66" t="s">
        <v>415</v>
      </c>
      <c r="B13" s="66"/>
      <c r="C13" s="66"/>
      <c r="D13" s="58" t="n">
        <f aca="false">IF($B$3="","",IF(COUNTIFS('PERGERAKAN STOK'!$A$5:$A$504,$B$3)=0,"BELUM ADA",INDEX('PERGERAKAN STOK'!$I$5:$I$504,MATCH($B$3,'PERGERAKAN STOK'!$A$5:$A$504,0))))</f>
        <v>0</v>
      </c>
      <c r="E13" s="58"/>
      <c r="F13" s="58"/>
      <c r="G13" s="58"/>
      <c r="H13" s="58"/>
    </row>
    <row r="14" customFormat="false" ht="15" hidden="false" customHeight="false" outlineLevel="0" collapsed="false">
      <c r="A14" s="66" t="s">
        <v>178</v>
      </c>
      <c r="B14" s="66"/>
      <c r="C14" s="66"/>
      <c r="D14" s="58" t="str">
        <f aca="false">IF($B$3="","",IF(COUNTIFS('PERGERAKAN STOK'!$A$5:$A$504,$B$3)=0,"BELUM ADA",INDEX('PERGERAKAN STOK'!$J$5:$J$504,MATCH($B$3,'PERGERAKAN STOK'!$A$5:$A$504,0))))</f>
        <v>Petugas CONTOH</v>
      </c>
      <c r="E14" s="58"/>
      <c r="F14" s="58"/>
      <c r="G14" s="58"/>
      <c r="H14" s="58"/>
    </row>
    <row r="15" customFormat="false" ht="15" hidden="false" customHeight="false" outlineLevel="0" collapsed="false">
      <c r="A15" s="66" t="s">
        <v>208</v>
      </c>
      <c r="B15" s="66"/>
      <c r="C15" s="66"/>
      <c r="D15" s="58" t="str">
        <f aca="false">IF($B$3="","",IF(COUNTIFS('PERGERAKAN STOK'!$A$5:$A$504,$B$3)=0,"BELUM ADA",INDEX('PERGERAKAN STOK'!$K$5:$K$504,MATCH($B$3,'PERGERAKAN STOK'!$A$5:$A$504,0))))</f>
        <v>Disetujui</v>
      </c>
      <c r="E15" s="58"/>
      <c r="F15" s="58"/>
      <c r="G15" s="58"/>
      <c r="H15" s="58"/>
    </row>
    <row r="16" customFormat="false" ht="15" hidden="false" customHeight="false" outlineLevel="0" collapsed="false">
      <c r="A16" s="66" t="s">
        <v>416</v>
      </c>
      <c r="B16" s="66"/>
      <c r="C16" s="66"/>
      <c r="D16" s="61" t="n">
        <f aca="false">IF($B$3="","",IF(COUNTIFS('PERGERAKAN STOK'!$A$5:$A$504,$B$3)=0,"BELUM ADA",INDEX('PERGERAKAN STOK'!$L$5:$L$504,MATCH($B$3,'PERGERAKAN STOK'!$A$5:$A$504,0))))</f>
        <v>24</v>
      </c>
      <c r="E16" s="61"/>
      <c r="F16" s="61"/>
      <c r="G16" s="61"/>
      <c r="H16" s="61"/>
    </row>
    <row r="17" customFormat="false" ht="15" hidden="false" customHeight="false" outlineLevel="0" collapsed="false">
      <c r="A17" s="66" t="s">
        <v>210</v>
      </c>
      <c r="B17" s="66"/>
      <c r="C17" s="66"/>
      <c r="D17" s="61" t="n">
        <f aca="false">IF($B$3="","",IF(COUNTIFS('PERGERAKAN STOK'!$A$5:$A$504,$B$3)=0,"BELUM ADA",INDEX('PERGERAKAN STOK'!$M$5:$M$504,MATCH($B$3,'PERGERAKAN STOK'!$A$5:$A$504,0))))</f>
        <v>480</v>
      </c>
      <c r="E17" s="61"/>
      <c r="F17" s="61"/>
      <c r="G17" s="61"/>
      <c r="H17" s="61"/>
    </row>
    <row r="20" customFormat="false" ht="15" hidden="false" customHeight="false" outlineLevel="0" collapsed="false">
      <c r="A20" s="68" t="s">
        <v>417</v>
      </c>
      <c r="B20" s="68"/>
      <c r="C20" s="68"/>
      <c r="D20" s="68"/>
      <c r="F20" s="68" t="s">
        <v>418</v>
      </c>
      <c r="G20" s="68"/>
      <c r="H20" s="68"/>
    </row>
    <row r="21" customFormat="false" ht="15" hidden="false" customHeight="false" outlineLevel="0" collapsed="false">
      <c r="A21" s="58"/>
      <c r="B21" s="58"/>
      <c r="C21" s="58"/>
      <c r="D21" s="58"/>
      <c r="F21" s="58"/>
      <c r="G21" s="58"/>
      <c r="H21" s="58"/>
    </row>
    <row r="22" customFormat="false" ht="15" hidden="false" customHeight="false" outlineLevel="0" collapsed="false">
      <c r="A22" s="58"/>
      <c r="B22" s="58"/>
      <c r="C22" s="58"/>
      <c r="D22" s="58"/>
      <c r="F22" s="58"/>
      <c r="G22" s="58"/>
      <c r="H22" s="58"/>
    </row>
    <row r="23" customFormat="false" ht="15" hidden="false" customHeight="false" outlineLevel="0" collapsed="false">
      <c r="A23" s="58"/>
      <c r="B23" s="58"/>
      <c r="C23" s="58"/>
      <c r="D23" s="58"/>
      <c r="F23" s="58"/>
      <c r="G23" s="58"/>
      <c r="H23" s="58"/>
    </row>
    <row r="24" customFormat="false" ht="15" hidden="false" customHeight="false" outlineLevel="0" collapsed="false">
      <c r="A24" s="58"/>
      <c r="B24" s="58"/>
      <c r="C24" s="58"/>
      <c r="D24" s="58"/>
      <c r="F24" s="58"/>
      <c r="G24" s="58"/>
      <c r="H24" s="58"/>
    </row>
    <row r="25" customFormat="false" ht="15" hidden="false" customHeight="false" outlineLevel="0" collapsed="false">
      <c r="A25" s="58"/>
      <c r="B25" s="58"/>
      <c r="C25" s="58"/>
      <c r="D25" s="58"/>
      <c r="F25" s="58"/>
      <c r="G25" s="58"/>
      <c r="H25" s="58"/>
    </row>
  </sheetData>
  <mergeCells count="32">
    <mergeCell ref="A1:H1"/>
    <mergeCell ref="A2:H2"/>
    <mergeCell ref="B3:D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20:D20"/>
    <mergeCell ref="F20:H20"/>
    <mergeCell ref="A21:D25"/>
    <mergeCell ref="F21:H25"/>
  </mergeCells>
  <dataValidations count="1">
    <dataValidation allowBlank="false" errorStyle="stop" operator="between" showDropDown="false" showErrorMessage="false" showInputMessage="false" sqref="B3:D3" type="list">
      <formula1>'PERGERAKAN STOK'!$A$5:$A$504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5D3C"/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7" min="6" style="0" width="16"/>
    <col collapsed="false" customWidth="true" hidden="false" outlineLevel="0" max="8" min="8" style="0" width="24"/>
  </cols>
  <sheetData>
    <row r="1" customFormat="false" ht="34" hidden="false" customHeight="true" outlineLevel="0" collapsed="false">
      <c r="A1" s="64" t="s">
        <v>63</v>
      </c>
      <c r="B1" s="64"/>
      <c r="C1" s="64"/>
      <c r="D1" s="64"/>
      <c r="E1" s="64"/>
      <c r="F1" s="64"/>
      <c r="G1" s="64"/>
      <c r="H1" s="64"/>
    </row>
    <row r="2" customFormat="false" ht="22" hidden="false" customHeight="true" outlineLevel="0" collapsed="false">
      <c r="A2" s="65" t="s">
        <v>419</v>
      </c>
      <c r="B2" s="65"/>
      <c r="C2" s="65"/>
      <c r="D2" s="65"/>
      <c r="E2" s="65"/>
      <c r="F2" s="65"/>
      <c r="G2" s="65"/>
      <c r="H2" s="65"/>
    </row>
    <row r="3" customFormat="false" ht="15" hidden="false" customHeight="false" outlineLevel="0" collapsed="false">
      <c r="A3" s="66" t="s">
        <v>173</v>
      </c>
      <c r="B3" s="67" t="s">
        <v>181</v>
      </c>
      <c r="C3" s="67"/>
      <c r="D3" s="67"/>
    </row>
    <row r="5" customFormat="false" ht="15" hidden="false" customHeight="false" outlineLevel="0" collapsed="false">
      <c r="A5" s="68" t="s">
        <v>420</v>
      </c>
      <c r="B5" s="68"/>
      <c r="C5" s="68"/>
      <c r="D5" s="68"/>
      <c r="E5" s="68"/>
      <c r="F5" s="68"/>
      <c r="G5" s="68"/>
      <c r="H5" s="68"/>
    </row>
    <row r="6" customFormat="false" ht="15" hidden="false" customHeight="false" outlineLevel="0" collapsed="false">
      <c r="A6" s="66" t="s">
        <v>414</v>
      </c>
      <c r="B6" s="66"/>
      <c r="C6" s="70" t="n">
        <f aca="false">IF($B$3="","",IF(COUNTIFS('STOK MASUK'!$A$5:$A$504,$B$3)=0,"BELUM ADA",INDEX('STOK MASUK'!$B$5:$B$504,MATCH($B$3,'STOK MASUK'!$A$5:$A$504,0))))</f>
        <v>46325.3333333333</v>
      </c>
      <c r="D6" s="70"/>
      <c r="E6" s="70"/>
      <c r="F6" s="70"/>
      <c r="G6" s="70"/>
      <c r="H6" s="70"/>
    </row>
    <row r="7" customFormat="false" ht="15" hidden="false" customHeight="false" outlineLevel="0" collapsed="false">
      <c r="A7" s="66" t="s">
        <v>126</v>
      </c>
      <c r="B7" s="66"/>
      <c r="C7" s="58" t="str">
        <f aca="false">IF($B$3="","",IF(COUNTIFS('STOK MASUK'!$A$5:$A$504,$B$3)=0,"BELUM ADA",INDEX('STOK MASUK'!$C$5:$C$504,MATCH($B$3,'STOK MASUK'!$A$5:$A$504,0))))</f>
        <v>Supplier CONTOH</v>
      </c>
      <c r="D7" s="58"/>
      <c r="E7" s="58"/>
      <c r="F7" s="58"/>
      <c r="G7" s="58"/>
      <c r="H7" s="58"/>
    </row>
    <row r="8" customFormat="false" ht="15" hidden="false" customHeight="false" outlineLevel="0" collapsed="false">
      <c r="A8" s="66" t="s">
        <v>175</v>
      </c>
      <c r="B8" s="66"/>
      <c r="C8" s="58" t="str">
        <f aca="false">IF($B$3="","",IF(COUNTIFS('STOK MASUK'!$A$5:$A$504,$B$3)=0,"BELUM ADA",INDEX('STOK MASUK'!$D$5:$D$504,MATCH($B$3,'STOK MASUK'!$A$5:$A$504,0))))</f>
        <v>BUKTI-CONTOH-1</v>
      </c>
      <c r="D8" s="58"/>
      <c r="E8" s="58"/>
      <c r="F8" s="58"/>
      <c r="G8" s="58"/>
      <c r="H8" s="58"/>
    </row>
    <row r="9" customFormat="false" ht="15" hidden="false" customHeight="false" outlineLevel="0" collapsed="false">
      <c r="A9" s="66" t="s">
        <v>178</v>
      </c>
      <c r="B9" s="66"/>
      <c r="C9" s="58" t="str">
        <f aca="false">IF($B$3="","",IF(COUNTIFS('STOK MASUK'!$A$5:$A$504,$B$3)=0,"BELUM ADA",INDEX('STOK MASUK'!$K$5:$K$504,MATCH($B$3,'STOK MASUK'!$A$5:$A$504,0))))</f>
        <v>Petugas CONTOH</v>
      </c>
      <c r="D9" s="58"/>
      <c r="E9" s="58"/>
      <c r="F9" s="58"/>
      <c r="G9" s="58"/>
      <c r="H9" s="58"/>
    </row>
    <row r="11" customFormat="false" ht="15" hidden="false" customHeight="false" outlineLevel="0" collapsed="false">
      <c r="A11" s="72" t="s">
        <v>421</v>
      </c>
      <c r="B11" s="72" t="s">
        <v>117</v>
      </c>
      <c r="C11" s="72" t="s">
        <v>118</v>
      </c>
      <c r="D11" s="72" t="s">
        <v>392</v>
      </c>
      <c r="E11" s="72" t="s">
        <v>164</v>
      </c>
      <c r="F11" s="72" t="s">
        <v>422</v>
      </c>
      <c r="G11" s="72" t="s">
        <v>177</v>
      </c>
      <c r="H11" s="72" t="s">
        <v>79</v>
      </c>
    </row>
    <row r="12" customFormat="false" ht="22.35" hidden="false" customHeight="false" outlineLevel="0" collapsed="false">
      <c r="A12" s="58" t="n">
        <v>1</v>
      </c>
      <c r="B12" s="58" t="str">
        <f aca="false">IF($B$3="","",IF(COUNTIFS('STOK MASUK'!$N$5:$N$504,$B$3&amp;"|1")=0,"",INDEX('STOK MASUK'!$E$5:$E$504,MATCH($B$3&amp;"|1",'STOK MASUK'!$N$5:$N$504,0))))</f>
        <v>CONTOH-B01</v>
      </c>
      <c r="C12" s="58" t="str">
        <f aca="false">IF($B$3="","",IF(COUNTIFS('STOK MASUK'!$N$5:$N$504,$B$3&amp;"|1")=0,"",INDEX('STOK MASUK'!$F$5:$F$504,MATCH($B$3&amp;"|1",'STOK MASUK'!$N$5:$N$504,0))))</f>
        <v>Biji kopi</v>
      </c>
      <c r="D12" s="58" t="n">
        <f aca="false">IF($B$3="","",IF(COUNTIFS('STOK MASUK'!$N$5:$N$504,$B$3&amp;"|1")=0,"",INDEX('STOK MASUK'!$G$5:$G$504,MATCH($B$3&amp;"|1",'STOK MASUK'!$N$5:$N$504,0))))</f>
        <v>100</v>
      </c>
      <c r="E12" s="58" t="str">
        <f aca="false">IF($B$3="","",IF(COUNTIFS('STOK MASUK'!$N$5:$N$504,$B$3&amp;"|1")=0,"",INDEX('STOK MASUK'!$H$5:$H$504,MATCH($B$3&amp;"|1",'STOK MASUK'!$N$5:$N$504,0))))</f>
        <v>gram</v>
      </c>
      <c r="F12" s="61" t="n">
        <f aca="false">IF($B$3="","",IF(COUNTIFS('STOK MASUK'!$N$5:$N$504,$B$3&amp;"|1")=0,"",INDEX('STOK MASUK'!$I$5:$I$504,MATCH($B$3&amp;"|1",'STOK MASUK'!$N$5:$N$504,0))))</f>
        <v>15000</v>
      </c>
      <c r="G12" s="61" t="n">
        <f aca="false">IF($B$3="","",IF(COUNTIFS('STOK MASUK'!$N$5:$N$504,$B$3&amp;"|1")=0,"",INDEX('STOK MASUK'!$J$5:$J$504,MATCH($B$3&amp;"|1",'STOK MASUK'!$N$5:$N$504,0))))</f>
        <v>1500000</v>
      </c>
      <c r="H12" s="58" t="str">
        <f aca="false">IF($B$3="","",IF(COUNTIFS('STOK MASUK'!$N$5:$N$504,$B$3&amp;"|1")=0,"",INDEX('STOK MASUK'!$L$5:$L$504,MATCH($B$3&amp;"|1",'STOK MASUK'!$N$5:$N$504,0))))</f>
        <v>CONTOH - pembelian simulasi</v>
      </c>
    </row>
    <row r="13" customFormat="false" ht="15" hidden="false" customHeight="false" outlineLevel="0" collapsed="false">
      <c r="A13" s="58" t="n">
        <v>2</v>
      </c>
      <c r="B13" s="58" t="str">
        <f aca="false">IF($B$3="","",IF(COUNTIFS('STOK MASUK'!$N$5:$N$504,$B$3&amp;"|2")=0,"",INDEX('STOK MASUK'!$E$5:$E$504,MATCH($B$3&amp;"|2",'STOK MASUK'!$N$5:$N$504,0))))</f>
        <v/>
      </c>
      <c r="C13" s="58" t="str">
        <f aca="false">IF($B$3="","",IF(COUNTIFS('STOK MASUK'!$N$5:$N$504,$B$3&amp;"|2")=0,"",INDEX('STOK MASUK'!$F$5:$F$504,MATCH($B$3&amp;"|2",'STOK MASUK'!$N$5:$N$504,0))))</f>
        <v/>
      </c>
      <c r="D13" s="58" t="str">
        <f aca="false">IF($B$3="","",IF(COUNTIFS('STOK MASUK'!$N$5:$N$504,$B$3&amp;"|2")=0,"",INDEX('STOK MASUK'!$G$5:$G$504,MATCH($B$3&amp;"|2",'STOK MASUK'!$N$5:$N$504,0))))</f>
        <v/>
      </c>
      <c r="E13" s="58" t="str">
        <f aca="false">IF($B$3="","",IF(COUNTIFS('STOK MASUK'!$N$5:$N$504,$B$3&amp;"|2")=0,"",INDEX('STOK MASUK'!$H$5:$H$504,MATCH($B$3&amp;"|2",'STOK MASUK'!$N$5:$N$504,0))))</f>
        <v/>
      </c>
      <c r="F13" s="61" t="str">
        <f aca="false">IF($B$3="","",IF(COUNTIFS('STOK MASUK'!$N$5:$N$504,$B$3&amp;"|2")=0,"",INDEX('STOK MASUK'!$I$5:$I$504,MATCH($B$3&amp;"|2",'STOK MASUK'!$N$5:$N$504,0))))</f>
        <v/>
      </c>
      <c r="G13" s="61" t="str">
        <f aca="false">IF($B$3="","",IF(COUNTIFS('STOK MASUK'!$N$5:$N$504,$B$3&amp;"|2")=0,"",INDEX('STOK MASUK'!$J$5:$J$504,MATCH($B$3&amp;"|2",'STOK MASUK'!$N$5:$N$504,0))))</f>
        <v/>
      </c>
      <c r="H13" s="58" t="str">
        <f aca="false">IF($B$3="","",IF(COUNTIFS('STOK MASUK'!$N$5:$N$504,$B$3&amp;"|2")=0,"",INDEX('STOK MASUK'!$L$5:$L$504,MATCH($B$3&amp;"|2",'STOK MASUK'!$N$5:$N$504,0))))</f>
        <v/>
      </c>
    </row>
    <row r="14" customFormat="false" ht="15" hidden="false" customHeight="false" outlineLevel="0" collapsed="false">
      <c r="A14" s="58" t="n">
        <v>3</v>
      </c>
      <c r="B14" s="58" t="str">
        <f aca="false">IF($B$3="","",IF(COUNTIFS('STOK MASUK'!$N$5:$N$504,$B$3&amp;"|3")=0,"",INDEX('STOK MASUK'!$E$5:$E$504,MATCH($B$3&amp;"|3",'STOK MASUK'!$N$5:$N$504,0))))</f>
        <v/>
      </c>
      <c r="C14" s="58" t="str">
        <f aca="false">IF($B$3="","",IF(COUNTIFS('STOK MASUK'!$N$5:$N$504,$B$3&amp;"|3")=0,"",INDEX('STOK MASUK'!$F$5:$F$504,MATCH($B$3&amp;"|3",'STOK MASUK'!$N$5:$N$504,0))))</f>
        <v/>
      </c>
      <c r="D14" s="58" t="str">
        <f aca="false">IF($B$3="","",IF(COUNTIFS('STOK MASUK'!$N$5:$N$504,$B$3&amp;"|3")=0,"",INDEX('STOK MASUK'!$G$5:$G$504,MATCH($B$3&amp;"|3",'STOK MASUK'!$N$5:$N$504,0))))</f>
        <v/>
      </c>
      <c r="E14" s="58" t="str">
        <f aca="false">IF($B$3="","",IF(COUNTIFS('STOK MASUK'!$N$5:$N$504,$B$3&amp;"|3")=0,"",INDEX('STOK MASUK'!$H$5:$H$504,MATCH($B$3&amp;"|3",'STOK MASUK'!$N$5:$N$504,0))))</f>
        <v/>
      </c>
      <c r="F14" s="61" t="str">
        <f aca="false">IF($B$3="","",IF(COUNTIFS('STOK MASUK'!$N$5:$N$504,$B$3&amp;"|3")=0,"",INDEX('STOK MASUK'!$I$5:$I$504,MATCH($B$3&amp;"|3",'STOK MASUK'!$N$5:$N$504,0))))</f>
        <v/>
      </c>
      <c r="G14" s="61" t="str">
        <f aca="false">IF($B$3="","",IF(COUNTIFS('STOK MASUK'!$N$5:$N$504,$B$3&amp;"|3")=0,"",INDEX('STOK MASUK'!$J$5:$J$504,MATCH($B$3&amp;"|3",'STOK MASUK'!$N$5:$N$504,0))))</f>
        <v/>
      </c>
      <c r="H14" s="58" t="str">
        <f aca="false">IF($B$3="","",IF(COUNTIFS('STOK MASUK'!$N$5:$N$504,$B$3&amp;"|3")=0,"",INDEX('STOK MASUK'!$L$5:$L$504,MATCH($B$3&amp;"|3",'STOK MASUK'!$N$5:$N$504,0))))</f>
        <v/>
      </c>
    </row>
    <row r="15" customFormat="false" ht="15" hidden="false" customHeight="false" outlineLevel="0" collapsed="false">
      <c r="A15" s="58" t="n">
        <v>4</v>
      </c>
      <c r="B15" s="58" t="str">
        <f aca="false">IF($B$3="","",IF(COUNTIFS('STOK MASUK'!$N$5:$N$504,$B$3&amp;"|4")=0,"",INDEX('STOK MASUK'!$E$5:$E$504,MATCH($B$3&amp;"|4",'STOK MASUK'!$N$5:$N$504,0))))</f>
        <v/>
      </c>
      <c r="C15" s="58" t="str">
        <f aca="false">IF($B$3="","",IF(COUNTIFS('STOK MASUK'!$N$5:$N$504,$B$3&amp;"|4")=0,"",INDEX('STOK MASUK'!$F$5:$F$504,MATCH($B$3&amp;"|4",'STOK MASUK'!$N$5:$N$504,0))))</f>
        <v/>
      </c>
      <c r="D15" s="58" t="str">
        <f aca="false">IF($B$3="","",IF(COUNTIFS('STOK MASUK'!$N$5:$N$504,$B$3&amp;"|4")=0,"",INDEX('STOK MASUK'!$G$5:$G$504,MATCH($B$3&amp;"|4",'STOK MASUK'!$N$5:$N$504,0))))</f>
        <v/>
      </c>
      <c r="E15" s="58" t="str">
        <f aca="false">IF($B$3="","",IF(COUNTIFS('STOK MASUK'!$N$5:$N$504,$B$3&amp;"|4")=0,"",INDEX('STOK MASUK'!$H$5:$H$504,MATCH($B$3&amp;"|4",'STOK MASUK'!$N$5:$N$504,0))))</f>
        <v/>
      </c>
      <c r="F15" s="61" t="str">
        <f aca="false">IF($B$3="","",IF(COUNTIFS('STOK MASUK'!$N$5:$N$504,$B$3&amp;"|4")=0,"",INDEX('STOK MASUK'!$I$5:$I$504,MATCH($B$3&amp;"|4",'STOK MASUK'!$N$5:$N$504,0))))</f>
        <v/>
      </c>
      <c r="G15" s="61" t="str">
        <f aca="false">IF($B$3="","",IF(COUNTIFS('STOK MASUK'!$N$5:$N$504,$B$3&amp;"|4")=0,"",INDEX('STOK MASUK'!$J$5:$J$504,MATCH($B$3&amp;"|4",'STOK MASUK'!$N$5:$N$504,0))))</f>
        <v/>
      </c>
      <c r="H15" s="58" t="str">
        <f aca="false">IF($B$3="","",IF(COUNTIFS('STOK MASUK'!$N$5:$N$504,$B$3&amp;"|4")=0,"",INDEX('STOK MASUK'!$L$5:$L$504,MATCH($B$3&amp;"|4",'STOK MASUK'!$N$5:$N$504,0))))</f>
        <v/>
      </c>
    </row>
    <row r="16" customFormat="false" ht="15" hidden="false" customHeight="false" outlineLevel="0" collapsed="false">
      <c r="A16" s="58" t="n">
        <v>5</v>
      </c>
      <c r="B16" s="58" t="str">
        <f aca="false">IF($B$3="","",IF(COUNTIFS('STOK MASUK'!$N$5:$N$504,$B$3&amp;"|5")=0,"",INDEX('STOK MASUK'!$E$5:$E$504,MATCH($B$3&amp;"|5",'STOK MASUK'!$N$5:$N$504,0))))</f>
        <v/>
      </c>
      <c r="C16" s="58" t="str">
        <f aca="false">IF($B$3="","",IF(COUNTIFS('STOK MASUK'!$N$5:$N$504,$B$3&amp;"|5")=0,"",INDEX('STOK MASUK'!$F$5:$F$504,MATCH($B$3&amp;"|5",'STOK MASUK'!$N$5:$N$504,0))))</f>
        <v/>
      </c>
      <c r="D16" s="58" t="str">
        <f aca="false">IF($B$3="","",IF(COUNTIFS('STOK MASUK'!$N$5:$N$504,$B$3&amp;"|5")=0,"",INDEX('STOK MASUK'!$G$5:$G$504,MATCH($B$3&amp;"|5",'STOK MASUK'!$N$5:$N$504,0))))</f>
        <v/>
      </c>
      <c r="E16" s="58" t="str">
        <f aca="false">IF($B$3="","",IF(COUNTIFS('STOK MASUK'!$N$5:$N$504,$B$3&amp;"|5")=0,"",INDEX('STOK MASUK'!$H$5:$H$504,MATCH($B$3&amp;"|5",'STOK MASUK'!$N$5:$N$504,0))))</f>
        <v/>
      </c>
      <c r="F16" s="61" t="str">
        <f aca="false">IF($B$3="","",IF(COUNTIFS('STOK MASUK'!$N$5:$N$504,$B$3&amp;"|5")=0,"",INDEX('STOK MASUK'!$I$5:$I$504,MATCH($B$3&amp;"|5",'STOK MASUK'!$N$5:$N$504,0))))</f>
        <v/>
      </c>
      <c r="G16" s="61" t="str">
        <f aca="false">IF($B$3="","",IF(COUNTIFS('STOK MASUK'!$N$5:$N$504,$B$3&amp;"|5")=0,"",INDEX('STOK MASUK'!$J$5:$J$504,MATCH($B$3&amp;"|5",'STOK MASUK'!$N$5:$N$504,0))))</f>
        <v/>
      </c>
      <c r="H16" s="58" t="str">
        <f aca="false">IF($B$3="","",IF(COUNTIFS('STOK MASUK'!$N$5:$N$504,$B$3&amp;"|5")=0,"",INDEX('STOK MASUK'!$L$5:$L$504,MATCH($B$3&amp;"|5",'STOK MASUK'!$N$5:$N$504,0))))</f>
        <v/>
      </c>
    </row>
    <row r="17" customFormat="false" ht="15" hidden="false" customHeight="false" outlineLevel="0" collapsed="false">
      <c r="A17" s="58" t="n">
        <v>6</v>
      </c>
      <c r="B17" s="58" t="str">
        <f aca="false">IF($B$3="","",IF(COUNTIFS('STOK MASUK'!$N$5:$N$504,$B$3&amp;"|6")=0,"",INDEX('STOK MASUK'!$E$5:$E$504,MATCH($B$3&amp;"|6",'STOK MASUK'!$N$5:$N$504,0))))</f>
        <v/>
      </c>
      <c r="C17" s="58" t="str">
        <f aca="false">IF($B$3="","",IF(COUNTIFS('STOK MASUK'!$N$5:$N$504,$B$3&amp;"|6")=0,"",INDEX('STOK MASUK'!$F$5:$F$504,MATCH($B$3&amp;"|6",'STOK MASUK'!$N$5:$N$504,0))))</f>
        <v/>
      </c>
      <c r="D17" s="58" t="str">
        <f aca="false">IF($B$3="","",IF(COUNTIFS('STOK MASUK'!$N$5:$N$504,$B$3&amp;"|6")=0,"",INDEX('STOK MASUK'!$G$5:$G$504,MATCH($B$3&amp;"|6",'STOK MASUK'!$N$5:$N$504,0))))</f>
        <v/>
      </c>
      <c r="E17" s="58" t="str">
        <f aca="false">IF($B$3="","",IF(COUNTIFS('STOK MASUK'!$N$5:$N$504,$B$3&amp;"|6")=0,"",INDEX('STOK MASUK'!$H$5:$H$504,MATCH($B$3&amp;"|6",'STOK MASUK'!$N$5:$N$504,0))))</f>
        <v/>
      </c>
      <c r="F17" s="61" t="str">
        <f aca="false">IF($B$3="","",IF(COUNTIFS('STOK MASUK'!$N$5:$N$504,$B$3&amp;"|6")=0,"",INDEX('STOK MASUK'!$I$5:$I$504,MATCH($B$3&amp;"|6",'STOK MASUK'!$N$5:$N$504,0))))</f>
        <v/>
      </c>
      <c r="G17" s="61" t="str">
        <f aca="false">IF($B$3="","",IF(COUNTIFS('STOK MASUK'!$N$5:$N$504,$B$3&amp;"|6")=0,"",INDEX('STOK MASUK'!$J$5:$J$504,MATCH($B$3&amp;"|6",'STOK MASUK'!$N$5:$N$504,0))))</f>
        <v/>
      </c>
      <c r="H17" s="58" t="str">
        <f aca="false">IF($B$3="","",IF(COUNTIFS('STOK MASUK'!$N$5:$N$504,$B$3&amp;"|6")=0,"",INDEX('STOK MASUK'!$L$5:$L$504,MATCH($B$3&amp;"|6",'STOK MASUK'!$N$5:$N$504,0))))</f>
        <v/>
      </c>
    </row>
    <row r="18" customFormat="false" ht="15" hidden="false" customHeight="false" outlineLevel="0" collapsed="false">
      <c r="A18" s="58" t="n">
        <v>7</v>
      </c>
      <c r="B18" s="58" t="str">
        <f aca="false">IF($B$3="","",IF(COUNTIFS('STOK MASUK'!$N$5:$N$504,$B$3&amp;"|7")=0,"",INDEX('STOK MASUK'!$E$5:$E$504,MATCH($B$3&amp;"|7",'STOK MASUK'!$N$5:$N$504,0))))</f>
        <v/>
      </c>
      <c r="C18" s="58" t="str">
        <f aca="false">IF($B$3="","",IF(COUNTIFS('STOK MASUK'!$N$5:$N$504,$B$3&amp;"|7")=0,"",INDEX('STOK MASUK'!$F$5:$F$504,MATCH($B$3&amp;"|7",'STOK MASUK'!$N$5:$N$504,0))))</f>
        <v/>
      </c>
      <c r="D18" s="58" t="str">
        <f aca="false">IF($B$3="","",IF(COUNTIFS('STOK MASUK'!$N$5:$N$504,$B$3&amp;"|7")=0,"",INDEX('STOK MASUK'!$G$5:$G$504,MATCH($B$3&amp;"|7",'STOK MASUK'!$N$5:$N$504,0))))</f>
        <v/>
      </c>
      <c r="E18" s="58" t="str">
        <f aca="false">IF($B$3="","",IF(COUNTIFS('STOK MASUK'!$N$5:$N$504,$B$3&amp;"|7")=0,"",INDEX('STOK MASUK'!$H$5:$H$504,MATCH($B$3&amp;"|7",'STOK MASUK'!$N$5:$N$504,0))))</f>
        <v/>
      </c>
      <c r="F18" s="61" t="str">
        <f aca="false">IF($B$3="","",IF(COUNTIFS('STOK MASUK'!$N$5:$N$504,$B$3&amp;"|7")=0,"",INDEX('STOK MASUK'!$I$5:$I$504,MATCH($B$3&amp;"|7",'STOK MASUK'!$N$5:$N$504,0))))</f>
        <v/>
      </c>
      <c r="G18" s="61" t="str">
        <f aca="false">IF($B$3="","",IF(COUNTIFS('STOK MASUK'!$N$5:$N$504,$B$3&amp;"|7")=0,"",INDEX('STOK MASUK'!$J$5:$J$504,MATCH($B$3&amp;"|7",'STOK MASUK'!$N$5:$N$504,0))))</f>
        <v/>
      </c>
      <c r="H18" s="58" t="str">
        <f aca="false">IF($B$3="","",IF(COUNTIFS('STOK MASUK'!$N$5:$N$504,$B$3&amp;"|7")=0,"",INDEX('STOK MASUK'!$L$5:$L$504,MATCH($B$3&amp;"|7",'STOK MASUK'!$N$5:$N$504,0))))</f>
        <v/>
      </c>
    </row>
    <row r="19" customFormat="false" ht="15" hidden="false" customHeight="false" outlineLevel="0" collapsed="false">
      <c r="A19" s="58" t="n">
        <v>8</v>
      </c>
      <c r="B19" s="58" t="str">
        <f aca="false">IF($B$3="","",IF(COUNTIFS('STOK MASUK'!$N$5:$N$504,$B$3&amp;"|8")=0,"",INDEX('STOK MASUK'!$E$5:$E$504,MATCH($B$3&amp;"|8",'STOK MASUK'!$N$5:$N$504,0))))</f>
        <v/>
      </c>
      <c r="C19" s="58" t="str">
        <f aca="false">IF($B$3="","",IF(COUNTIFS('STOK MASUK'!$N$5:$N$504,$B$3&amp;"|8")=0,"",INDEX('STOK MASUK'!$F$5:$F$504,MATCH($B$3&amp;"|8",'STOK MASUK'!$N$5:$N$504,0))))</f>
        <v/>
      </c>
      <c r="D19" s="58" t="str">
        <f aca="false">IF($B$3="","",IF(COUNTIFS('STOK MASUK'!$N$5:$N$504,$B$3&amp;"|8")=0,"",INDEX('STOK MASUK'!$G$5:$G$504,MATCH($B$3&amp;"|8",'STOK MASUK'!$N$5:$N$504,0))))</f>
        <v/>
      </c>
      <c r="E19" s="58" t="str">
        <f aca="false">IF($B$3="","",IF(COUNTIFS('STOK MASUK'!$N$5:$N$504,$B$3&amp;"|8")=0,"",INDEX('STOK MASUK'!$H$5:$H$504,MATCH($B$3&amp;"|8",'STOK MASUK'!$N$5:$N$504,0))))</f>
        <v/>
      </c>
      <c r="F19" s="61" t="str">
        <f aca="false">IF($B$3="","",IF(COUNTIFS('STOK MASUK'!$N$5:$N$504,$B$3&amp;"|8")=0,"",INDEX('STOK MASUK'!$I$5:$I$504,MATCH($B$3&amp;"|8",'STOK MASUK'!$N$5:$N$504,0))))</f>
        <v/>
      </c>
      <c r="G19" s="61" t="str">
        <f aca="false">IF($B$3="","",IF(COUNTIFS('STOK MASUK'!$N$5:$N$504,$B$3&amp;"|8")=0,"",INDEX('STOK MASUK'!$J$5:$J$504,MATCH($B$3&amp;"|8",'STOK MASUK'!$N$5:$N$504,0))))</f>
        <v/>
      </c>
      <c r="H19" s="58" t="str">
        <f aca="false">IF($B$3="","",IF(COUNTIFS('STOK MASUK'!$N$5:$N$504,$B$3&amp;"|8")=0,"",INDEX('STOK MASUK'!$L$5:$L$504,MATCH($B$3&amp;"|8",'STOK MASUK'!$N$5:$N$504,0))))</f>
        <v/>
      </c>
    </row>
    <row r="22" customFormat="false" ht="15" hidden="false" customHeight="false" outlineLevel="0" collapsed="false">
      <c r="A22" s="68" t="s">
        <v>423</v>
      </c>
      <c r="B22" s="68"/>
      <c r="C22" s="68"/>
      <c r="D22" s="68"/>
      <c r="F22" s="68" t="s">
        <v>424</v>
      </c>
      <c r="G22" s="68"/>
      <c r="H22" s="68"/>
    </row>
    <row r="23" customFormat="false" ht="15" hidden="false" customHeight="false" outlineLevel="0" collapsed="false">
      <c r="A23" s="58"/>
      <c r="B23" s="58"/>
      <c r="C23" s="58"/>
      <c r="D23" s="58"/>
      <c r="F23" s="58"/>
      <c r="G23" s="58"/>
      <c r="H23" s="58"/>
    </row>
    <row r="24" customFormat="false" ht="15" hidden="false" customHeight="false" outlineLevel="0" collapsed="false">
      <c r="A24" s="58"/>
      <c r="B24" s="58"/>
      <c r="C24" s="58"/>
      <c r="D24" s="58"/>
      <c r="F24" s="58"/>
      <c r="G24" s="58"/>
      <c r="H24" s="58"/>
    </row>
    <row r="25" customFormat="false" ht="15" hidden="false" customHeight="false" outlineLevel="0" collapsed="false">
      <c r="A25" s="58"/>
      <c r="B25" s="58"/>
      <c r="C25" s="58"/>
      <c r="D25" s="58"/>
      <c r="F25" s="58"/>
      <c r="G25" s="58"/>
      <c r="H25" s="58"/>
    </row>
    <row r="26" customFormat="false" ht="15" hidden="false" customHeight="false" outlineLevel="0" collapsed="false">
      <c r="A26" s="58"/>
      <c r="B26" s="58"/>
      <c r="C26" s="58"/>
      <c r="D26" s="58"/>
      <c r="F26" s="58"/>
      <c r="G26" s="58"/>
      <c r="H26" s="58"/>
    </row>
    <row r="27" customFormat="false" ht="15" hidden="false" customHeight="false" outlineLevel="0" collapsed="false">
      <c r="A27" s="58"/>
      <c r="B27" s="58"/>
      <c r="C27" s="58"/>
      <c r="D27" s="58"/>
      <c r="F27" s="58"/>
      <c r="G27" s="58"/>
      <c r="H27" s="58"/>
    </row>
  </sheetData>
  <mergeCells count="16">
    <mergeCell ref="A1:H1"/>
    <mergeCell ref="A2:H2"/>
    <mergeCell ref="B3:D3"/>
    <mergeCell ref="A5:H5"/>
    <mergeCell ref="A6:B6"/>
    <mergeCell ref="C6:H6"/>
    <mergeCell ref="A7:B7"/>
    <mergeCell ref="C7:H7"/>
    <mergeCell ref="A8:B8"/>
    <mergeCell ref="C8:H8"/>
    <mergeCell ref="A9:B9"/>
    <mergeCell ref="C9:H9"/>
    <mergeCell ref="A22:D22"/>
    <mergeCell ref="F22:H22"/>
    <mergeCell ref="A23:D27"/>
    <mergeCell ref="F23:H27"/>
  </mergeCells>
  <dataValidations count="1">
    <dataValidation allowBlank="false" errorStyle="stop" operator="between" showDropDown="false" showErrorMessage="false" showInputMessage="false" sqref="B3:D3" type="list">
      <formula1>'STOK MASUK'!$A$5:$A$504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17664"/>
    <pageSetUpPr fitToPage="false"/>
  </sheetPr>
  <dimension ref="A1:I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4" min="3" style="0" width="16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9" min="8" style="0" width="16"/>
  </cols>
  <sheetData>
    <row r="1" customFormat="false" ht="34" hidden="false" customHeight="true" outlineLevel="0" collapsed="false">
      <c r="A1" s="64" t="s">
        <v>65</v>
      </c>
      <c r="B1" s="64"/>
      <c r="C1" s="64"/>
      <c r="D1" s="64"/>
      <c r="E1" s="64"/>
      <c r="F1" s="64"/>
      <c r="G1" s="64"/>
      <c r="H1" s="64"/>
      <c r="I1" s="64"/>
    </row>
    <row r="2" customFormat="false" ht="22" hidden="false" customHeight="true" outlineLevel="0" collapsed="false">
      <c r="A2" s="65" t="s">
        <v>425</v>
      </c>
      <c r="B2" s="65"/>
      <c r="C2" s="65"/>
      <c r="D2" s="65"/>
      <c r="E2" s="65"/>
      <c r="F2" s="65"/>
      <c r="G2" s="65"/>
      <c r="H2" s="65"/>
      <c r="I2" s="65"/>
    </row>
    <row r="4" customFormat="false" ht="15" hidden="false" customHeight="false" outlineLevel="0" collapsed="false">
      <c r="A4" s="71" t="s">
        <v>426</v>
      </c>
      <c r="B4" s="71" t="s">
        <v>244</v>
      </c>
      <c r="C4" s="71" t="s">
        <v>246</v>
      </c>
      <c r="D4" s="71" t="s">
        <v>427</v>
      </c>
      <c r="E4" s="71" t="s">
        <v>428</v>
      </c>
      <c r="F4" s="71" t="s">
        <v>77</v>
      </c>
      <c r="G4" s="71" t="s">
        <v>79</v>
      </c>
      <c r="H4" s="71" t="s">
        <v>178</v>
      </c>
      <c r="I4" s="71" t="s">
        <v>429</v>
      </c>
    </row>
    <row r="5" customFormat="false" ht="15" hidden="false" customHeight="false" outlineLevel="0" collapsed="false">
      <c r="A5" s="67" t="s">
        <v>430</v>
      </c>
      <c r="B5" s="73" t="n">
        <v>46325</v>
      </c>
      <c r="C5" s="67" t="s">
        <v>258</v>
      </c>
      <c r="D5" s="67" t="s">
        <v>431</v>
      </c>
      <c r="E5" s="67" t="s">
        <v>432</v>
      </c>
      <c r="F5" s="67" t="s">
        <v>433</v>
      </c>
      <c r="G5" s="67"/>
      <c r="H5" s="67" t="s">
        <v>183</v>
      </c>
      <c r="I5" s="67"/>
    </row>
    <row r="6" customFormat="false" ht="15" hidden="false" customHeight="false" outlineLevel="0" collapsed="false">
      <c r="A6" s="67" t="s">
        <v>430</v>
      </c>
      <c r="B6" s="73" t="n">
        <v>46325</v>
      </c>
      <c r="C6" s="67" t="s">
        <v>258</v>
      </c>
      <c r="D6" s="67" t="s">
        <v>431</v>
      </c>
      <c r="E6" s="67" t="s">
        <v>434</v>
      </c>
      <c r="F6" s="67" t="s">
        <v>433</v>
      </c>
      <c r="G6" s="67"/>
      <c r="H6" s="67" t="s">
        <v>183</v>
      </c>
      <c r="I6" s="67"/>
    </row>
    <row r="7" customFormat="false" ht="15" hidden="false" customHeight="false" outlineLevel="0" collapsed="false">
      <c r="A7" s="67" t="s">
        <v>430</v>
      </c>
      <c r="B7" s="73" t="n">
        <v>46325</v>
      </c>
      <c r="C7" s="67" t="s">
        <v>258</v>
      </c>
      <c r="D7" s="67" t="s">
        <v>431</v>
      </c>
      <c r="E7" s="67" t="s">
        <v>435</v>
      </c>
      <c r="F7" s="67" t="s">
        <v>433</v>
      </c>
      <c r="G7" s="67"/>
      <c r="H7" s="67" t="s">
        <v>183</v>
      </c>
      <c r="I7" s="67"/>
    </row>
    <row r="8" customFormat="false" ht="15" hidden="false" customHeight="false" outlineLevel="0" collapsed="false">
      <c r="A8" s="67" t="s">
        <v>430</v>
      </c>
      <c r="B8" s="73" t="n">
        <v>46325</v>
      </c>
      <c r="C8" s="67" t="s">
        <v>258</v>
      </c>
      <c r="D8" s="67" t="s">
        <v>431</v>
      </c>
      <c r="E8" s="67" t="s">
        <v>436</v>
      </c>
      <c r="F8" s="67" t="s">
        <v>433</v>
      </c>
      <c r="G8" s="67"/>
      <c r="H8" s="67" t="s">
        <v>183</v>
      </c>
      <c r="I8" s="67"/>
    </row>
    <row r="9" customFormat="false" ht="15" hidden="false" customHeight="false" outlineLevel="0" collapsed="false">
      <c r="A9" s="67" t="s">
        <v>430</v>
      </c>
      <c r="B9" s="73" t="n">
        <v>46325</v>
      </c>
      <c r="C9" s="67" t="s">
        <v>258</v>
      </c>
      <c r="D9" s="67" t="s">
        <v>431</v>
      </c>
      <c r="E9" s="67" t="s">
        <v>437</v>
      </c>
      <c r="F9" s="67" t="s">
        <v>433</v>
      </c>
      <c r="G9" s="67"/>
      <c r="H9" s="67" t="s">
        <v>183</v>
      </c>
      <c r="I9" s="67"/>
    </row>
    <row r="10" customFormat="false" ht="15" hidden="false" customHeight="false" outlineLevel="0" collapsed="false">
      <c r="A10" s="67" t="s">
        <v>430</v>
      </c>
      <c r="B10" s="73" t="n">
        <v>46325</v>
      </c>
      <c r="C10" s="67" t="s">
        <v>258</v>
      </c>
      <c r="D10" s="67" t="s">
        <v>431</v>
      </c>
      <c r="E10" s="67" t="s">
        <v>438</v>
      </c>
      <c r="F10" s="67" t="s">
        <v>433</v>
      </c>
      <c r="G10" s="67"/>
      <c r="H10" s="67" t="s">
        <v>183</v>
      </c>
      <c r="I10" s="67"/>
    </row>
    <row r="11" customFormat="false" ht="15" hidden="false" customHeight="false" outlineLevel="0" collapsed="false">
      <c r="A11" s="67" t="s">
        <v>430</v>
      </c>
      <c r="B11" s="73" t="n">
        <v>46325</v>
      </c>
      <c r="C11" s="67" t="s">
        <v>258</v>
      </c>
      <c r="D11" s="67" t="s">
        <v>431</v>
      </c>
      <c r="E11" s="67" t="s">
        <v>439</v>
      </c>
      <c r="F11" s="67" t="s">
        <v>433</v>
      </c>
      <c r="G11" s="67"/>
      <c r="H11" s="67" t="s">
        <v>183</v>
      </c>
      <c r="I11" s="67"/>
    </row>
    <row r="12" customFormat="false" ht="15" hidden="false" customHeight="false" outlineLevel="0" collapsed="false">
      <c r="A12" s="67" t="s">
        <v>430</v>
      </c>
      <c r="B12" s="73" t="n">
        <v>46325</v>
      </c>
      <c r="C12" s="67" t="s">
        <v>258</v>
      </c>
      <c r="D12" s="67" t="s">
        <v>431</v>
      </c>
      <c r="E12" s="67" t="s">
        <v>440</v>
      </c>
      <c r="F12" s="67" t="s">
        <v>433</v>
      </c>
      <c r="G12" s="67"/>
      <c r="H12" s="67" t="s">
        <v>183</v>
      </c>
      <c r="I12" s="67"/>
    </row>
    <row r="13" customFormat="false" ht="15" hidden="false" customHeight="false" outlineLevel="0" collapsed="false">
      <c r="A13" s="67" t="s">
        <v>430</v>
      </c>
      <c r="B13" s="73" t="n">
        <v>46325</v>
      </c>
      <c r="C13" s="67" t="s">
        <v>258</v>
      </c>
      <c r="D13" s="67" t="s">
        <v>431</v>
      </c>
      <c r="E13" s="67" t="s">
        <v>441</v>
      </c>
      <c r="F13" s="67" t="s">
        <v>433</v>
      </c>
      <c r="G13" s="67"/>
      <c r="H13" s="67" t="s">
        <v>183</v>
      </c>
      <c r="I13" s="67"/>
    </row>
    <row r="14" customFormat="false" ht="15" hidden="false" customHeight="false" outlineLevel="0" collapsed="false">
      <c r="A14" s="67" t="s">
        <v>430</v>
      </c>
      <c r="B14" s="73" t="n">
        <v>46325</v>
      </c>
      <c r="C14" s="67" t="s">
        <v>258</v>
      </c>
      <c r="D14" s="67" t="s">
        <v>431</v>
      </c>
      <c r="E14" s="67" t="s">
        <v>442</v>
      </c>
      <c r="F14" s="67" t="s">
        <v>433</v>
      </c>
      <c r="G14" s="67"/>
      <c r="H14" s="67" t="s">
        <v>183</v>
      </c>
      <c r="I14" s="67"/>
    </row>
    <row r="15" customFormat="false" ht="15" hidden="false" customHeight="false" outlineLevel="0" collapsed="false">
      <c r="A15" s="67" t="s">
        <v>430</v>
      </c>
      <c r="B15" s="73" t="n">
        <v>46325</v>
      </c>
      <c r="C15" s="67" t="s">
        <v>258</v>
      </c>
      <c r="D15" s="67" t="s">
        <v>443</v>
      </c>
      <c r="E15" s="67" t="s">
        <v>444</v>
      </c>
      <c r="F15" s="67" t="s">
        <v>433</v>
      </c>
      <c r="G15" s="67"/>
      <c r="H15" s="67" t="s">
        <v>183</v>
      </c>
      <c r="I15" s="67"/>
    </row>
    <row r="16" customFormat="false" ht="15" hidden="false" customHeight="false" outlineLevel="0" collapsed="false">
      <c r="A16" s="67" t="s">
        <v>430</v>
      </c>
      <c r="B16" s="73" t="n">
        <v>46325</v>
      </c>
      <c r="C16" s="67" t="s">
        <v>258</v>
      </c>
      <c r="D16" s="67" t="s">
        <v>443</v>
      </c>
      <c r="E16" s="67" t="s">
        <v>445</v>
      </c>
      <c r="F16" s="67" t="s">
        <v>433</v>
      </c>
      <c r="G16" s="67"/>
      <c r="H16" s="67" t="s">
        <v>183</v>
      </c>
      <c r="I16" s="67"/>
    </row>
    <row r="17" customFormat="false" ht="15" hidden="false" customHeight="false" outlineLevel="0" collapsed="false">
      <c r="A17" s="67" t="s">
        <v>430</v>
      </c>
      <c r="B17" s="73" t="n">
        <v>46325</v>
      </c>
      <c r="C17" s="67" t="s">
        <v>258</v>
      </c>
      <c r="D17" s="67" t="s">
        <v>443</v>
      </c>
      <c r="E17" s="67" t="s">
        <v>446</v>
      </c>
      <c r="F17" s="67" t="s">
        <v>433</v>
      </c>
      <c r="G17" s="67"/>
      <c r="H17" s="67" t="s">
        <v>183</v>
      </c>
      <c r="I17" s="67"/>
    </row>
    <row r="18" customFormat="false" ht="15" hidden="false" customHeight="false" outlineLevel="0" collapsed="false">
      <c r="A18" s="67" t="s">
        <v>430</v>
      </c>
      <c r="B18" s="73" t="n">
        <v>46325</v>
      </c>
      <c r="C18" s="67" t="s">
        <v>258</v>
      </c>
      <c r="D18" s="67" t="s">
        <v>443</v>
      </c>
      <c r="E18" s="67" t="s">
        <v>447</v>
      </c>
      <c r="F18" s="67" t="s">
        <v>433</v>
      </c>
      <c r="G18" s="67"/>
      <c r="H18" s="67" t="s">
        <v>183</v>
      </c>
      <c r="I18" s="67"/>
    </row>
    <row r="19" customFormat="false" ht="15" hidden="false" customHeight="false" outlineLevel="0" collapsed="false">
      <c r="A19" s="67" t="s">
        <v>430</v>
      </c>
      <c r="B19" s="73" t="n">
        <v>46325</v>
      </c>
      <c r="C19" s="67" t="s">
        <v>258</v>
      </c>
      <c r="D19" s="67" t="s">
        <v>443</v>
      </c>
      <c r="E19" s="67" t="s">
        <v>448</v>
      </c>
      <c r="F19" s="67" t="s">
        <v>433</v>
      </c>
      <c r="G19" s="67"/>
      <c r="H19" s="67" t="s">
        <v>183</v>
      </c>
      <c r="I19" s="67"/>
    </row>
    <row r="20" customFormat="false" ht="15" hidden="false" customHeight="false" outlineLevel="0" collapsed="false">
      <c r="A20" s="67" t="s">
        <v>430</v>
      </c>
      <c r="B20" s="73" t="n">
        <v>46325</v>
      </c>
      <c r="C20" s="67" t="s">
        <v>258</v>
      </c>
      <c r="D20" s="67" t="s">
        <v>443</v>
      </c>
      <c r="E20" s="67" t="s">
        <v>449</v>
      </c>
      <c r="F20" s="67" t="s">
        <v>433</v>
      </c>
      <c r="G20" s="67"/>
      <c r="H20" s="67" t="s">
        <v>183</v>
      </c>
      <c r="I20" s="67"/>
    </row>
    <row r="21" customFormat="false" ht="15" hidden="false" customHeight="false" outlineLevel="0" collapsed="false">
      <c r="A21" s="67" t="s">
        <v>430</v>
      </c>
      <c r="B21" s="73" t="n">
        <v>46325</v>
      </c>
      <c r="C21" s="67" t="s">
        <v>258</v>
      </c>
      <c r="D21" s="67" t="s">
        <v>443</v>
      </c>
      <c r="E21" s="67" t="s">
        <v>450</v>
      </c>
      <c r="F21" s="67" t="s">
        <v>433</v>
      </c>
      <c r="G21" s="67"/>
      <c r="H21" s="67" t="s">
        <v>183</v>
      </c>
      <c r="I21" s="67"/>
    </row>
    <row r="22" customFormat="false" ht="15" hidden="false" customHeight="false" outlineLevel="0" collapsed="false">
      <c r="A22" s="67" t="s">
        <v>430</v>
      </c>
      <c r="B22" s="73" t="n">
        <v>46325</v>
      </c>
      <c r="C22" s="67" t="s">
        <v>258</v>
      </c>
      <c r="D22" s="67" t="s">
        <v>443</v>
      </c>
      <c r="E22" s="67" t="s">
        <v>451</v>
      </c>
      <c r="F22" s="67" t="s">
        <v>433</v>
      </c>
      <c r="G22" s="67"/>
      <c r="H22" s="67" t="s">
        <v>183</v>
      </c>
      <c r="I22" s="67"/>
    </row>
    <row r="23" customFormat="false" ht="15" hidden="false" customHeight="false" outlineLevel="0" collapsed="false">
      <c r="A23" s="67" t="s">
        <v>430</v>
      </c>
      <c r="B23" s="73" t="n">
        <v>46325</v>
      </c>
      <c r="C23" s="67" t="s">
        <v>258</v>
      </c>
      <c r="D23" s="67" t="s">
        <v>443</v>
      </c>
      <c r="E23" s="67" t="s">
        <v>452</v>
      </c>
      <c r="F23" s="67" t="s">
        <v>433</v>
      </c>
      <c r="G23" s="67"/>
      <c r="H23" s="67" t="s">
        <v>183</v>
      </c>
      <c r="I23" s="67"/>
    </row>
    <row r="24" customFormat="false" ht="15" hidden="false" customHeight="false" outlineLevel="0" collapsed="false">
      <c r="A24" s="67" t="s">
        <v>430</v>
      </c>
      <c r="B24" s="73" t="n">
        <v>46325</v>
      </c>
      <c r="C24" s="67" t="s">
        <v>258</v>
      </c>
      <c r="D24" s="67" t="s">
        <v>443</v>
      </c>
      <c r="E24" s="67" t="s">
        <v>453</v>
      </c>
      <c r="F24" s="67" t="s">
        <v>433</v>
      </c>
      <c r="G24" s="67"/>
      <c r="H24" s="67" t="s">
        <v>183</v>
      </c>
      <c r="I24" s="67"/>
    </row>
    <row r="25" customFormat="false" ht="15" hidden="false" customHeight="false" outlineLevel="0" collapsed="false">
      <c r="A25" s="67"/>
      <c r="B25" s="73"/>
      <c r="C25" s="67"/>
      <c r="D25" s="67"/>
      <c r="E25" s="67"/>
      <c r="F25" s="67"/>
      <c r="G25" s="67"/>
      <c r="H25" s="67"/>
      <c r="I25" s="67"/>
    </row>
    <row r="26" customFormat="false" ht="15" hidden="false" customHeight="false" outlineLevel="0" collapsed="false">
      <c r="A26" s="67"/>
      <c r="B26" s="73"/>
      <c r="C26" s="67"/>
      <c r="D26" s="67"/>
      <c r="E26" s="67"/>
      <c r="F26" s="67"/>
      <c r="G26" s="67"/>
      <c r="H26" s="67"/>
      <c r="I26" s="67"/>
    </row>
    <row r="27" customFormat="false" ht="15" hidden="false" customHeight="false" outlineLevel="0" collapsed="false">
      <c r="A27" s="67"/>
      <c r="B27" s="73"/>
      <c r="C27" s="67"/>
      <c r="D27" s="67"/>
      <c r="E27" s="67"/>
      <c r="F27" s="67"/>
      <c r="G27" s="67"/>
      <c r="H27" s="67"/>
      <c r="I27" s="67"/>
    </row>
    <row r="28" customFormat="false" ht="15" hidden="false" customHeight="false" outlineLevel="0" collapsed="false">
      <c r="A28" s="67"/>
      <c r="B28" s="73"/>
      <c r="C28" s="67"/>
      <c r="D28" s="67"/>
      <c r="E28" s="67"/>
      <c r="F28" s="67"/>
      <c r="G28" s="67"/>
      <c r="H28" s="67"/>
      <c r="I28" s="67"/>
    </row>
    <row r="29" customFormat="false" ht="15" hidden="false" customHeight="false" outlineLevel="0" collapsed="false">
      <c r="A29" s="67"/>
      <c r="B29" s="73"/>
      <c r="C29" s="67"/>
      <c r="D29" s="67"/>
      <c r="E29" s="67"/>
      <c r="F29" s="67"/>
      <c r="G29" s="67"/>
      <c r="H29" s="67"/>
      <c r="I29" s="67"/>
    </row>
    <row r="30" customFormat="false" ht="15" hidden="false" customHeight="false" outlineLevel="0" collapsed="false">
      <c r="A30" s="67"/>
      <c r="B30" s="73"/>
      <c r="C30" s="67"/>
      <c r="D30" s="67"/>
      <c r="E30" s="67"/>
      <c r="F30" s="67"/>
      <c r="G30" s="67"/>
      <c r="H30" s="67"/>
      <c r="I30" s="67"/>
    </row>
    <row r="31" customFormat="false" ht="15" hidden="false" customHeight="false" outlineLevel="0" collapsed="false">
      <c r="A31" s="67"/>
      <c r="B31" s="73"/>
      <c r="C31" s="67"/>
      <c r="D31" s="67"/>
      <c r="E31" s="67"/>
      <c r="F31" s="67"/>
      <c r="G31" s="67"/>
      <c r="H31" s="67"/>
      <c r="I31" s="67"/>
    </row>
    <row r="32" customFormat="false" ht="15" hidden="false" customHeight="false" outlineLevel="0" collapsed="false">
      <c r="A32" s="67"/>
      <c r="B32" s="73"/>
      <c r="C32" s="67"/>
      <c r="D32" s="67"/>
      <c r="E32" s="67"/>
      <c r="F32" s="67"/>
      <c r="G32" s="67"/>
      <c r="H32" s="67"/>
      <c r="I32" s="67"/>
    </row>
    <row r="33" customFormat="false" ht="15" hidden="false" customHeight="false" outlineLevel="0" collapsed="false">
      <c r="A33" s="67"/>
      <c r="B33" s="73"/>
      <c r="C33" s="67"/>
      <c r="D33" s="67"/>
      <c r="E33" s="67"/>
      <c r="F33" s="67"/>
      <c r="G33" s="67"/>
      <c r="H33" s="67"/>
      <c r="I33" s="67"/>
    </row>
    <row r="34" customFormat="false" ht="15" hidden="false" customHeight="false" outlineLevel="0" collapsed="false">
      <c r="A34" s="67"/>
      <c r="B34" s="73"/>
      <c r="C34" s="67"/>
      <c r="D34" s="67"/>
      <c r="E34" s="67"/>
      <c r="F34" s="67"/>
      <c r="G34" s="67"/>
      <c r="H34" s="67"/>
      <c r="I34" s="67"/>
    </row>
    <row r="35" customFormat="false" ht="15" hidden="false" customHeight="false" outlineLevel="0" collapsed="false">
      <c r="A35" s="67"/>
      <c r="B35" s="73"/>
      <c r="C35" s="67"/>
      <c r="D35" s="67"/>
      <c r="E35" s="67"/>
      <c r="F35" s="67"/>
      <c r="G35" s="67"/>
      <c r="H35" s="67"/>
      <c r="I35" s="67"/>
    </row>
    <row r="36" customFormat="false" ht="15" hidden="false" customHeight="false" outlineLevel="0" collapsed="false">
      <c r="A36" s="67"/>
      <c r="B36" s="73"/>
      <c r="C36" s="67"/>
      <c r="D36" s="67"/>
      <c r="E36" s="67"/>
      <c r="F36" s="67"/>
      <c r="G36" s="67"/>
      <c r="H36" s="67"/>
      <c r="I36" s="67"/>
    </row>
    <row r="37" customFormat="false" ht="15" hidden="false" customHeight="false" outlineLevel="0" collapsed="false">
      <c r="A37" s="67"/>
      <c r="B37" s="73"/>
      <c r="C37" s="67"/>
      <c r="D37" s="67"/>
      <c r="E37" s="67"/>
      <c r="F37" s="67"/>
      <c r="G37" s="67"/>
      <c r="H37" s="67"/>
      <c r="I37" s="67"/>
    </row>
    <row r="38" customFormat="false" ht="15" hidden="false" customHeight="false" outlineLevel="0" collapsed="false">
      <c r="A38" s="67"/>
      <c r="B38" s="73"/>
      <c r="C38" s="67"/>
      <c r="D38" s="67"/>
      <c r="E38" s="67"/>
      <c r="F38" s="67"/>
      <c r="G38" s="67"/>
      <c r="H38" s="67"/>
      <c r="I38" s="67"/>
    </row>
    <row r="39" customFormat="false" ht="15" hidden="false" customHeight="false" outlineLevel="0" collapsed="false">
      <c r="A39" s="67"/>
      <c r="B39" s="73"/>
      <c r="C39" s="67"/>
      <c r="D39" s="67"/>
      <c r="E39" s="67"/>
      <c r="F39" s="67"/>
      <c r="G39" s="67"/>
      <c r="H39" s="67"/>
      <c r="I39" s="67"/>
    </row>
    <row r="40" customFormat="false" ht="15" hidden="false" customHeight="false" outlineLevel="0" collapsed="false">
      <c r="A40" s="67"/>
      <c r="B40" s="73"/>
      <c r="C40" s="67"/>
      <c r="D40" s="67"/>
      <c r="E40" s="67"/>
      <c r="F40" s="67"/>
      <c r="G40" s="67"/>
      <c r="H40" s="67"/>
      <c r="I40" s="67"/>
    </row>
    <row r="41" customFormat="false" ht="15" hidden="false" customHeight="false" outlineLevel="0" collapsed="false">
      <c r="A41" s="67"/>
      <c r="B41" s="73"/>
      <c r="C41" s="67"/>
      <c r="D41" s="67"/>
      <c r="E41" s="67"/>
      <c r="F41" s="67"/>
      <c r="G41" s="67"/>
      <c r="H41" s="67"/>
      <c r="I41" s="67"/>
    </row>
    <row r="42" customFormat="false" ht="15" hidden="false" customHeight="false" outlineLevel="0" collapsed="false">
      <c r="A42" s="67"/>
      <c r="B42" s="73"/>
      <c r="C42" s="67"/>
      <c r="D42" s="67"/>
      <c r="E42" s="67"/>
      <c r="F42" s="67"/>
      <c r="G42" s="67"/>
      <c r="H42" s="67"/>
      <c r="I42" s="67"/>
    </row>
    <row r="43" customFormat="false" ht="15" hidden="false" customHeight="false" outlineLevel="0" collapsed="false">
      <c r="A43" s="67"/>
      <c r="B43" s="73"/>
      <c r="C43" s="67"/>
      <c r="D43" s="67"/>
      <c r="E43" s="67"/>
      <c r="F43" s="67"/>
      <c r="G43" s="67"/>
      <c r="H43" s="67"/>
      <c r="I43" s="67"/>
    </row>
    <row r="44" customFormat="false" ht="15" hidden="false" customHeight="false" outlineLevel="0" collapsed="false">
      <c r="A44" s="67"/>
      <c r="B44" s="73"/>
      <c r="C44" s="67"/>
      <c r="D44" s="67"/>
      <c r="E44" s="67"/>
      <c r="F44" s="67"/>
      <c r="G44" s="67"/>
      <c r="H44" s="67"/>
      <c r="I44" s="67"/>
    </row>
    <row r="45" customFormat="false" ht="15" hidden="false" customHeight="false" outlineLevel="0" collapsed="false">
      <c r="A45" s="67"/>
      <c r="B45" s="73"/>
      <c r="C45" s="67"/>
      <c r="D45" s="67"/>
      <c r="E45" s="67"/>
      <c r="F45" s="67"/>
      <c r="G45" s="67"/>
      <c r="H45" s="67"/>
      <c r="I45" s="67"/>
    </row>
    <row r="46" customFormat="false" ht="15" hidden="false" customHeight="false" outlineLevel="0" collapsed="false">
      <c r="A46" s="67"/>
      <c r="B46" s="73"/>
      <c r="C46" s="67"/>
      <c r="D46" s="67"/>
      <c r="E46" s="67"/>
      <c r="F46" s="67"/>
      <c r="G46" s="67"/>
      <c r="H46" s="67"/>
      <c r="I46" s="67"/>
    </row>
    <row r="47" customFormat="false" ht="15" hidden="false" customHeight="false" outlineLevel="0" collapsed="false">
      <c r="A47" s="67"/>
      <c r="B47" s="73"/>
      <c r="C47" s="67"/>
      <c r="D47" s="67"/>
      <c r="E47" s="67"/>
      <c r="F47" s="67"/>
      <c r="G47" s="67"/>
      <c r="H47" s="67"/>
      <c r="I47" s="67"/>
    </row>
    <row r="48" customFormat="false" ht="15" hidden="false" customHeight="false" outlineLevel="0" collapsed="false">
      <c r="A48" s="67"/>
      <c r="B48" s="73"/>
      <c r="C48" s="67"/>
      <c r="D48" s="67"/>
      <c r="E48" s="67"/>
      <c r="F48" s="67"/>
      <c r="G48" s="67"/>
      <c r="H48" s="67"/>
      <c r="I48" s="67"/>
    </row>
    <row r="49" customFormat="false" ht="15" hidden="false" customHeight="false" outlineLevel="0" collapsed="false">
      <c r="A49" s="67"/>
      <c r="B49" s="73"/>
      <c r="C49" s="67"/>
      <c r="D49" s="67"/>
      <c r="E49" s="67"/>
      <c r="F49" s="67"/>
      <c r="G49" s="67"/>
      <c r="H49" s="67"/>
      <c r="I49" s="67"/>
    </row>
    <row r="50" customFormat="false" ht="15" hidden="false" customHeight="false" outlineLevel="0" collapsed="false">
      <c r="A50" s="67"/>
      <c r="B50" s="73"/>
      <c r="C50" s="67"/>
      <c r="D50" s="67"/>
      <c r="E50" s="67"/>
      <c r="F50" s="67"/>
      <c r="G50" s="67"/>
      <c r="H50" s="67"/>
      <c r="I50" s="67"/>
    </row>
    <row r="51" customFormat="false" ht="15" hidden="false" customHeight="false" outlineLevel="0" collapsed="false">
      <c r="A51" s="67"/>
      <c r="B51" s="73"/>
      <c r="C51" s="67"/>
      <c r="D51" s="67"/>
      <c r="E51" s="67"/>
      <c r="F51" s="67"/>
      <c r="G51" s="67"/>
      <c r="H51" s="67"/>
      <c r="I51" s="67"/>
    </row>
    <row r="52" customFormat="false" ht="15" hidden="false" customHeight="false" outlineLevel="0" collapsed="false">
      <c r="A52" s="67"/>
      <c r="B52" s="73"/>
      <c r="C52" s="67"/>
      <c r="D52" s="67"/>
      <c r="E52" s="67"/>
      <c r="F52" s="67"/>
      <c r="G52" s="67"/>
      <c r="H52" s="67"/>
      <c r="I52" s="67"/>
    </row>
    <row r="53" customFormat="false" ht="15" hidden="false" customHeight="false" outlineLevel="0" collapsed="false">
      <c r="A53" s="67"/>
      <c r="B53" s="73"/>
      <c r="C53" s="67"/>
      <c r="D53" s="67"/>
      <c r="E53" s="67"/>
      <c r="F53" s="67"/>
      <c r="G53" s="67"/>
      <c r="H53" s="67"/>
      <c r="I53" s="67"/>
    </row>
    <row r="54" customFormat="false" ht="15" hidden="false" customHeight="false" outlineLevel="0" collapsed="false">
      <c r="A54" s="67"/>
      <c r="B54" s="73"/>
      <c r="C54" s="67"/>
      <c r="D54" s="67"/>
      <c r="E54" s="67"/>
      <c r="F54" s="67"/>
      <c r="G54" s="67"/>
      <c r="H54" s="67"/>
      <c r="I54" s="67"/>
    </row>
    <row r="55" customFormat="false" ht="15" hidden="false" customHeight="false" outlineLevel="0" collapsed="false">
      <c r="A55" s="67"/>
      <c r="B55" s="73"/>
      <c r="C55" s="67"/>
      <c r="D55" s="67"/>
      <c r="E55" s="67"/>
      <c r="F55" s="67"/>
      <c r="G55" s="67"/>
      <c r="H55" s="67"/>
      <c r="I55" s="67"/>
    </row>
    <row r="56" customFormat="false" ht="15" hidden="false" customHeight="false" outlineLevel="0" collapsed="false">
      <c r="A56" s="67"/>
      <c r="B56" s="73"/>
      <c r="C56" s="67"/>
      <c r="D56" s="67"/>
      <c r="E56" s="67"/>
      <c r="F56" s="67"/>
      <c r="G56" s="67"/>
      <c r="H56" s="67"/>
      <c r="I56" s="67"/>
    </row>
    <row r="57" customFormat="false" ht="15" hidden="false" customHeight="false" outlineLevel="0" collapsed="false">
      <c r="A57" s="67"/>
      <c r="B57" s="73"/>
      <c r="C57" s="67"/>
      <c r="D57" s="67"/>
      <c r="E57" s="67"/>
      <c r="F57" s="67"/>
      <c r="G57" s="67"/>
      <c r="H57" s="67"/>
      <c r="I57" s="67"/>
    </row>
    <row r="58" customFormat="false" ht="15" hidden="false" customHeight="false" outlineLevel="0" collapsed="false">
      <c r="A58" s="67"/>
      <c r="B58" s="73"/>
      <c r="C58" s="67"/>
      <c r="D58" s="67"/>
      <c r="E58" s="67"/>
      <c r="F58" s="67"/>
      <c r="G58" s="67"/>
      <c r="H58" s="67"/>
      <c r="I58" s="67"/>
    </row>
    <row r="59" customFormat="false" ht="15" hidden="false" customHeight="false" outlineLevel="0" collapsed="false">
      <c r="A59" s="67"/>
      <c r="B59" s="73"/>
      <c r="C59" s="67"/>
      <c r="D59" s="67"/>
      <c r="E59" s="67"/>
      <c r="F59" s="67"/>
      <c r="G59" s="67"/>
      <c r="H59" s="67"/>
      <c r="I59" s="67"/>
    </row>
    <row r="60" customFormat="false" ht="15" hidden="false" customHeight="false" outlineLevel="0" collapsed="false">
      <c r="A60" s="67"/>
      <c r="B60" s="73"/>
      <c r="C60" s="67"/>
      <c r="D60" s="67"/>
      <c r="E60" s="67"/>
      <c r="F60" s="67"/>
      <c r="G60" s="67"/>
      <c r="H60" s="67"/>
      <c r="I60" s="67"/>
    </row>
    <row r="61" customFormat="false" ht="15" hidden="false" customHeight="false" outlineLevel="0" collapsed="false">
      <c r="A61" s="67"/>
      <c r="B61" s="73"/>
      <c r="C61" s="67"/>
      <c r="D61" s="67"/>
      <c r="E61" s="67"/>
      <c r="F61" s="67"/>
      <c r="G61" s="67"/>
      <c r="H61" s="67"/>
      <c r="I61" s="67"/>
    </row>
    <row r="62" customFormat="false" ht="15" hidden="false" customHeight="false" outlineLevel="0" collapsed="false">
      <c r="A62" s="67"/>
      <c r="B62" s="73"/>
      <c r="C62" s="67"/>
      <c r="D62" s="67"/>
      <c r="E62" s="67"/>
      <c r="F62" s="67"/>
      <c r="G62" s="67"/>
      <c r="H62" s="67"/>
      <c r="I62" s="67"/>
    </row>
    <row r="63" customFormat="false" ht="15" hidden="false" customHeight="false" outlineLevel="0" collapsed="false">
      <c r="A63" s="67"/>
      <c r="B63" s="73"/>
      <c r="C63" s="67"/>
      <c r="D63" s="67"/>
      <c r="E63" s="67"/>
      <c r="F63" s="67"/>
      <c r="G63" s="67"/>
      <c r="H63" s="67"/>
      <c r="I63" s="67"/>
    </row>
    <row r="64" customFormat="false" ht="15" hidden="false" customHeight="false" outlineLevel="0" collapsed="false">
      <c r="A64" s="67"/>
      <c r="B64" s="73"/>
      <c r="C64" s="67"/>
      <c r="D64" s="67"/>
      <c r="E64" s="67"/>
      <c r="F64" s="67"/>
      <c r="G64" s="67"/>
      <c r="H64" s="67"/>
      <c r="I64" s="67"/>
    </row>
    <row r="65" customFormat="false" ht="15" hidden="false" customHeight="false" outlineLevel="0" collapsed="false">
      <c r="A65" s="67"/>
      <c r="B65" s="73"/>
      <c r="C65" s="67"/>
      <c r="D65" s="67"/>
      <c r="E65" s="67"/>
      <c r="F65" s="67"/>
      <c r="G65" s="67"/>
      <c r="H65" s="67"/>
      <c r="I65" s="67"/>
    </row>
    <row r="66" customFormat="false" ht="15" hidden="false" customHeight="false" outlineLevel="0" collapsed="false">
      <c r="A66" s="67"/>
      <c r="B66" s="73"/>
      <c r="C66" s="67"/>
      <c r="D66" s="67"/>
      <c r="E66" s="67"/>
      <c r="F66" s="67"/>
      <c r="G66" s="67"/>
      <c r="H66" s="67"/>
      <c r="I66" s="67"/>
    </row>
    <row r="67" customFormat="false" ht="15" hidden="false" customHeight="false" outlineLevel="0" collapsed="false">
      <c r="A67" s="67"/>
      <c r="B67" s="73"/>
      <c r="C67" s="67"/>
      <c r="D67" s="67"/>
      <c r="E67" s="67"/>
      <c r="F67" s="67"/>
      <c r="G67" s="67"/>
      <c r="H67" s="67"/>
      <c r="I67" s="67"/>
    </row>
    <row r="68" customFormat="false" ht="15" hidden="false" customHeight="false" outlineLevel="0" collapsed="false">
      <c r="A68" s="67"/>
      <c r="B68" s="73"/>
      <c r="C68" s="67"/>
      <c r="D68" s="67"/>
      <c r="E68" s="67"/>
      <c r="F68" s="67"/>
      <c r="G68" s="67"/>
      <c r="H68" s="67"/>
      <c r="I68" s="67"/>
    </row>
    <row r="69" customFormat="false" ht="15" hidden="false" customHeight="false" outlineLevel="0" collapsed="false">
      <c r="A69" s="67"/>
      <c r="B69" s="73"/>
      <c r="C69" s="67"/>
      <c r="D69" s="67"/>
      <c r="E69" s="67"/>
      <c r="F69" s="67"/>
      <c r="G69" s="67"/>
      <c r="H69" s="67"/>
      <c r="I69" s="67"/>
    </row>
    <row r="70" customFormat="false" ht="15" hidden="false" customHeight="false" outlineLevel="0" collapsed="false">
      <c r="A70" s="67"/>
      <c r="B70" s="73"/>
      <c r="C70" s="67"/>
      <c r="D70" s="67"/>
      <c r="E70" s="67"/>
      <c r="F70" s="67"/>
      <c r="G70" s="67"/>
      <c r="H70" s="67"/>
      <c r="I70" s="67"/>
    </row>
    <row r="71" customFormat="false" ht="15" hidden="false" customHeight="false" outlineLevel="0" collapsed="false">
      <c r="A71" s="67"/>
      <c r="B71" s="73"/>
      <c r="C71" s="67"/>
      <c r="D71" s="67"/>
      <c r="E71" s="67"/>
      <c r="F71" s="67"/>
      <c r="G71" s="67"/>
      <c r="H71" s="67"/>
      <c r="I71" s="67"/>
    </row>
    <row r="72" customFormat="false" ht="15" hidden="false" customHeight="false" outlineLevel="0" collapsed="false">
      <c r="A72" s="67"/>
      <c r="B72" s="73"/>
      <c r="C72" s="67"/>
      <c r="D72" s="67"/>
      <c r="E72" s="67"/>
      <c r="F72" s="67"/>
      <c r="G72" s="67"/>
      <c r="H72" s="67"/>
      <c r="I72" s="67"/>
    </row>
    <row r="73" customFormat="false" ht="15" hidden="false" customHeight="false" outlineLevel="0" collapsed="false">
      <c r="A73" s="67"/>
      <c r="B73" s="73"/>
      <c r="C73" s="67"/>
      <c r="D73" s="67"/>
      <c r="E73" s="67"/>
      <c r="F73" s="67"/>
      <c r="G73" s="67"/>
      <c r="H73" s="67"/>
      <c r="I73" s="67"/>
    </row>
    <row r="74" customFormat="false" ht="15" hidden="false" customHeight="false" outlineLevel="0" collapsed="false">
      <c r="A74" s="67"/>
      <c r="B74" s="73"/>
      <c r="C74" s="67"/>
      <c r="D74" s="67"/>
      <c r="E74" s="67"/>
      <c r="F74" s="67"/>
      <c r="G74" s="67"/>
      <c r="H74" s="67"/>
      <c r="I74" s="67"/>
    </row>
    <row r="75" customFormat="false" ht="15" hidden="false" customHeight="false" outlineLevel="0" collapsed="false">
      <c r="A75" s="67"/>
      <c r="B75" s="73"/>
      <c r="C75" s="67"/>
      <c r="D75" s="67"/>
      <c r="E75" s="67"/>
      <c r="F75" s="67"/>
      <c r="G75" s="67"/>
      <c r="H75" s="67"/>
      <c r="I75" s="67"/>
    </row>
    <row r="76" customFormat="false" ht="15" hidden="false" customHeight="false" outlineLevel="0" collapsed="false">
      <c r="A76" s="67"/>
      <c r="B76" s="73"/>
      <c r="C76" s="67"/>
      <c r="D76" s="67"/>
      <c r="E76" s="67"/>
      <c r="F76" s="67"/>
      <c r="G76" s="67"/>
      <c r="H76" s="67"/>
      <c r="I76" s="67"/>
    </row>
    <row r="77" customFormat="false" ht="15" hidden="false" customHeight="false" outlineLevel="0" collapsed="false">
      <c r="A77" s="67"/>
      <c r="B77" s="73"/>
      <c r="C77" s="67"/>
      <c r="D77" s="67"/>
      <c r="E77" s="67"/>
      <c r="F77" s="67"/>
      <c r="G77" s="67"/>
      <c r="H77" s="67"/>
      <c r="I77" s="67"/>
    </row>
    <row r="78" customFormat="false" ht="15" hidden="false" customHeight="false" outlineLevel="0" collapsed="false">
      <c r="A78" s="67"/>
      <c r="B78" s="73"/>
      <c r="C78" s="67"/>
      <c r="D78" s="67"/>
      <c r="E78" s="67"/>
      <c r="F78" s="67"/>
      <c r="G78" s="67"/>
      <c r="H78" s="67"/>
      <c r="I78" s="67"/>
    </row>
    <row r="79" customFormat="false" ht="15" hidden="false" customHeight="false" outlineLevel="0" collapsed="false">
      <c r="A79" s="67"/>
      <c r="B79" s="73"/>
      <c r="C79" s="67"/>
      <c r="D79" s="67"/>
      <c r="E79" s="67"/>
      <c r="F79" s="67"/>
      <c r="G79" s="67"/>
      <c r="H79" s="67"/>
      <c r="I79" s="67"/>
    </row>
    <row r="80" customFormat="false" ht="15" hidden="false" customHeight="false" outlineLevel="0" collapsed="false">
      <c r="A80" s="67"/>
      <c r="B80" s="73"/>
      <c r="C80" s="67"/>
      <c r="D80" s="67"/>
      <c r="E80" s="67"/>
      <c r="F80" s="67"/>
      <c r="G80" s="67"/>
      <c r="H80" s="67"/>
      <c r="I80" s="67"/>
    </row>
    <row r="81" customFormat="false" ht="15" hidden="false" customHeight="false" outlineLevel="0" collapsed="false">
      <c r="A81" s="67"/>
      <c r="B81" s="73"/>
      <c r="C81" s="67"/>
      <c r="D81" s="67"/>
      <c r="E81" s="67"/>
      <c r="F81" s="67"/>
      <c r="G81" s="67"/>
      <c r="H81" s="67"/>
      <c r="I81" s="67"/>
    </row>
    <row r="82" customFormat="false" ht="15" hidden="false" customHeight="false" outlineLevel="0" collapsed="false">
      <c r="A82" s="67"/>
      <c r="B82" s="73"/>
      <c r="C82" s="67"/>
      <c r="D82" s="67"/>
      <c r="E82" s="67"/>
      <c r="F82" s="67"/>
      <c r="G82" s="67"/>
      <c r="H82" s="67"/>
      <c r="I82" s="67"/>
    </row>
    <row r="83" customFormat="false" ht="15" hidden="false" customHeight="false" outlineLevel="0" collapsed="false">
      <c r="A83" s="67"/>
      <c r="B83" s="73"/>
      <c r="C83" s="67"/>
      <c r="D83" s="67"/>
      <c r="E83" s="67"/>
      <c r="F83" s="67"/>
      <c r="G83" s="67"/>
      <c r="H83" s="67"/>
      <c r="I83" s="67"/>
    </row>
    <row r="84" customFormat="false" ht="15" hidden="false" customHeight="false" outlineLevel="0" collapsed="false">
      <c r="A84" s="67"/>
      <c r="B84" s="73"/>
      <c r="C84" s="67"/>
      <c r="D84" s="67"/>
      <c r="E84" s="67"/>
      <c r="F84" s="67"/>
      <c r="G84" s="67"/>
      <c r="H84" s="67"/>
      <c r="I84" s="67"/>
    </row>
    <row r="85" customFormat="false" ht="15" hidden="false" customHeight="false" outlineLevel="0" collapsed="false">
      <c r="A85" s="67"/>
      <c r="B85" s="73"/>
      <c r="C85" s="67"/>
      <c r="D85" s="67"/>
      <c r="E85" s="67"/>
      <c r="F85" s="67"/>
      <c r="G85" s="67"/>
      <c r="H85" s="67"/>
      <c r="I85" s="67"/>
    </row>
    <row r="86" customFormat="false" ht="15" hidden="false" customHeight="false" outlineLevel="0" collapsed="false">
      <c r="A86" s="67"/>
      <c r="B86" s="73"/>
      <c r="C86" s="67"/>
      <c r="D86" s="67"/>
      <c r="E86" s="67"/>
      <c r="F86" s="67"/>
      <c r="G86" s="67"/>
      <c r="H86" s="67"/>
      <c r="I86" s="67"/>
    </row>
    <row r="87" customFormat="false" ht="15" hidden="false" customHeight="false" outlineLevel="0" collapsed="false">
      <c r="A87" s="67"/>
      <c r="B87" s="73"/>
      <c r="C87" s="67"/>
      <c r="D87" s="67"/>
      <c r="E87" s="67"/>
      <c r="F87" s="67"/>
      <c r="G87" s="67"/>
      <c r="H87" s="67"/>
      <c r="I87" s="67"/>
    </row>
    <row r="88" customFormat="false" ht="15" hidden="false" customHeight="false" outlineLevel="0" collapsed="false">
      <c r="A88" s="67"/>
      <c r="B88" s="73"/>
      <c r="C88" s="67"/>
      <c r="D88" s="67"/>
      <c r="E88" s="67"/>
      <c r="F88" s="67"/>
      <c r="G88" s="67"/>
      <c r="H88" s="67"/>
      <c r="I88" s="67"/>
    </row>
    <row r="89" customFormat="false" ht="15" hidden="false" customHeight="false" outlineLevel="0" collapsed="false">
      <c r="A89" s="67"/>
      <c r="B89" s="73"/>
      <c r="C89" s="67"/>
      <c r="D89" s="67"/>
      <c r="E89" s="67"/>
      <c r="F89" s="67"/>
      <c r="G89" s="67"/>
      <c r="H89" s="67"/>
      <c r="I89" s="67"/>
    </row>
    <row r="90" customFormat="false" ht="15" hidden="false" customHeight="false" outlineLevel="0" collapsed="false">
      <c r="A90" s="67"/>
      <c r="B90" s="73"/>
      <c r="C90" s="67"/>
      <c r="D90" s="67"/>
      <c r="E90" s="67"/>
      <c r="F90" s="67"/>
      <c r="G90" s="67"/>
      <c r="H90" s="67"/>
      <c r="I90" s="67"/>
    </row>
    <row r="91" customFormat="false" ht="15" hidden="false" customHeight="false" outlineLevel="0" collapsed="false">
      <c r="A91" s="67"/>
      <c r="B91" s="73"/>
      <c r="C91" s="67"/>
      <c r="D91" s="67"/>
      <c r="E91" s="67"/>
      <c r="F91" s="67"/>
      <c r="G91" s="67"/>
      <c r="H91" s="67"/>
      <c r="I91" s="67"/>
    </row>
    <row r="92" customFormat="false" ht="15" hidden="false" customHeight="false" outlineLevel="0" collapsed="false">
      <c r="A92" s="67"/>
      <c r="B92" s="73"/>
      <c r="C92" s="67"/>
      <c r="D92" s="67"/>
      <c r="E92" s="67"/>
      <c r="F92" s="67"/>
      <c r="G92" s="67"/>
      <c r="H92" s="67"/>
      <c r="I92" s="67"/>
    </row>
    <row r="93" customFormat="false" ht="15" hidden="false" customHeight="false" outlineLevel="0" collapsed="false">
      <c r="A93" s="67"/>
      <c r="B93" s="73"/>
      <c r="C93" s="67"/>
      <c r="D93" s="67"/>
      <c r="E93" s="67"/>
      <c r="F93" s="67"/>
      <c r="G93" s="67"/>
      <c r="H93" s="67"/>
      <c r="I93" s="67"/>
    </row>
    <row r="94" customFormat="false" ht="15" hidden="false" customHeight="false" outlineLevel="0" collapsed="false">
      <c r="A94" s="67"/>
      <c r="B94" s="73"/>
      <c r="C94" s="67"/>
      <c r="D94" s="67"/>
      <c r="E94" s="67"/>
      <c r="F94" s="67"/>
      <c r="G94" s="67"/>
      <c r="H94" s="67"/>
      <c r="I94" s="67"/>
    </row>
    <row r="95" customFormat="false" ht="15" hidden="false" customHeight="false" outlineLevel="0" collapsed="false">
      <c r="A95" s="67"/>
      <c r="B95" s="73"/>
      <c r="C95" s="67"/>
      <c r="D95" s="67"/>
      <c r="E95" s="67"/>
      <c r="F95" s="67"/>
      <c r="G95" s="67"/>
      <c r="H95" s="67"/>
      <c r="I95" s="67"/>
    </row>
    <row r="96" customFormat="false" ht="15" hidden="false" customHeight="false" outlineLevel="0" collapsed="false">
      <c r="A96" s="67"/>
      <c r="B96" s="73"/>
      <c r="C96" s="67"/>
      <c r="D96" s="67"/>
      <c r="E96" s="67"/>
      <c r="F96" s="67"/>
      <c r="G96" s="67"/>
      <c r="H96" s="67"/>
      <c r="I96" s="67"/>
    </row>
    <row r="97" customFormat="false" ht="15" hidden="false" customHeight="false" outlineLevel="0" collapsed="false">
      <c r="A97" s="67"/>
      <c r="B97" s="73"/>
      <c r="C97" s="67"/>
      <c r="D97" s="67"/>
      <c r="E97" s="67"/>
      <c r="F97" s="67"/>
      <c r="G97" s="67"/>
      <c r="H97" s="67"/>
      <c r="I97" s="67"/>
    </row>
    <row r="98" customFormat="false" ht="15" hidden="false" customHeight="false" outlineLevel="0" collapsed="false">
      <c r="A98" s="67"/>
      <c r="B98" s="73"/>
      <c r="C98" s="67"/>
      <c r="D98" s="67"/>
      <c r="E98" s="67"/>
      <c r="F98" s="67"/>
      <c r="G98" s="67"/>
      <c r="H98" s="67"/>
      <c r="I98" s="67"/>
    </row>
    <row r="99" customFormat="false" ht="15" hidden="false" customHeight="false" outlineLevel="0" collapsed="false">
      <c r="A99" s="67"/>
      <c r="B99" s="73"/>
      <c r="C99" s="67"/>
      <c r="D99" s="67"/>
      <c r="E99" s="67"/>
      <c r="F99" s="67"/>
      <c r="G99" s="67"/>
      <c r="H99" s="67"/>
      <c r="I99" s="67"/>
    </row>
    <row r="100" customFormat="false" ht="15" hidden="false" customHeight="false" outlineLevel="0" collapsed="false">
      <c r="A100" s="67"/>
      <c r="B100" s="73"/>
      <c r="C100" s="67"/>
      <c r="D100" s="67"/>
      <c r="E100" s="67"/>
      <c r="F100" s="67"/>
      <c r="G100" s="67"/>
      <c r="H100" s="67"/>
      <c r="I100" s="67"/>
    </row>
    <row r="101" customFormat="false" ht="15" hidden="false" customHeight="false" outlineLevel="0" collapsed="false">
      <c r="A101" s="67"/>
      <c r="B101" s="73"/>
      <c r="C101" s="67"/>
      <c r="D101" s="67"/>
      <c r="E101" s="67"/>
      <c r="F101" s="67"/>
      <c r="G101" s="67"/>
      <c r="H101" s="67"/>
      <c r="I101" s="67"/>
    </row>
    <row r="102" customFormat="false" ht="15" hidden="false" customHeight="false" outlineLevel="0" collapsed="false">
      <c r="A102" s="67"/>
      <c r="B102" s="73"/>
      <c r="C102" s="67"/>
      <c r="D102" s="67"/>
      <c r="E102" s="67"/>
      <c r="F102" s="67"/>
      <c r="G102" s="67"/>
      <c r="H102" s="67"/>
      <c r="I102" s="67"/>
    </row>
    <row r="103" customFormat="false" ht="15" hidden="false" customHeight="false" outlineLevel="0" collapsed="false">
      <c r="A103" s="67"/>
      <c r="B103" s="73"/>
      <c r="C103" s="67"/>
      <c r="D103" s="67"/>
      <c r="E103" s="67"/>
      <c r="F103" s="67"/>
      <c r="G103" s="67"/>
      <c r="H103" s="67"/>
      <c r="I103" s="67"/>
    </row>
    <row r="104" customFormat="false" ht="15" hidden="false" customHeight="false" outlineLevel="0" collapsed="false">
      <c r="A104" s="67"/>
      <c r="B104" s="73"/>
      <c r="C104" s="67"/>
      <c r="D104" s="67"/>
      <c r="E104" s="67"/>
      <c r="F104" s="67"/>
      <c r="G104" s="67"/>
      <c r="H104" s="67"/>
      <c r="I104" s="67"/>
    </row>
    <row r="105" customFormat="false" ht="15" hidden="false" customHeight="false" outlineLevel="0" collapsed="false">
      <c r="A105" s="67"/>
      <c r="B105" s="73"/>
      <c r="C105" s="67"/>
      <c r="D105" s="67"/>
      <c r="E105" s="67"/>
      <c r="F105" s="67"/>
      <c r="G105" s="67"/>
      <c r="H105" s="67"/>
      <c r="I105" s="67"/>
    </row>
    <row r="106" customFormat="false" ht="15" hidden="false" customHeight="false" outlineLevel="0" collapsed="false">
      <c r="A106" s="67"/>
      <c r="B106" s="73"/>
      <c r="C106" s="67"/>
      <c r="D106" s="67"/>
      <c r="E106" s="67"/>
      <c r="F106" s="67"/>
      <c r="G106" s="67"/>
      <c r="H106" s="67"/>
      <c r="I106" s="67"/>
    </row>
    <row r="107" customFormat="false" ht="15" hidden="false" customHeight="false" outlineLevel="0" collapsed="false">
      <c r="A107" s="67"/>
      <c r="B107" s="73"/>
      <c r="C107" s="67"/>
      <c r="D107" s="67"/>
      <c r="E107" s="67"/>
      <c r="F107" s="67"/>
      <c r="G107" s="67"/>
      <c r="H107" s="67"/>
      <c r="I107" s="67"/>
    </row>
    <row r="108" customFormat="false" ht="15" hidden="false" customHeight="false" outlineLevel="0" collapsed="false">
      <c r="A108" s="67"/>
      <c r="B108" s="73"/>
      <c r="C108" s="67"/>
      <c r="D108" s="67"/>
      <c r="E108" s="67"/>
      <c r="F108" s="67"/>
      <c r="G108" s="67"/>
      <c r="H108" s="67"/>
      <c r="I108" s="67"/>
    </row>
    <row r="109" customFormat="false" ht="15" hidden="false" customHeight="false" outlineLevel="0" collapsed="false">
      <c r="A109" s="67"/>
      <c r="B109" s="73"/>
      <c r="C109" s="67"/>
      <c r="D109" s="67"/>
      <c r="E109" s="67"/>
      <c r="F109" s="67"/>
      <c r="G109" s="67"/>
      <c r="H109" s="67"/>
      <c r="I109" s="67"/>
    </row>
    <row r="110" customFormat="false" ht="15" hidden="false" customHeight="false" outlineLevel="0" collapsed="false">
      <c r="A110" s="67"/>
      <c r="B110" s="73"/>
      <c r="C110" s="67"/>
      <c r="D110" s="67"/>
      <c r="E110" s="67"/>
      <c r="F110" s="67"/>
      <c r="G110" s="67"/>
      <c r="H110" s="67"/>
      <c r="I110" s="67"/>
    </row>
    <row r="111" customFormat="false" ht="15" hidden="false" customHeight="false" outlineLevel="0" collapsed="false">
      <c r="A111" s="67"/>
      <c r="B111" s="73"/>
      <c r="C111" s="67"/>
      <c r="D111" s="67"/>
      <c r="E111" s="67"/>
      <c r="F111" s="67"/>
      <c r="G111" s="67"/>
      <c r="H111" s="67"/>
      <c r="I111" s="67"/>
    </row>
    <row r="112" customFormat="false" ht="15" hidden="false" customHeight="false" outlineLevel="0" collapsed="false">
      <c r="A112" s="67"/>
      <c r="B112" s="73"/>
      <c r="C112" s="67"/>
      <c r="D112" s="67"/>
      <c r="E112" s="67"/>
      <c r="F112" s="67"/>
      <c r="G112" s="67"/>
      <c r="H112" s="67"/>
      <c r="I112" s="67"/>
    </row>
    <row r="113" customFormat="false" ht="15" hidden="false" customHeight="false" outlineLevel="0" collapsed="false">
      <c r="A113" s="67"/>
      <c r="B113" s="73"/>
      <c r="C113" s="67"/>
      <c r="D113" s="67"/>
      <c r="E113" s="67"/>
      <c r="F113" s="67"/>
      <c r="G113" s="67"/>
      <c r="H113" s="67"/>
      <c r="I113" s="67"/>
    </row>
    <row r="114" customFormat="false" ht="15" hidden="false" customHeight="false" outlineLevel="0" collapsed="false">
      <c r="A114" s="67"/>
      <c r="B114" s="73"/>
      <c r="C114" s="67"/>
      <c r="D114" s="67"/>
      <c r="E114" s="67"/>
      <c r="F114" s="67"/>
      <c r="G114" s="67"/>
      <c r="H114" s="67"/>
      <c r="I114" s="67"/>
    </row>
    <row r="115" customFormat="false" ht="15" hidden="false" customHeight="false" outlineLevel="0" collapsed="false">
      <c r="A115" s="67"/>
      <c r="B115" s="73"/>
      <c r="C115" s="67"/>
      <c r="D115" s="67"/>
      <c r="E115" s="67"/>
      <c r="F115" s="67"/>
      <c r="G115" s="67"/>
      <c r="H115" s="67"/>
      <c r="I115" s="67"/>
    </row>
    <row r="116" customFormat="false" ht="15" hidden="false" customHeight="false" outlineLevel="0" collapsed="false">
      <c r="A116" s="67"/>
      <c r="B116" s="73"/>
      <c r="C116" s="67"/>
      <c r="D116" s="67"/>
      <c r="E116" s="67"/>
      <c r="F116" s="67"/>
      <c r="G116" s="67"/>
      <c r="H116" s="67"/>
      <c r="I116" s="67"/>
    </row>
    <row r="117" customFormat="false" ht="15" hidden="false" customHeight="false" outlineLevel="0" collapsed="false">
      <c r="A117" s="67"/>
      <c r="B117" s="73"/>
      <c r="C117" s="67"/>
      <c r="D117" s="67"/>
      <c r="E117" s="67"/>
      <c r="F117" s="67"/>
      <c r="G117" s="67"/>
      <c r="H117" s="67"/>
      <c r="I117" s="67"/>
    </row>
    <row r="118" customFormat="false" ht="15" hidden="false" customHeight="false" outlineLevel="0" collapsed="false">
      <c r="A118" s="67"/>
      <c r="B118" s="73"/>
      <c r="C118" s="67"/>
      <c r="D118" s="67"/>
      <c r="E118" s="67"/>
      <c r="F118" s="67"/>
      <c r="G118" s="67"/>
      <c r="H118" s="67"/>
      <c r="I118" s="67"/>
    </row>
    <row r="119" customFormat="false" ht="15" hidden="false" customHeight="false" outlineLevel="0" collapsed="false">
      <c r="A119" s="67"/>
      <c r="B119" s="73"/>
      <c r="C119" s="67"/>
      <c r="D119" s="67"/>
      <c r="E119" s="67"/>
      <c r="F119" s="67"/>
      <c r="G119" s="67"/>
      <c r="H119" s="67"/>
      <c r="I119" s="67"/>
    </row>
    <row r="120" customFormat="false" ht="15" hidden="false" customHeight="false" outlineLevel="0" collapsed="false">
      <c r="A120" s="67"/>
      <c r="B120" s="73"/>
      <c r="C120" s="67"/>
      <c r="D120" s="67"/>
      <c r="E120" s="67"/>
      <c r="F120" s="67"/>
      <c r="G120" s="67"/>
      <c r="H120" s="67"/>
      <c r="I120" s="67"/>
    </row>
    <row r="121" customFormat="false" ht="15" hidden="false" customHeight="false" outlineLevel="0" collapsed="false">
      <c r="A121" s="67"/>
      <c r="B121" s="73"/>
      <c r="C121" s="67"/>
      <c r="D121" s="67"/>
      <c r="E121" s="67"/>
      <c r="F121" s="67"/>
      <c r="G121" s="67"/>
      <c r="H121" s="67"/>
      <c r="I121" s="67"/>
    </row>
    <row r="122" customFormat="false" ht="15" hidden="false" customHeight="false" outlineLevel="0" collapsed="false">
      <c r="A122" s="67"/>
      <c r="B122" s="73"/>
      <c r="C122" s="67"/>
      <c r="D122" s="67"/>
      <c r="E122" s="67"/>
      <c r="F122" s="67"/>
      <c r="G122" s="67"/>
      <c r="H122" s="67"/>
      <c r="I122" s="67"/>
    </row>
    <row r="123" customFormat="false" ht="15" hidden="false" customHeight="false" outlineLevel="0" collapsed="false">
      <c r="A123" s="67"/>
      <c r="B123" s="73"/>
      <c r="C123" s="67"/>
      <c r="D123" s="67"/>
      <c r="E123" s="67"/>
      <c r="F123" s="67"/>
      <c r="G123" s="67"/>
      <c r="H123" s="67"/>
      <c r="I123" s="67"/>
    </row>
    <row r="124" customFormat="false" ht="15" hidden="false" customHeight="false" outlineLevel="0" collapsed="false">
      <c r="A124" s="67"/>
      <c r="B124" s="73"/>
      <c r="C124" s="67"/>
      <c r="D124" s="67"/>
      <c r="E124" s="67"/>
      <c r="F124" s="67"/>
      <c r="G124" s="67"/>
      <c r="H124" s="67"/>
      <c r="I124" s="67"/>
    </row>
    <row r="125" customFormat="false" ht="15" hidden="false" customHeight="false" outlineLevel="0" collapsed="false">
      <c r="A125" s="67"/>
      <c r="B125" s="73"/>
      <c r="C125" s="67"/>
      <c r="D125" s="67"/>
      <c r="E125" s="67"/>
      <c r="F125" s="67"/>
      <c r="G125" s="67"/>
      <c r="H125" s="67"/>
      <c r="I125" s="67"/>
    </row>
    <row r="126" customFormat="false" ht="15" hidden="false" customHeight="false" outlineLevel="0" collapsed="false">
      <c r="A126" s="67"/>
      <c r="B126" s="73"/>
      <c r="C126" s="67"/>
      <c r="D126" s="67"/>
      <c r="E126" s="67"/>
      <c r="F126" s="67"/>
      <c r="G126" s="67"/>
      <c r="H126" s="67"/>
      <c r="I126" s="67"/>
    </row>
    <row r="127" customFormat="false" ht="15" hidden="false" customHeight="false" outlineLevel="0" collapsed="false">
      <c r="A127" s="67"/>
      <c r="B127" s="73"/>
      <c r="C127" s="67"/>
      <c r="D127" s="67"/>
      <c r="E127" s="67"/>
      <c r="F127" s="67"/>
      <c r="G127" s="67"/>
      <c r="H127" s="67"/>
      <c r="I127" s="67"/>
    </row>
    <row r="128" customFormat="false" ht="15" hidden="false" customHeight="false" outlineLevel="0" collapsed="false">
      <c r="A128" s="67"/>
      <c r="B128" s="73"/>
      <c r="C128" s="67"/>
      <c r="D128" s="67"/>
      <c r="E128" s="67"/>
      <c r="F128" s="67"/>
      <c r="G128" s="67"/>
      <c r="H128" s="67"/>
      <c r="I128" s="67"/>
    </row>
    <row r="129" customFormat="false" ht="15" hidden="false" customHeight="false" outlineLevel="0" collapsed="false">
      <c r="A129" s="67"/>
      <c r="B129" s="73"/>
      <c r="C129" s="67"/>
      <c r="D129" s="67"/>
      <c r="E129" s="67"/>
      <c r="F129" s="67"/>
      <c r="G129" s="67"/>
      <c r="H129" s="67"/>
      <c r="I129" s="67"/>
    </row>
    <row r="130" customFormat="false" ht="15" hidden="false" customHeight="false" outlineLevel="0" collapsed="false">
      <c r="A130" s="67"/>
      <c r="B130" s="73"/>
      <c r="C130" s="67"/>
      <c r="D130" s="67"/>
      <c r="E130" s="67"/>
      <c r="F130" s="67"/>
      <c r="G130" s="67"/>
      <c r="H130" s="67"/>
      <c r="I130" s="67"/>
    </row>
    <row r="131" customFormat="false" ht="15" hidden="false" customHeight="false" outlineLevel="0" collapsed="false">
      <c r="A131" s="67"/>
      <c r="B131" s="73"/>
      <c r="C131" s="67"/>
      <c r="D131" s="67"/>
      <c r="E131" s="67"/>
      <c r="F131" s="67"/>
      <c r="G131" s="67"/>
      <c r="H131" s="67"/>
      <c r="I131" s="67"/>
    </row>
    <row r="132" customFormat="false" ht="15" hidden="false" customHeight="false" outlineLevel="0" collapsed="false">
      <c r="A132" s="67"/>
      <c r="B132" s="73"/>
      <c r="C132" s="67"/>
      <c r="D132" s="67"/>
      <c r="E132" s="67"/>
      <c r="F132" s="67"/>
      <c r="G132" s="67"/>
      <c r="H132" s="67"/>
      <c r="I132" s="67"/>
    </row>
    <row r="133" customFormat="false" ht="15" hidden="false" customHeight="false" outlineLevel="0" collapsed="false">
      <c r="A133" s="67"/>
      <c r="B133" s="73"/>
      <c r="C133" s="67"/>
      <c r="D133" s="67"/>
      <c r="E133" s="67"/>
      <c r="F133" s="67"/>
      <c r="G133" s="67"/>
      <c r="H133" s="67"/>
      <c r="I133" s="67"/>
    </row>
    <row r="134" customFormat="false" ht="15" hidden="false" customHeight="false" outlineLevel="0" collapsed="false">
      <c r="A134" s="67"/>
      <c r="B134" s="73"/>
      <c r="C134" s="67"/>
      <c r="D134" s="67"/>
      <c r="E134" s="67"/>
      <c r="F134" s="67"/>
      <c r="G134" s="67"/>
      <c r="H134" s="67"/>
      <c r="I134" s="67"/>
    </row>
    <row r="135" customFormat="false" ht="15" hidden="false" customHeight="false" outlineLevel="0" collapsed="false">
      <c r="A135" s="67"/>
      <c r="B135" s="73"/>
      <c r="C135" s="67"/>
      <c r="D135" s="67"/>
      <c r="E135" s="67"/>
      <c r="F135" s="67"/>
      <c r="G135" s="67"/>
      <c r="H135" s="67"/>
      <c r="I135" s="67"/>
    </row>
    <row r="136" customFormat="false" ht="15" hidden="false" customHeight="false" outlineLevel="0" collapsed="false">
      <c r="A136" s="67"/>
      <c r="B136" s="73"/>
      <c r="C136" s="67"/>
      <c r="D136" s="67"/>
      <c r="E136" s="67"/>
      <c r="F136" s="67"/>
      <c r="G136" s="67"/>
      <c r="H136" s="67"/>
      <c r="I136" s="67"/>
    </row>
    <row r="137" customFormat="false" ht="15" hidden="false" customHeight="false" outlineLevel="0" collapsed="false">
      <c r="A137" s="67"/>
      <c r="B137" s="73"/>
      <c r="C137" s="67"/>
      <c r="D137" s="67"/>
      <c r="E137" s="67"/>
      <c r="F137" s="67"/>
      <c r="G137" s="67"/>
      <c r="H137" s="67"/>
      <c r="I137" s="67"/>
    </row>
    <row r="138" customFormat="false" ht="15" hidden="false" customHeight="false" outlineLevel="0" collapsed="false">
      <c r="A138" s="67"/>
      <c r="B138" s="73"/>
      <c r="C138" s="67"/>
      <c r="D138" s="67"/>
      <c r="E138" s="67"/>
      <c r="F138" s="67"/>
      <c r="G138" s="67"/>
      <c r="H138" s="67"/>
      <c r="I138" s="67"/>
    </row>
    <row r="139" customFormat="false" ht="15" hidden="false" customHeight="false" outlineLevel="0" collapsed="false">
      <c r="A139" s="67"/>
      <c r="B139" s="73"/>
      <c r="C139" s="67"/>
      <c r="D139" s="67"/>
      <c r="E139" s="67"/>
      <c r="F139" s="67"/>
      <c r="G139" s="67"/>
      <c r="H139" s="67"/>
      <c r="I139" s="67"/>
    </row>
    <row r="140" customFormat="false" ht="15" hidden="false" customHeight="false" outlineLevel="0" collapsed="false">
      <c r="A140" s="67"/>
      <c r="B140" s="73"/>
      <c r="C140" s="67"/>
      <c r="D140" s="67"/>
      <c r="E140" s="67"/>
      <c r="F140" s="67"/>
      <c r="G140" s="67"/>
      <c r="H140" s="67"/>
      <c r="I140" s="67"/>
    </row>
    <row r="141" customFormat="false" ht="15" hidden="false" customHeight="false" outlineLevel="0" collapsed="false">
      <c r="A141" s="67"/>
      <c r="B141" s="73"/>
      <c r="C141" s="67"/>
      <c r="D141" s="67"/>
      <c r="E141" s="67"/>
      <c r="F141" s="67"/>
      <c r="G141" s="67"/>
      <c r="H141" s="67"/>
      <c r="I141" s="67"/>
    </row>
    <row r="142" customFormat="false" ht="15" hidden="false" customHeight="false" outlineLevel="0" collapsed="false">
      <c r="A142" s="67"/>
      <c r="B142" s="73"/>
      <c r="C142" s="67"/>
      <c r="D142" s="67"/>
      <c r="E142" s="67"/>
      <c r="F142" s="67"/>
      <c r="G142" s="67"/>
      <c r="H142" s="67"/>
      <c r="I142" s="67"/>
    </row>
    <row r="143" customFormat="false" ht="15" hidden="false" customHeight="false" outlineLevel="0" collapsed="false">
      <c r="A143" s="67"/>
      <c r="B143" s="73"/>
      <c r="C143" s="67"/>
      <c r="D143" s="67"/>
      <c r="E143" s="67"/>
      <c r="F143" s="67"/>
      <c r="G143" s="67"/>
      <c r="H143" s="67"/>
      <c r="I143" s="67"/>
    </row>
    <row r="144" customFormat="false" ht="15" hidden="false" customHeight="false" outlineLevel="0" collapsed="false">
      <c r="A144" s="67"/>
      <c r="B144" s="73"/>
      <c r="C144" s="67"/>
      <c r="D144" s="67"/>
      <c r="E144" s="67"/>
      <c r="F144" s="67"/>
      <c r="G144" s="67"/>
      <c r="H144" s="67"/>
      <c r="I144" s="67"/>
    </row>
    <row r="145" customFormat="false" ht="15" hidden="false" customHeight="false" outlineLevel="0" collapsed="false">
      <c r="A145" s="67"/>
      <c r="B145" s="73"/>
      <c r="C145" s="67"/>
      <c r="D145" s="67"/>
      <c r="E145" s="67"/>
      <c r="F145" s="67"/>
      <c r="G145" s="67"/>
      <c r="H145" s="67"/>
      <c r="I145" s="67"/>
    </row>
    <row r="146" customFormat="false" ht="15" hidden="false" customHeight="false" outlineLevel="0" collapsed="false">
      <c r="A146" s="67"/>
      <c r="B146" s="73"/>
      <c r="C146" s="67"/>
      <c r="D146" s="67"/>
      <c r="E146" s="67"/>
      <c r="F146" s="67"/>
      <c r="G146" s="67"/>
      <c r="H146" s="67"/>
      <c r="I146" s="67"/>
    </row>
    <row r="147" customFormat="false" ht="15" hidden="false" customHeight="false" outlineLevel="0" collapsed="false">
      <c r="A147" s="67"/>
      <c r="B147" s="73"/>
      <c r="C147" s="67"/>
      <c r="D147" s="67"/>
      <c r="E147" s="67"/>
      <c r="F147" s="67"/>
      <c r="G147" s="67"/>
      <c r="H147" s="67"/>
      <c r="I147" s="67"/>
    </row>
    <row r="148" customFormat="false" ht="15" hidden="false" customHeight="false" outlineLevel="0" collapsed="false">
      <c r="A148" s="67"/>
      <c r="B148" s="73"/>
      <c r="C148" s="67"/>
      <c r="D148" s="67"/>
      <c r="E148" s="67"/>
      <c r="F148" s="67"/>
      <c r="G148" s="67"/>
      <c r="H148" s="67"/>
      <c r="I148" s="67"/>
    </row>
    <row r="149" customFormat="false" ht="15" hidden="false" customHeight="false" outlineLevel="0" collapsed="false">
      <c r="A149" s="67"/>
      <c r="B149" s="73"/>
      <c r="C149" s="67"/>
      <c r="D149" s="67"/>
      <c r="E149" s="67"/>
      <c r="F149" s="67"/>
      <c r="G149" s="67"/>
      <c r="H149" s="67"/>
      <c r="I149" s="67"/>
    </row>
    <row r="150" customFormat="false" ht="15" hidden="false" customHeight="false" outlineLevel="0" collapsed="false">
      <c r="A150" s="67"/>
      <c r="B150" s="73"/>
      <c r="C150" s="67"/>
      <c r="D150" s="67"/>
      <c r="E150" s="67"/>
      <c r="F150" s="67"/>
      <c r="G150" s="67"/>
      <c r="H150" s="67"/>
      <c r="I150" s="67"/>
    </row>
    <row r="151" customFormat="false" ht="15" hidden="false" customHeight="false" outlineLevel="0" collapsed="false">
      <c r="A151" s="67"/>
      <c r="B151" s="73"/>
      <c r="C151" s="67"/>
      <c r="D151" s="67"/>
      <c r="E151" s="67"/>
      <c r="F151" s="67"/>
      <c r="G151" s="67"/>
      <c r="H151" s="67"/>
      <c r="I151" s="67"/>
    </row>
    <row r="152" customFormat="false" ht="15" hidden="false" customHeight="false" outlineLevel="0" collapsed="false">
      <c r="A152" s="67"/>
      <c r="B152" s="73"/>
      <c r="C152" s="67"/>
      <c r="D152" s="67"/>
      <c r="E152" s="67"/>
      <c r="F152" s="67"/>
      <c r="G152" s="67"/>
      <c r="H152" s="67"/>
      <c r="I152" s="67"/>
    </row>
    <row r="153" customFormat="false" ht="15" hidden="false" customHeight="false" outlineLevel="0" collapsed="false">
      <c r="A153" s="67"/>
      <c r="B153" s="73"/>
      <c r="C153" s="67"/>
      <c r="D153" s="67"/>
      <c r="E153" s="67"/>
      <c r="F153" s="67"/>
      <c r="G153" s="67"/>
      <c r="H153" s="67"/>
      <c r="I153" s="67"/>
    </row>
    <row r="154" customFormat="false" ht="15" hidden="false" customHeight="false" outlineLevel="0" collapsed="false">
      <c r="A154" s="67"/>
      <c r="B154" s="73"/>
      <c r="C154" s="67"/>
      <c r="D154" s="67"/>
      <c r="E154" s="67"/>
      <c r="F154" s="67"/>
      <c r="G154" s="67"/>
      <c r="H154" s="67"/>
      <c r="I154" s="67"/>
    </row>
    <row r="155" customFormat="false" ht="15" hidden="false" customHeight="false" outlineLevel="0" collapsed="false">
      <c r="A155" s="67"/>
      <c r="B155" s="73"/>
      <c r="C155" s="67"/>
      <c r="D155" s="67"/>
      <c r="E155" s="67"/>
      <c r="F155" s="67"/>
      <c r="G155" s="67"/>
      <c r="H155" s="67"/>
      <c r="I155" s="67"/>
    </row>
    <row r="156" customFormat="false" ht="15" hidden="false" customHeight="false" outlineLevel="0" collapsed="false">
      <c r="A156" s="67"/>
      <c r="B156" s="73"/>
      <c r="C156" s="67"/>
      <c r="D156" s="67"/>
      <c r="E156" s="67"/>
      <c r="F156" s="67"/>
      <c r="G156" s="67"/>
      <c r="H156" s="67"/>
      <c r="I156" s="67"/>
    </row>
    <row r="157" customFormat="false" ht="15" hidden="false" customHeight="false" outlineLevel="0" collapsed="false">
      <c r="A157" s="67"/>
      <c r="B157" s="73"/>
      <c r="C157" s="67"/>
      <c r="D157" s="67"/>
      <c r="E157" s="67"/>
      <c r="F157" s="67"/>
      <c r="G157" s="67"/>
      <c r="H157" s="67"/>
      <c r="I157" s="67"/>
    </row>
    <row r="158" customFormat="false" ht="15" hidden="false" customHeight="false" outlineLevel="0" collapsed="false">
      <c r="A158" s="67"/>
      <c r="B158" s="73"/>
      <c r="C158" s="67"/>
      <c r="D158" s="67"/>
      <c r="E158" s="67"/>
      <c r="F158" s="67"/>
      <c r="G158" s="67"/>
      <c r="H158" s="67"/>
      <c r="I158" s="67"/>
    </row>
    <row r="159" customFormat="false" ht="15" hidden="false" customHeight="false" outlineLevel="0" collapsed="false">
      <c r="A159" s="67"/>
      <c r="B159" s="73"/>
      <c r="C159" s="67"/>
      <c r="D159" s="67"/>
      <c r="E159" s="67"/>
      <c r="F159" s="67"/>
      <c r="G159" s="67"/>
      <c r="H159" s="67"/>
      <c r="I159" s="67"/>
    </row>
    <row r="160" customFormat="false" ht="15" hidden="false" customHeight="false" outlineLevel="0" collapsed="false">
      <c r="A160" s="67"/>
      <c r="B160" s="73"/>
      <c r="C160" s="67"/>
      <c r="D160" s="67"/>
      <c r="E160" s="67"/>
      <c r="F160" s="67"/>
      <c r="G160" s="67"/>
      <c r="H160" s="67"/>
      <c r="I160" s="67"/>
    </row>
    <row r="161" customFormat="false" ht="15" hidden="false" customHeight="false" outlineLevel="0" collapsed="false">
      <c r="A161" s="67"/>
      <c r="B161" s="73"/>
      <c r="C161" s="67"/>
      <c r="D161" s="67"/>
      <c r="E161" s="67"/>
      <c r="F161" s="67"/>
      <c r="G161" s="67"/>
      <c r="H161" s="67"/>
      <c r="I161" s="67"/>
    </row>
    <row r="162" customFormat="false" ht="15" hidden="false" customHeight="false" outlineLevel="0" collapsed="false">
      <c r="A162" s="67"/>
      <c r="B162" s="73"/>
      <c r="C162" s="67"/>
      <c r="D162" s="67"/>
      <c r="E162" s="67"/>
      <c r="F162" s="67"/>
      <c r="G162" s="67"/>
      <c r="H162" s="67"/>
      <c r="I162" s="67"/>
    </row>
    <row r="163" customFormat="false" ht="15" hidden="false" customHeight="false" outlineLevel="0" collapsed="false">
      <c r="A163" s="67"/>
      <c r="B163" s="73"/>
      <c r="C163" s="67"/>
      <c r="D163" s="67"/>
      <c r="E163" s="67"/>
      <c r="F163" s="67"/>
      <c r="G163" s="67"/>
      <c r="H163" s="67"/>
      <c r="I163" s="67"/>
    </row>
    <row r="164" customFormat="false" ht="15" hidden="false" customHeight="false" outlineLevel="0" collapsed="false">
      <c r="A164" s="67"/>
      <c r="B164" s="73"/>
      <c r="C164" s="67"/>
      <c r="D164" s="67"/>
      <c r="E164" s="67"/>
      <c r="F164" s="67"/>
      <c r="G164" s="67"/>
      <c r="H164" s="67"/>
      <c r="I164" s="67"/>
    </row>
    <row r="165" customFormat="false" ht="15" hidden="false" customHeight="false" outlineLevel="0" collapsed="false">
      <c r="A165" s="67"/>
      <c r="B165" s="73"/>
      <c r="C165" s="67"/>
      <c r="D165" s="67"/>
      <c r="E165" s="67"/>
      <c r="F165" s="67"/>
      <c r="G165" s="67"/>
      <c r="H165" s="67"/>
      <c r="I165" s="67"/>
    </row>
    <row r="166" customFormat="false" ht="15" hidden="false" customHeight="false" outlineLevel="0" collapsed="false">
      <c r="A166" s="67"/>
      <c r="B166" s="73"/>
      <c r="C166" s="67"/>
      <c r="D166" s="67"/>
      <c r="E166" s="67"/>
      <c r="F166" s="67"/>
      <c r="G166" s="67"/>
      <c r="H166" s="67"/>
      <c r="I166" s="67"/>
    </row>
    <row r="167" customFormat="false" ht="15" hidden="false" customHeight="false" outlineLevel="0" collapsed="false">
      <c r="A167" s="67"/>
      <c r="B167" s="73"/>
      <c r="C167" s="67"/>
      <c r="D167" s="67"/>
      <c r="E167" s="67"/>
      <c r="F167" s="67"/>
      <c r="G167" s="67"/>
      <c r="H167" s="67"/>
      <c r="I167" s="67"/>
    </row>
    <row r="168" customFormat="false" ht="15" hidden="false" customHeight="false" outlineLevel="0" collapsed="false">
      <c r="A168" s="67"/>
      <c r="B168" s="73"/>
      <c r="C168" s="67"/>
      <c r="D168" s="67"/>
      <c r="E168" s="67"/>
      <c r="F168" s="67"/>
      <c r="G168" s="67"/>
      <c r="H168" s="67"/>
      <c r="I168" s="67"/>
    </row>
    <row r="169" customFormat="false" ht="15" hidden="false" customHeight="false" outlineLevel="0" collapsed="false">
      <c r="A169" s="67"/>
      <c r="B169" s="73"/>
      <c r="C169" s="67"/>
      <c r="D169" s="67"/>
      <c r="E169" s="67"/>
      <c r="F169" s="67"/>
      <c r="G169" s="67"/>
      <c r="H169" s="67"/>
      <c r="I169" s="67"/>
    </row>
    <row r="170" customFormat="false" ht="15" hidden="false" customHeight="false" outlineLevel="0" collapsed="false">
      <c r="A170" s="67"/>
      <c r="B170" s="73"/>
      <c r="C170" s="67"/>
      <c r="D170" s="67"/>
      <c r="E170" s="67"/>
      <c r="F170" s="67"/>
      <c r="G170" s="67"/>
      <c r="H170" s="67"/>
      <c r="I170" s="67"/>
    </row>
    <row r="171" customFormat="false" ht="15" hidden="false" customHeight="false" outlineLevel="0" collapsed="false">
      <c r="A171" s="67"/>
      <c r="B171" s="73"/>
      <c r="C171" s="67"/>
      <c r="D171" s="67"/>
      <c r="E171" s="67"/>
      <c r="F171" s="67"/>
      <c r="G171" s="67"/>
      <c r="H171" s="67"/>
      <c r="I171" s="67"/>
    </row>
    <row r="172" customFormat="false" ht="15" hidden="false" customHeight="false" outlineLevel="0" collapsed="false">
      <c r="A172" s="67"/>
      <c r="B172" s="73"/>
      <c r="C172" s="67"/>
      <c r="D172" s="67"/>
      <c r="E172" s="67"/>
      <c r="F172" s="67"/>
      <c r="G172" s="67"/>
      <c r="H172" s="67"/>
      <c r="I172" s="67"/>
    </row>
    <row r="173" customFormat="false" ht="15" hidden="false" customHeight="false" outlineLevel="0" collapsed="false">
      <c r="A173" s="67"/>
      <c r="B173" s="73"/>
      <c r="C173" s="67"/>
      <c r="D173" s="67"/>
      <c r="E173" s="67"/>
      <c r="F173" s="67"/>
      <c r="G173" s="67"/>
      <c r="H173" s="67"/>
      <c r="I173" s="67"/>
    </row>
    <row r="174" customFormat="false" ht="15" hidden="false" customHeight="false" outlineLevel="0" collapsed="false">
      <c r="A174" s="67"/>
      <c r="B174" s="73"/>
      <c r="C174" s="67"/>
      <c r="D174" s="67"/>
      <c r="E174" s="67"/>
      <c r="F174" s="67"/>
      <c r="G174" s="67"/>
      <c r="H174" s="67"/>
      <c r="I174" s="67"/>
    </row>
    <row r="175" customFormat="false" ht="15" hidden="false" customHeight="false" outlineLevel="0" collapsed="false">
      <c r="A175" s="67"/>
      <c r="B175" s="73"/>
      <c r="C175" s="67"/>
      <c r="D175" s="67"/>
      <c r="E175" s="67"/>
      <c r="F175" s="67"/>
      <c r="G175" s="67"/>
      <c r="H175" s="67"/>
      <c r="I175" s="67"/>
    </row>
    <row r="176" customFormat="false" ht="15" hidden="false" customHeight="false" outlineLevel="0" collapsed="false">
      <c r="A176" s="67"/>
      <c r="B176" s="73"/>
      <c r="C176" s="67"/>
      <c r="D176" s="67"/>
      <c r="E176" s="67"/>
      <c r="F176" s="67"/>
      <c r="G176" s="67"/>
      <c r="H176" s="67"/>
      <c r="I176" s="67"/>
    </row>
    <row r="177" customFormat="false" ht="15" hidden="false" customHeight="false" outlineLevel="0" collapsed="false">
      <c r="A177" s="67"/>
      <c r="B177" s="73"/>
      <c r="C177" s="67"/>
      <c r="D177" s="67"/>
      <c r="E177" s="67"/>
      <c r="F177" s="67"/>
      <c r="G177" s="67"/>
      <c r="H177" s="67"/>
      <c r="I177" s="67"/>
    </row>
    <row r="178" customFormat="false" ht="15" hidden="false" customHeight="false" outlineLevel="0" collapsed="false">
      <c r="A178" s="67"/>
      <c r="B178" s="73"/>
      <c r="C178" s="67"/>
      <c r="D178" s="67"/>
      <c r="E178" s="67"/>
      <c r="F178" s="67"/>
      <c r="G178" s="67"/>
      <c r="H178" s="67"/>
      <c r="I178" s="67"/>
    </row>
    <row r="179" customFormat="false" ht="15" hidden="false" customHeight="false" outlineLevel="0" collapsed="false">
      <c r="A179" s="67"/>
      <c r="B179" s="73"/>
      <c r="C179" s="67"/>
      <c r="D179" s="67"/>
      <c r="E179" s="67"/>
      <c r="F179" s="67"/>
      <c r="G179" s="67"/>
      <c r="H179" s="67"/>
      <c r="I179" s="67"/>
    </row>
    <row r="180" customFormat="false" ht="15" hidden="false" customHeight="false" outlineLevel="0" collapsed="false">
      <c r="A180" s="67"/>
      <c r="B180" s="73"/>
      <c r="C180" s="67"/>
      <c r="D180" s="67"/>
      <c r="E180" s="67"/>
      <c r="F180" s="67"/>
      <c r="G180" s="67"/>
      <c r="H180" s="67"/>
      <c r="I180" s="67"/>
    </row>
    <row r="181" customFormat="false" ht="15" hidden="false" customHeight="false" outlineLevel="0" collapsed="false">
      <c r="A181" s="67"/>
      <c r="B181" s="73"/>
      <c r="C181" s="67"/>
      <c r="D181" s="67"/>
      <c r="E181" s="67"/>
      <c r="F181" s="67"/>
      <c r="G181" s="67"/>
      <c r="H181" s="67"/>
      <c r="I181" s="67"/>
    </row>
    <row r="182" customFormat="false" ht="15" hidden="false" customHeight="false" outlineLevel="0" collapsed="false">
      <c r="A182" s="67"/>
      <c r="B182" s="73"/>
      <c r="C182" s="67"/>
      <c r="D182" s="67"/>
      <c r="E182" s="67"/>
      <c r="F182" s="67"/>
      <c r="G182" s="67"/>
      <c r="H182" s="67"/>
      <c r="I182" s="67"/>
    </row>
    <row r="183" customFormat="false" ht="15" hidden="false" customHeight="false" outlineLevel="0" collapsed="false">
      <c r="A183" s="67"/>
      <c r="B183" s="73"/>
      <c r="C183" s="67"/>
      <c r="D183" s="67"/>
      <c r="E183" s="67"/>
      <c r="F183" s="67"/>
      <c r="G183" s="67"/>
      <c r="H183" s="67"/>
      <c r="I183" s="67"/>
    </row>
    <row r="184" customFormat="false" ht="15" hidden="false" customHeight="false" outlineLevel="0" collapsed="false">
      <c r="A184" s="67"/>
      <c r="B184" s="73"/>
      <c r="C184" s="67"/>
      <c r="D184" s="67"/>
      <c r="E184" s="67"/>
      <c r="F184" s="67"/>
      <c r="G184" s="67"/>
      <c r="H184" s="67"/>
      <c r="I184" s="67"/>
    </row>
    <row r="185" customFormat="false" ht="15" hidden="false" customHeight="false" outlineLevel="0" collapsed="false">
      <c r="A185" s="67"/>
      <c r="B185" s="73"/>
      <c r="C185" s="67"/>
      <c r="D185" s="67"/>
      <c r="E185" s="67"/>
      <c r="F185" s="67"/>
      <c r="G185" s="67"/>
      <c r="H185" s="67"/>
      <c r="I185" s="67"/>
    </row>
    <row r="186" customFormat="false" ht="15" hidden="false" customHeight="false" outlineLevel="0" collapsed="false">
      <c r="A186" s="67"/>
      <c r="B186" s="73"/>
      <c r="C186" s="67"/>
      <c r="D186" s="67"/>
      <c r="E186" s="67"/>
      <c r="F186" s="67"/>
      <c r="G186" s="67"/>
      <c r="H186" s="67"/>
      <c r="I186" s="67"/>
    </row>
    <row r="187" customFormat="false" ht="15" hidden="false" customHeight="false" outlineLevel="0" collapsed="false">
      <c r="A187" s="67"/>
      <c r="B187" s="73"/>
      <c r="C187" s="67"/>
      <c r="D187" s="67"/>
      <c r="E187" s="67"/>
      <c r="F187" s="67"/>
      <c r="G187" s="67"/>
      <c r="H187" s="67"/>
      <c r="I187" s="67"/>
    </row>
    <row r="188" customFormat="false" ht="15" hidden="false" customHeight="false" outlineLevel="0" collapsed="false">
      <c r="A188" s="67"/>
      <c r="B188" s="73"/>
      <c r="C188" s="67"/>
      <c r="D188" s="67"/>
      <c r="E188" s="67"/>
      <c r="F188" s="67"/>
      <c r="G188" s="67"/>
      <c r="H188" s="67"/>
      <c r="I188" s="67"/>
    </row>
    <row r="189" customFormat="false" ht="15" hidden="false" customHeight="false" outlineLevel="0" collapsed="false">
      <c r="A189" s="67"/>
      <c r="B189" s="73"/>
      <c r="C189" s="67"/>
      <c r="D189" s="67"/>
      <c r="E189" s="67"/>
      <c r="F189" s="67"/>
      <c r="G189" s="67"/>
      <c r="H189" s="67"/>
      <c r="I189" s="67"/>
    </row>
    <row r="190" customFormat="false" ht="15" hidden="false" customHeight="false" outlineLevel="0" collapsed="false">
      <c r="A190" s="67"/>
      <c r="B190" s="73"/>
      <c r="C190" s="67"/>
      <c r="D190" s="67"/>
      <c r="E190" s="67"/>
      <c r="F190" s="67"/>
      <c r="G190" s="67"/>
      <c r="H190" s="67"/>
      <c r="I190" s="67"/>
    </row>
    <row r="191" customFormat="false" ht="15" hidden="false" customHeight="false" outlineLevel="0" collapsed="false">
      <c r="A191" s="67"/>
      <c r="B191" s="73"/>
      <c r="C191" s="67"/>
      <c r="D191" s="67"/>
      <c r="E191" s="67"/>
      <c r="F191" s="67"/>
      <c r="G191" s="67"/>
      <c r="H191" s="67"/>
      <c r="I191" s="67"/>
    </row>
    <row r="192" customFormat="false" ht="15" hidden="false" customHeight="false" outlineLevel="0" collapsed="false">
      <c r="A192" s="67"/>
      <c r="B192" s="73"/>
      <c r="C192" s="67"/>
      <c r="D192" s="67"/>
      <c r="E192" s="67"/>
      <c r="F192" s="67"/>
      <c r="G192" s="67"/>
      <c r="H192" s="67"/>
      <c r="I192" s="67"/>
    </row>
    <row r="193" customFormat="false" ht="15" hidden="false" customHeight="false" outlineLevel="0" collapsed="false">
      <c r="A193" s="67"/>
      <c r="B193" s="73"/>
      <c r="C193" s="67"/>
      <c r="D193" s="67"/>
      <c r="E193" s="67"/>
      <c r="F193" s="67"/>
      <c r="G193" s="67"/>
      <c r="H193" s="67"/>
      <c r="I193" s="67"/>
    </row>
    <row r="194" customFormat="false" ht="15" hidden="false" customHeight="false" outlineLevel="0" collapsed="false">
      <c r="A194" s="67"/>
      <c r="B194" s="73"/>
      <c r="C194" s="67"/>
      <c r="D194" s="67"/>
      <c r="E194" s="67"/>
      <c r="F194" s="67"/>
      <c r="G194" s="67"/>
      <c r="H194" s="67"/>
      <c r="I194" s="67"/>
    </row>
    <row r="195" customFormat="false" ht="15" hidden="false" customHeight="false" outlineLevel="0" collapsed="false">
      <c r="A195" s="67"/>
      <c r="B195" s="73"/>
      <c r="C195" s="67"/>
      <c r="D195" s="67"/>
      <c r="E195" s="67"/>
      <c r="F195" s="67"/>
      <c r="G195" s="67"/>
      <c r="H195" s="67"/>
      <c r="I195" s="67"/>
    </row>
    <row r="196" customFormat="false" ht="15" hidden="false" customHeight="false" outlineLevel="0" collapsed="false">
      <c r="A196" s="67"/>
      <c r="B196" s="73"/>
      <c r="C196" s="67"/>
      <c r="D196" s="67"/>
      <c r="E196" s="67"/>
      <c r="F196" s="67"/>
      <c r="G196" s="67"/>
      <c r="H196" s="67"/>
      <c r="I196" s="67"/>
    </row>
    <row r="197" customFormat="false" ht="15" hidden="false" customHeight="false" outlineLevel="0" collapsed="false">
      <c r="A197" s="67"/>
      <c r="B197" s="73"/>
      <c r="C197" s="67"/>
      <c r="D197" s="67"/>
      <c r="E197" s="67"/>
      <c r="F197" s="67"/>
      <c r="G197" s="67"/>
      <c r="H197" s="67"/>
      <c r="I197" s="67"/>
    </row>
    <row r="198" customFormat="false" ht="15" hidden="false" customHeight="false" outlineLevel="0" collapsed="false">
      <c r="A198" s="67"/>
      <c r="B198" s="73"/>
      <c r="C198" s="67"/>
      <c r="D198" s="67"/>
      <c r="E198" s="67"/>
      <c r="F198" s="67"/>
      <c r="G198" s="67"/>
      <c r="H198" s="67"/>
      <c r="I198" s="67"/>
    </row>
    <row r="199" customFormat="false" ht="15" hidden="false" customHeight="false" outlineLevel="0" collapsed="false">
      <c r="A199" s="67"/>
      <c r="B199" s="73"/>
      <c r="C199" s="67"/>
      <c r="D199" s="67"/>
      <c r="E199" s="67"/>
      <c r="F199" s="67"/>
      <c r="G199" s="67"/>
      <c r="H199" s="67"/>
      <c r="I199" s="67"/>
    </row>
    <row r="200" customFormat="false" ht="15" hidden="false" customHeight="false" outlineLevel="0" collapsed="false">
      <c r="A200" s="67"/>
      <c r="B200" s="73"/>
      <c r="C200" s="67"/>
      <c r="D200" s="67"/>
      <c r="E200" s="67"/>
      <c r="F200" s="67"/>
      <c r="G200" s="67"/>
      <c r="H200" s="67"/>
      <c r="I200" s="67"/>
    </row>
    <row r="201" customFormat="false" ht="15" hidden="false" customHeight="false" outlineLevel="0" collapsed="false">
      <c r="A201" s="67"/>
      <c r="B201" s="73"/>
      <c r="C201" s="67"/>
      <c r="D201" s="67"/>
      <c r="E201" s="67"/>
      <c r="F201" s="67"/>
      <c r="G201" s="67"/>
      <c r="H201" s="67"/>
      <c r="I201" s="67"/>
    </row>
    <row r="202" customFormat="false" ht="15" hidden="false" customHeight="false" outlineLevel="0" collapsed="false">
      <c r="A202" s="67"/>
      <c r="B202" s="73"/>
      <c r="C202" s="67"/>
      <c r="D202" s="67"/>
      <c r="E202" s="67"/>
      <c r="F202" s="67"/>
      <c r="G202" s="67"/>
      <c r="H202" s="67"/>
      <c r="I202" s="67"/>
    </row>
    <row r="203" customFormat="false" ht="15" hidden="false" customHeight="false" outlineLevel="0" collapsed="false">
      <c r="A203" s="67"/>
      <c r="B203" s="73"/>
      <c r="C203" s="67"/>
      <c r="D203" s="67"/>
      <c r="E203" s="67"/>
      <c r="F203" s="67"/>
      <c r="G203" s="67"/>
      <c r="H203" s="67"/>
      <c r="I203" s="67"/>
    </row>
    <row r="204" customFormat="false" ht="15" hidden="false" customHeight="false" outlineLevel="0" collapsed="false">
      <c r="A204" s="67"/>
      <c r="B204" s="73"/>
      <c r="C204" s="67"/>
      <c r="D204" s="67"/>
      <c r="E204" s="67"/>
      <c r="F204" s="67"/>
      <c r="G204" s="67"/>
      <c r="H204" s="67"/>
      <c r="I204" s="67"/>
    </row>
  </sheetData>
  <mergeCells count="2">
    <mergeCell ref="A1:I1"/>
    <mergeCell ref="A2:I2"/>
  </mergeCells>
  <dataValidations count="3">
    <dataValidation allowBlank="false" errorStyle="stop" operator="between" showDropDown="false" showErrorMessage="false" showInputMessage="false" sqref="C5:C204" type="list">
      <formula1>"Pagi,Siang,Malam"</formula1>
      <formula2>0</formula2>
    </dataValidation>
    <dataValidation allowBlank="false" errorStyle="stop" operator="between" showDropDown="false" showErrorMessage="false" showInputMessage="false" sqref="D5:D204" type="list">
      <formula1>"Buka,Tutup"</formula1>
      <formula2>0</formula2>
    </dataValidation>
    <dataValidation allowBlank="false" errorStyle="stop" operator="between" showDropDown="false" showErrorMessage="false" showInputMessage="false" sqref="F5:F204" type="list">
      <formula1>"Belum,Ya,Tidak,Tidak berlaku"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